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7.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12.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Qingyu.Feng\Documents\00_research_office\04_cooperation\Javier_Simulation\TxtInOut_AS1\"/>
    </mc:Choice>
  </mc:AlternateContent>
  <bookViews>
    <workbookView xWindow="0" yWindow="0" windowWidth="20160" windowHeight="9612" tabRatio="869" firstSheet="2" activeTab="3"/>
  </bookViews>
  <sheets>
    <sheet name="FILENAMES" sheetId="2" r:id="rId1"/>
    <sheet name="APEXFILE.DAT" sheetId="1" r:id="rId2"/>
    <sheet name="APEXRUN.DAT" sheetId="3" r:id="rId3"/>
    <sheet name="APEXCONT.DAT" sheetId="4" r:id="rId4"/>
    <sheet name="TILL.DAT" sheetId="5" r:id="rId5"/>
    <sheet name="CROP.DAT" sheetId="6" r:id="rId6"/>
    <sheet name="FERT.DAT" sheetId="7" r:id="rId7"/>
    <sheet name="PEST.DAT" sheetId="8" r:id="rId8"/>
    <sheet name="PARM.DAT" sheetId="9" r:id="rId9"/>
    <sheet name="PRINT.DAT" sheetId="10" r:id="rId10"/>
    <sheet name="DIM.DAT" sheetId="11" r:id="rId11"/>
    <sheet name="OPS.OPC" sheetId="12" r:id="rId12"/>
    <sheet name="WDLST.DAT" sheetId="13" r:id="rId13"/>
    <sheet name="WPM1.DAT" sheetId="14" r:id="rId14"/>
    <sheet name="WIND.DAT" sheetId="15" r:id="rId15"/>
    <sheet name="SUBAREA.SUB" sheetId="16" r:id="rId16"/>
    <sheet name="SOL.SOL" sheetId="17" r:id="rId17"/>
    <sheet name="OPSC.DAT" sheetId="18" r:id="rId18"/>
    <sheet name="SIT.SIT" sheetId="19" r:id="rId19"/>
  </sheets>
  <definedNames>
    <definedName name="_xlnm._FilterDatabase" localSheetId="3" hidden="1">APEXCONT.DAT!$A$89:$D$96</definedName>
    <definedName name="_xlnm._FilterDatabase" localSheetId="18" hidden="1">SIT.SIT!$A$35:$D$42</definedName>
    <definedName name="_Toc352162512" localSheetId="10">DIM.DAT!$A$1</definedName>
    <definedName name="OLE_LINK27" localSheetId="1">APEXFILE.DAT!#REF!</definedName>
    <definedName name="OLE_LINK29" localSheetId="1">APEXFILE.DAT!$C$7</definedName>
    <definedName name="OLE_LINK3" localSheetId="3">APEXCONT.DAT!#REF!</definedName>
    <definedName name="OLE_LINK3" localSheetId="18">SIT.SIT!#REF!</definedName>
    <definedName name="OLE_LINK33" localSheetId="3">APEXCONT.DAT!$A$27</definedName>
    <definedName name="OLE_LINK33" localSheetId="18">SIT.SIT!#REF!</definedName>
    <definedName name="OLE_LINK52" localSheetId="9">PRINT.DAT!$J$15</definedName>
    <definedName name="OLE_LINK61" localSheetId="9">PRINT.DAT!#REF!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S6" i="9" l="1"/>
  <c r="AS8" i="9" s="1"/>
  <c r="AS7" i="9"/>
  <c r="AS9" i="9" s="1"/>
  <c r="AS13" i="9" l="1"/>
  <c r="AU20" i="9" s="1"/>
  <c r="AS10" i="9"/>
  <c r="AU10" i="9" l="1"/>
  <c r="AU17" i="9"/>
  <c r="AU26" i="9"/>
  <c r="AU11" i="9"/>
  <c r="AU23" i="9"/>
  <c r="AU7" i="9"/>
  <c r="AU19" i="9"/>
  <c r="AU15" i="9"/>
  <c r="AU22" i="9"/>
  <c r="AU6" i="9"/>
  <c r="AU13" i="9"/>
  <c r="AU16" i="9"/>
  <c r="AU18" i="9"/>
  <c r="AU25" i="9"/>
  <c r="AU9" i="9"/>
  <c r="AU12" i="9"/>
  <c r="AU14" i="9"/>
  <c r="AU21" i="9"/>
  <c r="AU24" i="9"/>
  <c r="AU8" i="9"/>
  <c r="AS11" i="9"/>
  <c r="AS12" i="9" s="1"/>
  <c r="AV26" i="9" l="1"/>
  <c r="AV19" i="9"/>
  <c r="AV23" i="9"/>
  <c r="AV20" i="9"/>
  <c r="AV24" i="9"/>
  <c r="AV21" i="9"/>
  <c r="AV25" i="9"/>
  <c r="AV22" i="9"/>
  <c r="AV8" i="9"/>
  <c r="AV12" i="9"/>
  <c r="AV16" i="9"/>
  <c r="AV9" i="9"/>
  <c r="AV13" i="9"/>
  <c r="AV17" i="9"/>
  <c r="AV6" i="9"/>
  <c r="AV10" i="9"/>
  <c r="AV14" i="9"/>
  <c r="AV18" i="9"/>
  <c r="AV11" i="9"/>
  <c r="AV15" i="9"/>
  <c r="AV7" i="9"/>
</calcChain>
</file>

<file path=xl/comments1.xml><?xml version="1.0" encoding="utf-8"?>
<comments xmlns="http://schemas.openxmlformats.org/spreadsheetml/2006/main">
  <authors>
    <author>:</author>
  </authors>
  <commentList>
    <comment ref="B7" authorId="0" shapeId="0">
      <text>
        <r>
          <rPr>
            <sz val="9"/>
            <color indexed="81"/>
            <rFont val="Tahoma"/>
            <family val="2"/>
          </rPr>
          <t>Set the path to the folder where APEX0806.EXE and input files are.
Leave blank to use the current work directory.</t>
        </r>
      </text>
    </comment>
  </commentList>
</comments>
</file>

<file path=xl/comments2.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must strart with APEXCONT (i.e. APEXCONT*.DAT)</t>
        </r>
      </text>
    </comment>
    <comment ref="B10" authorId="1" shapeId="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4" authorId="1" shapeId="0">
      <text>
        <r>
          <rPr>
            <sz val="9"/>
            <color indexed="81"/>
            <rFont val="Tahoma"/>
            <family val="2"/>
          </rPr>
          <t>0 leap year is considered
1 leap year is ignored</t>
        </r>
      </text>
    </comment>
    <comment ref="B15" authorId="1" shapeId="0">
      <text>
        <r>
          <rPr>
            <sz val="9"/>
            <color indexed="81"/>
            <rFont val="Tahoma"/>
            <family val="2"/>
          </rPr>
          <t>1 Penman-Monteith (default when IET= 0)
2 Penman
3 Priestley - Taylor
4 Hargreaves
5 Baier - Robertson</t>
        </r>
      </text>
    </comment>
    <comment ref="B35" authorId="1" shapeId="0">
      <text>
        <r>
          <rPr>
            <sz val="9"/>
            <color indexed="81"/>
            <rFont val="Tahoma"/>
            <family val="2"/>
          </rPr>
          <t>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t>
        </r>
      </text>
    </comment>
    <comment ref="B89" authorId="0" shapeId="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t>
        </r>
      </text>
    </comment>
  </commentList>
</comments>
</file>

<file path=xl/comments3.xml><?xml version="1.0" encoding="utf-8"?>
<comments xmlns="http://schemas.openxmlformats.org/spreadsheetml/2006/main">
  <authors>
    <author>:</author>
  </authors>
  <commentList>
    <comment ref="A3" authorId="0" shapeId="0">
      <text>
        <r>
          <rPr>
            <sz val="9"/>
            <color indexed="81"/>
            <rFont val="Tahoma"/>
            <family val="2"/>
          </rPr>
          <t>Type the file name and extension (i.e. FILENAME.DAT)</t>
        </r>
      </text>
    </comment>
    <comment ref="A5" authorId="0" shapeId="0">
      <text>
        <r>
          <rPr>
            <sz val="9"/>
            <color indexed="81"/>
            <rFont val="Tahoma"/>
            <family val="2"/>
          </rPr>
          <t>Equipment number  (cols.2-5 ) (Range: 1-inf)</t>
        </r>
      </text>
    </comment>
    <comment ref="B5" authorId="0" shapeId="0">
      <text>
        <r>
          <rPr>
            <sz val="9"/>
            <color indexed="81"/>
            <rFont val="Tahoma"/>
            <family val="2"/>
          </rPr>
          <t xml:space="preserve">Tillage/Equipment operation name. (cols.7-14) </t>
        </r>
      </text>
    </comment>
    <comment ref="C5" authorId="0" shapeId="0">
      <text>
        <r>
          <rPr>
            <sz val="9"/>
            <color indexed="81"/>
            <rFont val="Tahoma"/>
            <family val="2"/>
          </rPr>
          <t>Power code. (Range: 1- 5) (cols. 16-19)</t>
        </r>
      </text>
    </comment>
    <comment ref="D5" authorId="0" shapeId="0">
      <text>
        <r>
          <rPr>
            <sz val="9"/>
            <color indexed="81"/>
            <rFont val="Tahoma"/>
            <family val="2"/>
          </rPr>
          <t>Purchase price ($) (cols. 20-27) (Range: 0- 999999)</t>
        </r>
      </text>
    </comment>
    <comment ref="E5" authorId="0" shapeId="0">
      <text>
        <r>
          <rPr>
            <sz val="9"/>
            <color indexed="81"/>
            <rFont val="Tahoma"/>
            <family val="2"/>
          </rPr>
          <t>Initial list price in current ($) (cols. 28-35) (Range: 0- 999999)</t>
        </r>
      </text>
    </comment>
    <comment ref="F5" authorId="0" shapeId="0">
      <text>
        <r>
          <rPr>
            <sz val="9"/>
            <color indexed="81"/>
            <rFont val="Tahoma"/>
            <family val="2"/>
          </rPr>
          <t>Annual use (h) (cols. 36-43) (Range: 0- 8760)</t>
        </r>
      </text>
    </comment>
    <comment ref="G5" authorId="0" shapeId="0">
      <text>
        <r>
          <rPr>
            <sz val="9"/>
            <color indexed="81"/>
            <rFont val="Tahoma"/>
            <family val="2"/>
          </rPr>
          <t>Life of equip (h) (cols. 44-51) (Range: 0- 999999)</t>
        </r>
      </text>
    </comment>
    <comment ref="H5" authorId="0" shapeId="0">
      <text>
        <r>
          <rPr>
            <sz val="9"/>
            <color indexed="81"/>
            <rFont val="Tahoma"/>
            <family val="2"/>
          </rPr>
          <t>Power of unit (KW) (cols. 52-59) (Range: 0- 900)</t>
        </r>
      </text>
    </comment>
    <comment ref="I5" authorId="0" shapeId="0">
      <text>
        <r>
          <rPr>
            <sz val="9"/>
            <color indexed="81"/>
            <rFont val="Tahoma"/>
            <family val="2"/>
          </rPr>
          <t>Width of pass (m) (cols. 60-67) (Range: 0- 50)</t>
        </r>
      </text>
    </comment>
    <comment ref="J5" authorId="0" shapeId="0">
      <text>
        <r>
          <rPr>
            <sz val="9"/>
            <color indexed="81"/>
            <rFont val="Tahoma"/>
            <family val="2"/>
          </rPr>
          <t>Operating speed (km/h) (cols. 68-75) (Range: 0- 200)</t>
        </r>
      </text>
    </comment>
    <comment ref="K5" authorId="0" shapeId="0">
      <text>
        <r>
          <rPr>
            <sz val="9"/>
            <color indexed="81"/>
            <rFont val="Tahoma"/>
            <family val="2"/>
          </rPr>
          <t>Repair cost coef 1 (cols. 76-83) (Range: 0-1)</t>
        </r>
      </text>
    </comment>
    <comment ref="L5" authorId="0" shapeId="0">
      <text>
        <r>
          <rPr>
            <sz val="9"/>
            <color indexed="81"/>
            <rFont val="Tahoma"/>
            <family val="2"/>
          </rPr>
          <t>Repair cost coef 2 (cols. 84-91) (Range: 0-5)</t>
        </r>
      </text>
    </comment>
    <comment ref="M5" authorId="0" shapeId="0">
      <text>
        <r>
          <rPr>
            <sz val="9"/>
            <color indexed="81"/>
            <rFont val="Tahoma"/>
            <family val="2"/>
          </rPr>
          <t>Lubricant factor (cols. 92-99) (Range: 0-1)</t>
        </r>
      </text>
    </comment>
    <comment ref="N5" authorId="0" shapeId="0">
      <text>
        <r>
          <rPr>
            <sz val="9"/>
            <color indexed="81"/>
            <rFont val="Tahoma"/>
            <family val="2"/>
          </rPr>
          <t>Fuel consumption multiplier (cols. 100-107) (Range: 0-1)</t>
        </r>
      </text>
    </comment>
    <comment ref="O5" authorId="0" shapeId="0">
      <text>
        <r>
          <rPr>
            <sz val="9"/>
            <color indexed="81"/>
            <rFont val="Tahoma"/>
            <family val="2"/>
          </rPr>
          <t>Remaining farm value parm 1 (cols. 108-115) (Range: 0-2)</t>
        </r>
      </text>
    </comment>
    <comment ref="P5" authorId="0" shapeId="0">
      <text>
        <r>
          <rPr>
            <sz val="9"/>
            <color indexed="81"/>
            <rFont val="Tahoma"/>
            <family val="2"/>
          </rPr>
          <t>Remaining farm value parm 2 (cols. 116-123) (Range: 0-2)</t>
        </r>
      </text>
    </comment>
    <comment ref="Q5" authorId="0" shapeId="0">
      <text>
        <r>
          <rPr>
            <sz val="9"/>
            <color indexed="81"/>
            <rFont val="Tahoma"/>
            <family val="2"/>
          </rPr>
          <t>Machine efficiency (cols. 124-131) (Range: 0-1)</t>
        </r>
      </text>
    </comment>
    <comment ref="R5" authorId="0" shapeId="0">
      <text>
        <r>
          <rPr>
            <sz val="9"/>
            <color indexed="81"/>
            <rFont val="Tahoma"/>
            <family val="2"/>
          </rPr>
          <t>Annual real interest rate ($/$) (cols. 132-139) (Range 0.001 – 0.15)</t>
        </r>
      </text>
    </comment>
    <comment ref="S5" authorId="0" shapeId="0">
      <text>
        <r>
          <rPr>
            <sz val="9"/>
            <color indexed="81"/>
            <rFont val="Tahoma"/>
            <family val="2"/>
          </rPr>
          <t>Mixing efficiency (cols. 140-147) (Range: 0-1)</t>
        </r>
      </text>
    </comment>
    <comment ref="T5" authorId="0" shapeId="0">
      <text>
        <r>
          <rPr>
            <sz val="9"/>
            <color indexed="81"/>
            <rFont val="Tahoma"/>
            <family val="2"/>
          </rPr>
          <t>Random surface roughness created by tillage operation in mm. (cols. 148-155) (Range: 0-100)</t>
        </r>
      </text>
    </comment>
    <comment ref="U5" authorId="0" shapeId="0">
      <text>
        <r>
          <rPr>
            <sz val="9"/>
            <color indexed="81"/>
            <rFont val="Tahoma"/>
            <family val="2"/>
          </rPr>
          <t>Tillage depth in mm. (cols. 156-163) (Range: -2000 to 500)</t>
        </r>
      </text>
    </comment>
    <comment ref="V5" authorId="0" shapeId="0">
      <text>
        <r>
          <rPr>
            <sz val="9"/>
            <color indexed="81"/>
            <rFont val="Tahoma"/>
            <family val="2"/>
          </rPr>
          <t>Ridge height in mm (cols. 164-171) (Range: 0-1000)</t>
        </r>
      </text>
    </comment>
    <comment ref="W5" authorId="0" shapeId="0">
      <text>
        <r>
          <rPr>
            <sz val="9"/>
            <color indexed="81"/>
            <rFont val="Tahoma"/>
            <family val="2"/>
          </rPr>
          <t>Ridge interval in m (cols. 172-179) (Range: 0-200)</t>
        </r>
      </text>
    </comment>
    <comment ref="X5" authorId="0" shapeId="0">
      <text>
        <r>
          <rPr>
            <sz val="9"/>
            <color indexed="81"/>
            <rFont val="Tahoma"/>
            <family val="2"/>
          </rPr>
          <t>Height of furrow dikes in mm. (blank if dikes are not used)  (cols. 180-187) (Range: 0-1000)</t>
        </r>
      </text>
    </comment>
    <comment ref="Y5" authorId="0" shapeId="0">
      <text>
        <r>
          <rPr>
            <sz val="9"/>
            <color indexed="81"/>
            <rFont val="Tahoma"/>
            <family val="2"/>
          </rPr>
          <t>Distance between furrow dikes in m. (blank if dikes are not used) (cols. 188-195) (Range: 0-200)</t>
        </r>
      </text>
    </comment>
    <comment ref="Z5" authorId="0" shapeId="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t>
        </r>
      </text>
    </comment>
    <comment ref="AA5" authorId="0" shapeId="0">
      <text>
        <r>
          <rPr>
            <sz val="9"/>
            <color indexed="81"/>
            <rFont val="Tahoma"/>
            <family val="2"/>
          </rPr>
          <t>Harvest efficiency (0-1) or Pesticide application efficiency. (cols. 204-211) (Range: 0-1)</t>
        </r>
      </text>
    </comment>
    <comment ref="AB5" authorId="0" shapeId="0">
      <text>
        <r>
          <rPr>
            <sz val="9"/>
            <color indexed="81"/>
            <rFont val="Tahoma"/>
            <family val="2"/>
          </rPr>
          <t xml:space="preserve">Override Harvest Index for Forage and Root Crops (cols. 212-219) </t>
        </r>
      </text>
    </comment>
    <comment ref="AC5" authorId="0" shapeId="0">
      <text>
        <r>
          <rPr>
            <sz val="9"/>
            <color indexed="81"/>
            <rFont val="Tahoma"/>
            <family val="2"/>
          </rPr>
          <t>Fraction of soil compacted (cols. 220-227) (Range: 0-1)</t>
        </r>
      </text>
    </comment>
    <comment ref="AD5" authorId="0" shapeId="0">
      <text>
        <r>
          <rPr>
            <sz val="9"/>
            <color indexed="81"/>
            <rFont val="Tahoma"/>
            <family val="2"/>
          </rPr>
          <t>Fraction plant population reduced by operation. (cols. 228-235) (Range: 0-1)</t>
        </r>
      </text>
    </comment>
    <comment ref="AE5" authorId="0" shapeId="0">
      <text>
        <r>
          <rPr>
            <sz val="9"/>
            <color indexed="81"/>
            <rFont val="Tahoma"/>
            <family val="2"/>
          </rPr>
          <t>Carbon Emission. (cols. 236-243) (Range: 0-9999)</t>
        </r>
      </text>
    </comment>
    <comment ref="AF5" authorId="0" shapeId="0">
      <text>
        <r>
          <rPr>
            <sz val="9"/>
            <color indexed="81"/>
            <rFont val="Tahoma"/>
            <family val="2"/>
          </rPr>
          <t>STIR value for operation. (cols. 244-251) (Range:0-200)</t>
        </r>
      </text>
    </comment>
    <comment ref="AG5" authorId="0" shapeId="0">
      <text>
        <r>
          <rPr>
            <sz val="9"/>
            <color indexed="81"/>
            <rFont val="Tahoma"/>
            <family val="2"/>
          </rPr>
          <t>Description</t>
        </r>
      </text>
    </comment>
  </commentList>
</comments>
</file>

<file path=xl/comments4.xml><?xml version="1.0" encoding="utf-8"?>
<comments xmlns="http://schemas.openxmlformats.org/spreadsheetml/2006/main">
  <authors>
    <author>:</author>
  </authors>
  <commentList>
    <comment ref="A3" authorId="0" shapeId="0">
      <text>
        <r>
          <rPr>
            <sz val="9"/>
            <color indexed="81"/>
            <rFont val="Tahoma"/>
            <family val="2"/>
          </rPr>
          <t>Type the file name and extension (i.e. FILENAME.DAT)</t>
        </r>
      </text>
    </comment>
    <comment ref="A5" authorId="0" shapeId="0">
      <text>
        <r>
          <rPr>
            <sz val="9"/>
            <color indexed="81"/>
            <rFont val="Tahoma"/>
            <family val="2"/>
          </rPr>
          <t>Crop Number. (cols. 2-5)</t>
        </r>
      </text>
    </comment>
    <comment ref="B5" authorId="0" shapeId="0">
      <text>
        <r>
          <rPr>
            <sz val="9"/>
            <color indexed="81"/>
            <rFont val="Tahoma"/>
            <family val="2"/>
          </rPr>
          <t>Crop Name.  (cols. 7-10)</t>
        </r>
      </text>
    </comment>
    <comment ref="C5" authorId="0" shapeId="0">
      <text>
        <r>
          <rPr>
            <sz val="9"/>
            <color indexed="81"/>
            <rFont val="Tahoma"/>
            <family val="2"/>
          </rPr>
          <t>Biomass-Energy Ratio (CO2=330ppm).  (cols. 11-18)</t>
        </r>
      </text>
    </comment>
    <comment ref="D5" authorId="0" shapeId="0">
      <text>
        <r>
          <rPr>
            <sz val="9"/>
            <color indexed="81"/>
            <rFont val="Tahoma"/>
            <family val="2"/>
          </rPr>
          <t>Harvest index.  (cols. 19-26)</t>
        </r>
      </text>
    </comment>
    <comment ref="E5" authorId="0" shapeId="0">
      <text>
        <r>
          <rPr>
            <sz val="9"/>
            <color indexed="81"/>
            <rFont val="Tahoma"/>
            <family val="2"/>
          </rPr>
          <t>Optimal temperature for plant growth.  (cols. 27-34)</t>
        </r>
      </text>
    </comment>
    <comment ref="F5" authorId="0" shapeId="0">
      <text>
        <r>
          <rPr>
            <sz val="9"/>
            <color indexed="81"/>
            <rFont val="Tahoma"/>
            <family val="2"/>
          </rPr>
          <t>Minimum temperature for plant growth.  (cols. 35-42)</t>
        </r>
      </text>
    </comment>
    <comment ref="G5" authorId="0" shapeId="0">
      <text>
        <r>
          <rPr>
            <sz val="9"/>
            <color indexed="81"/>
            <rFont val="Tahoma"/>
            <family val="2"/>
          </rPr>
          <t>Maximum potential leaf area index.  (cols. 43-50)</t>
        </r>
      </text>
    </comment>
    <comment ref="H5" authorId="0" shapeId="0">
      <text>
        <r>
          <rPr>
            <sz val="9"/>
            <color indexed="81"/>
            <rFont val="Tahoma"/>
            <family val="2"/>
          </rPr>
          <t>Fraction of growing season when leaf area declines.  (cols. 51-58)</t>
        </r>
      </text>
    </comment>
    <comment ref="I5" authorId="0" shapeId="0">
      <text>
        <r>
          <rPr>
            <sz val="9"/>
            <color indexed="81"/>
            <rFont val="Tahoma"/>
            <family val="2"/>
          </rPr>
          <t>First point on optimal leaf area development curve.  (cols. 59-66)</t>
        </r>
      </text>
    </comment>
    <comment ref="J5" authorId="0" shapeId="0">
      <text>
        <r>
          <rPr>
            <sz val="9"/>
            <color indexed="81"/>
            <rFont val="Tahoma"/>
            <family val="2"/>
          </rPr>
          <t>Second point on optimal leaf area development curve.  (cols. 67-74)</t>
        </r>
      </text>
    </comment>
    <comment ref="K5" authorId="0" shapeId="0">
      <text>
        <r>
          <rPr>
            <sz val="9"/>
            <color indexed="81"/>
            <rFont val="Tahoma"/>
            <family val="2"/>
          </rPr>
          <t>Leaf area index decline rate parameter. (cols. 75-82)</t>
        </r>
      </text>
    </comment>
    <comment ref="L5" authorId="0" shapeId="0">
      <text>
        <r>
          <rPr>
            <sz val="9"/>
            <color indexed="81"/>
            <rFont val="Tahoma"/>
            <family val="2"/>
          </rPr>
          <t>Biomass-energy ratio decline rate parameter.  (cols. 83-90)</t>
        </r>
      </text>
    </comment>
    <comment ref="M5" authorId="0" shapeId="0">
      <text>
        <r>
          <rPr>
            <sz val="9"/>
            <color indexed="81"/>
            <rFont val="Tahoma"/>
            <family val="2"/>
          </rPr>
          <t>Aluminum tolerance index   (cols. 91-98)</t>
        </r>
      </text>
    </comment>
    <comment ref="N5" authorId="0" shapeId="0">
      <text>
        <r>
          <rPr>
            <sz val="9"/>
            <color indexed="81"/>
            <rFont val="Tahoma"/>
            <family val="2"/>
          </rPr>
          <t>Maximum Stomatal Conductance.  (cols. 99-106)</t>
        </r>
      </text>
    </comment>
    <comment ref="O5" authorId="0" shapeId="0">
      <text>
        <r>
          <rPr>
            <sz val="9"/>
            <color indexed="81"/>
            <rFont val="Tahoma"/>
            <family val="2"/>
          </rPr>
          <t>Critical aeration factor. (cols. 107-114)</t>
        </r>
      </text>
    </comment>
    <comment ref="P5" authorId="0" shapeId="0">
      <text>
        <r>
          <rPr>
            <sz val="9"/>
            <color indexed="81"/>
            <rFont val="Tahoma"/>
            <family val="2"/>
          </rPr>
          <t>Seeding rate.  (cols. 115-122)</t>
        </r>
      </text>
    </comment>
    <comment ref="Q5" authorId="0" shapeId="0">
      <text>
        <r>
          <rPr>
            <sz val="9"/>
            <color indexed="81"/>
            <rFont val="Tahoma"/>
            <family val="2"/>
          </rPr>
          <t>Maximum crop height  (cols. 123-130)</t>
        </r>
      </text>
    </comment>
    <comment ref="R5" authorId="0" shapeId="0">
      <text>
        <r>
          <rPr>
            <sz val="9"/>
            <color indexed="81"/>
            <rFont val="Tahoma"/>
            <family val="2"/>
          </rPr>
          <t>Maximum root depth   (cols. 131-138)</t>
        </r>
      </text>
    </comment>
    <comment ref="S5" authorId="0" shapeId="0">
      <text>
        <r>
          <rPr>
            <sz val="9"/>
            <color indexed="81"/>
            <rFont val="Tahoma"/>
            <family val="2"/>
          </rPr>
          <t>CO2 Concentration /Resulting WA value (Split Variable). (cols. 139-146)</t>
        </r>
      </text>
    </comment>
    <comment ref="T5" authorId="0" shapeId="0">
      <text>
        <r>
          <rPr>
            <sz val="9"/>
            <color indexed="81"/>
            <rFont val="Tahoma"/>
            <family val="2"/>
          </rPr>
          <t>Fraction of nitrogen in yield. (cols. 147-154)</t>
        </r>
      </text>
    </comment>
    <comment ref="U5" authorId="0" shapeId="0">
      <text>
        <r>
          <rPr>
            <sz val="9"/>
            <color indexed="81"/>
            <rFont val="Tahoma"/>
            <family val="2"/>
          </rPr>
          <t>Fraction of phosphorus in yield.   (cols. 155-162)</t>
        </r>
      </text>
    </comment>
    <comment ref="V5" authorId="0" shapeId="0">
      <text>
        <r>
          <rPr>
            <sz val="9"/>
            <color indexed="81"/>
            <rFont val="Tahoma"/>
            <family val="2"/>
          </rPr>
          <t>Fraction of potassium in yield.  (cols. 163-170)</t>
        </r>
      </text>
    </comment>
    <comment ref="W5" authorId="0" shapeId="0">
      <text>
        <r>
          <rPr>
            <sz val="9"/>
            <color indexed="81"/>
            <rFont val="Tahoma"/>
            <family val="2"/>
          </rPr>
          <t>Lower limit of harvest index.  (cols. 171-178)</t>
        </r>
      </text>
    </comment>
    <comment ref="X5" authorId="0" shapeId="0">
      <text>
        <r>
          <rPr>
            <sz val="9"/>
            <color indexed="81"/>
            <rFont val="Tahoma"/>
            <family val="2"/>
          </rPr>
          <t>Pest (insects  and disease) factor.    (cols. 179-186)</t>
        </r>
      </text>
    </comment>
    <comment ref="Y5" authorId="0" shapeId="0">
      <text>
        <r>
          <rPr>
            <sz val="9"/>
            <color indexed="81"/>
            <rFont val="Tahoma"/>
            <family val="2"/>
          </rPr>
          <t>Seed cost ($ kg-1).  (cols. 187-194)</t>
        </r>
      </text>
    </comment>
    <comment ref="Z5" authorId="0" shapeId="0">
      <text>
        <r>
          <rPr>
            <sz val="9"/>
            <color indexed="81"/>
            <rFont val="Tahoma"/>
            <family val="2"/>
          </rPr>
          <t>Price for yield ($ t-1).  (cols. 195-202)</t>
        </r>
      </text>
    </comment>
    <comment ref="AA5" authorId="0" shapeId="0">
      <text>
        <r>
          <rPr>
            <sz val="9"/>
            <color indexed="81"/>
            <rFont val="Tahoma"/>
            <family val="2"/>
          </rPr>
          <t>Price for forage yield ($ t-1).  (cols. 203-210)</t>
        </r>
      </text>
    </comment>
    <comment ref="AB5" authorId="0" shapeId="0">
      <text>
        <r>
          <rPr>
            <sz val="9"/>
            <color indexed="81"/>
            <rFont val="Tahoma"/>
            <family val="2"/>
          </rPr>
          <t>Fraction water in yield.  (cols. 211-218)</t>
        </r>
      </text>
    </comment>
    <comment ref="AC5" authorId="0" shapeId="0">
      <text>
        <r>
          <rPr>
            <sz val="9"/>
            <color indexed="81"/>
            <rFont val="Tahoma"/>
            <family val="2"/>
          </rPr>
          <t>Nitrogen uptake parameter (N fraction in plant at emergence). (cols. 219-226)</t>
        </r>
      </text>
    </comment>
    <comment ref="AD5" authorId="0" shapeId="0">
      <text>
        <r>
          <rPr>
            <sz val="9"/>
            <color indexed="81"/>
            <rFont val="Tahoma"/>
            <family val="2"/>
          </rPr>
          <t>Nitrogen uptake parameter (N fraction in plant at 0.5 maturity). (cols. 227-234)</t>
        </r>
      </text>
    </comment>
    <comment ref="AE5" authorId="0" shapeId="0">
      <text>
        <r>
          <rPr>
            <sz val="9"/>
            <color indexed="81"/>
            <rFont val="Tahoma"/>
            <family val="2"/>
          </rPr>
          <t>Nitrogen uptake parameter (N fraction in plant at maturity).    (cols. 235-242)</t>
        </r>
      </text>
    </comment>
    <comment ref="AF5" authorId="0" shapeId="0">
      <text>
        <r>
          <rPr>
            <sz val="9"/>
            <color indexed="81"/>
            <rFont val="Tahoma"/>
            <family val="2"/>
          </rPr>
          <t>Phosphorus uptake parameter (P fraction in plant at emergence). (cols. 243-250)</t>
        </r>
      </text>
    </comment>
    <comment ref="AG5" authorId="0" shapeId="0">
      <text>
        <r>
          <rPr>
            <sz val="9"/>
            <color indexed="81"/>
            <rFont val="Tahoma"/>
            <family val="2"/>
          </rPr>
          <t>Phosphorus uptake parameter (P fraction in plant at 0.5 maturity). (cols. 251-258)</t>
        </r>
      </text>
    </comment>
    <comment ref="AH5" authorId="0" shapeId="0">
      <text>
        <r>
          <rPr>
            <sz val="9"/>
            <color indexed="81"/>
            <rFont val="Tahoma"/>
            <family val="2"/>
          </rPr>
          <t>Phosphorus uptake parameter (P fraction in plant at maturity). (cols. 259-266)</t>
        </r>
      </text>
    </comment>
    <comment ref="AI5" authorId="0" shapeId="0">
      <text>
        <r>
          <rPr>
            <sz val="9"/>
            <color indexed="81"/>
            <rFont val="Tahoma"/>
            <family val="2"/>
          </rPr>
          <t>Potassium uptake parameter (K fraction in plant at emergence) (cols. 267-274)</t>
        </r>
      </text>
    </comment>
    <comment ref="AJ5" authorId="0" shapeId="0">
      <text>
        <r>
          <rPr>
            <sz val="9"/>
            <color indexed="81"/>
            <rFont val="Tahoma"/>
            <family val="2"/>
          </rPr>
          <t>Potassium uptake parameter (K fraction in plant at0.5 maturity. (cols. 275-282)</t>
        </r>
      </text>
    </comment>
    <comment ref="AK5" authorId="0" shapeId="0">
      <text>
        <r>
          <rPr>
            <sz val="9"/>
            <color indexed="81"/>
            <rFont val="Tahoma"/>
            <family val="2"/>
          </rPr>
          <t>Potassium uptake parameter (K fraction in plant at maturity  (cols. 283-290)</t>
        </r>
      </text>
    </comment>
    <comment ref="AL5" authorId="0" shapeId="0">
      <text>
        <r>
          <rPr>
            <sz val="9"/>
            <color indexed="81"/>
            <rFont val="Tahoma"/>
            <family val="2"/>
          </rPr>
          <t>Wind erosion factor for standing live.  (cols. 291-298)</t>
        </r>
      </text>
    </comment>
    <comment ref="AM5" authorId="0" shapeId="0">
      <text>
        <r>
          <rPr>
            <sz val="9"/>
            <color indexed="81"/>
            <rFont val="Tahoma"/>
            <family val="2"/>
          </rPr>
          <t>Wind erosion factor for standing dead.  (cols. 299-306)</t>
        </r>
      </text>
    </comment>
    <comment ref="AN5" authorId="0" shapeId="0">
      <text>
        <r>
          <rPr>
            <sz val="9"/>
            <color indexed="81"/>
            <rFont val="Tahoma"/>
            <family val="2"/>
          </rPr>
          <t>Wind erosion factor for flat residue.  (cols. 307-314)</t>
        </r>
      </text>
    </comment>
    <comment ref="AO5" authorId="0" shapeId="0">
      <text>
        <r>
          <rPr>
            <sz val="9"/>
            <color indexed="81"/>
            <rFont val="Tahoma"/>
            <family val="2"/>
          </rPr>
          <t>Crop category number:  (cols. 315-322)
1  Warm season annual legume
2  Cold season annual legume
3  Perennial legume
4  Warm season annual
5  Cold season annual
6  Perennial
7  Evergreen Tree crop
8  Deciduous Tree crop
9  Cotton
10 Leguminous Tree Crop
11 Unpalatable</t>
        </r>
      </text>
    </comment>
    <comment ref="AP5" authorId="0" shapeId="0">
      <text>
        <r>
          <rPr>
            <sz val="9"/>
            <color indexed="81"/>
            <rFont val="Tahoma"/>
            <family val="2"/>
          </rPr>
          <t>First point on frost damage curve.  (cols. 323-330)</t>
        </r>
      </text>
    </comment>
    <comment ref="AQ5" authorId="0" shapeId="0">
      <text>
        <r>
          <rPr>
            <sz val="9"/>
            <color indexed="81"/>
            <rFont val="Tahoma"/>
            <family val="2"/>
          </rPr>
          <t>Second point on frost damage curve.  (cols. 331-338)</t>
        </r>
      </text>
    </comment>
    <comment ref="AR5" authorId="0" shapeId="0">
      <text>
        <r>
          <rPr>
            <sz val="9"/>
            <color indexed="81"/>
            <rFont val="Tahoma"/>
            <family val="2"/>
          </rPr>
          <t>Parm relating vapor pressure deficit to WA.  (cols. 339-346)</t>
        </r>
      </text>
    </comment>
    <comment ref="AS5" authorId="0" shapeId="0">
      <text>
        <r>
          <rPr>
            <sz val="9"/>
            <color indexed="81"/>
            <rFont val="Tahoma"/>
            <family val="2"/>
          </rPr>
          <t>Threshold VPD (KPA)  (cols. 347-354)</t>
        </r>
      </text>
    </comment>
    <comment ref="AT5" authorId="0" shapeId="0">
      <text>
        <r>
          <rPr>
            <sz val="9"/>
            <color indexed="81"/>
            <rFont val="Tahoma"/>
            <family val="2"/>
          </rPr>
          <t>VPD value (KPA)    (cols. 355-362)</t>
        </r>
      </text>
    </comment>
    <comment ref="AU5" authorId="0" shapeId="0">
      <text>
        <r>
          <rPr>
            <sz val="9"/>
            <color indexed="81"/>
            <rFont val="Tahoma"/>
            <family val="2"/>
          </rPr>
          <t>Fraction of root weight at emergence. (cols. 363-370)</t>
        </r>
      </text>
    </comment>
    <comment ref="AV5" authorId="0" shapeId="0">
      <text>
        <r>
          <rPr>
            <sz val="9"/>
            <color indexed="81"/>
            <rFont val="Tahoma"/>
            <family val="2"/>
          </rPr>
          <t>Fraction of root weight at maturity. (cols. 371-378)</t>
        </r>
      </text>
    </comment>
    <comment ref="AW5" authorId="0" shapeId="0">
      <text>
        <r>
          <rPr>
            <sz val="9"/>
            <color indexed="81"/>
            <rFont val="Tahoma"/>
            <family val="2"/>
          </rPr>
          <t>Heat Units required for Germination.  (cols. 379-386)</t>
        </r>
      </text>
    </comment>
    <comment ref="AX5" authorId="0" shapeId="0">
      <text>
        <r>
          <rPr>
            <sz val="9"/>
            <color indexed="81"/>
            <rFont val="Tahoma"/>
            <family val="2"/>
          </rPr>
          <t>Plant Population for Crops &amp; Grass-1st Point on curve. (cols. 387-394)</t>
        </r>
      </text>
    </comment>
    <comment ref="AY5" authorId="0" shapeId="0">
      <text>
        <r>
          <rPr>
            <sz val="9"/>
            <color indexed="81"/>
            <rFont val="Tahoma"/>
            <family val="2"/>
          </rPr>
          <t>Plant Population for Crops &amp; Grass - 2nd Point on curve. (cols. 395-402)</t>
        </r>
      </text>
    </comment>
    <comment ref="AZ5" authorId="0" shapeId="0">
      <text>
        <r>
          <rPr>
            <sz val="9"/>
            <color indexed="81"/>
            <rFont val="Tahoma"/>
            <family val="2"/>
          </rPr>
          <t>Salinity affect on yield  (cols. 403-410)</t>
        </r>
      </text>
    </comment>
    <comment ref="BA5" authorId="0" shapeId="0">
      <text>
        <r>
          <rPr>
            <sz val="9"/>
            <color indexed="81"/>
            <rFont val="Tahoma"/>
            <family val="2"/>
          </rPr>
          <t>Salinity threshold  (cols. 411-418)</t>
        </r>
      </text>
    </comment>
    <comment ref="BB5" authorId="0" shapeId="0">
      <text>
        <r>
          <rPr>
            <sz val="9"/>
            <color indexed="81"/>
            <rFont val="Tahoma"/>
            <family val="2"/>
          </rPr>
          <t>Lignin fraction in plant at 0.5 maturity  (cols. 419-426)</t>
        </r>
      </text>
    </comment>
    <comment ref="BC5" authorId="0" shapeId="0">
      <text>
        <r>
          <rPr>
            <sz val="9"/>
            <color indexed="81"/>
            <rFont val="Tahoma"/>
            <family val="2"/>
          </rPr>
          <t>Lignin fraction in plant at full maturity  (cols. 427-434)</t>
        </r>
      </text>
    </comment>
    <comment ref="BD5" authorId="0" shapeId="0">
      <text>
        <r>
          <rPr>
            <sz val="9"/>
            <color indexed="81"/>
            <rFont val="Tahoma"/>
            <family val="2"/>
          </rPr>
          <t>Water use conversion to biomass (t/mm)  (cols. 435-442)</t>
        </r>
      </text>
    </comment>
    <comment ref="BE5" authorId="0" shapeId="0">
      <text>
        <r>
          <rPr>
            <sz val="9"/>
            <color indexed="81"/>
            <rFont val="Tahoma"/>
            <family val="2"/>
          </rPr>
          <t>Fraction turnout for cotton  (cols. 443-450)</t>
        </r>
      </text>
    </comment>
    <comment ref="BF5" authorId="0" shapeId="0">
      <text>
        <r>
          <rPr>
            <sz val="9"/>
            <color indexed="81"/>
            <rFont val="Tahoma"/>
            <family val="2"/>
          </rPr>
          <t>Fraction lint for cotton  (cols. 451-458)</t>
        </r>
      </text>
    </comment>
    <comment ref="BO5" authorId="0" shapeId="0">
      <text>
        <r>
          <rPr>
            <sz val="9"/>
            <color indexed="81"/>
            <rFont val="Tahoma"/>
            <family val="2"/>
          </rPr>
          <t>Full name of crop</t>
        </r>
      </text>
    </comment>
  </commentList>
</comments>
</file>

<file path=xl/comments5.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(i.e. FILENAME.DAT)</t>
        </r>
      </text>
    </comment>
    <comment ref="A5" authorId="1" shapeId="0">
      <text>
        <r>
          <rPr>
            <sz val="9"/>
            <color indexed="81"/>
            <rFont val="Tahoma"/>
            <family val="2"/>
          </rPr>
          <t>1-I = Fertilizer ID number | (cols. 2-5)</t>
        </r>
      </text>
    </comment>
    <comment ref="B5" authorId="1" shapeId="0">
      <text>
        <r>
          <rPr>
            <sz val="9"/>
            <color indexed="81"/>
            <rFont val="Tahoma"/>
            <family val="2"/>
          </rPr>
          <t>2 - FTNM = Fertilizer name | A descriptive name that usually includes the N-P-K analysis or the type of manure. (cols. 7-14)</t>
        </r>
      </text>
    </comment>
    <comment ref="C5" authorId="1" shapeId="0">
      <text>
        <r>
          <rPr>
            <sz val="9"/>
            <color indexed="81"/>
            <rFont val="Tahoma"/>
            <family val="2"/>
          </rPr>
          <t>3 - FN = Mineral N fraction | Fraction of nitrogen in the fertilizer which is in the mineral form. (cols. 15-22)</t>
        </r>
      </text>
    </comment>
    <comment ref="D5" authorId="1" shapeId="0">
      <text>
        <r>
          <rPr>
            <sz val="9"/>
            <color indexed="81"/>
            <rFont val="Tahoma"/>
            <family val="2"/>
          </rPr>
          <t>4 - FP = Mineral P fraction | Fraction phosphorus in the fertilizer which is in the mineral form. (cols. 23-30)</t>
        </r>
      </text>
    </comment>
    <comment ref="E5" authorId="1" shapeId="0">
      <text>
        <r>
          <rPr>
            <sz val="9"/>
            <color indexed="81"/>
            <rFont val="Tahoma"/>
            <family val="2"/>
          </rPr>
          <t xml:space="preserve">5 - FK = Mineral K fraction | Fraction of potassium in the fertilizer which is in the mineral form. (cols. 31-38)
</t>
        </r>
      </text>
    </comment>
    <comment ref="F5" authorId="1" shapeId="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text>
        <r>
          <rPr>
            <sz val="9"/>
            <color indexed="81"/>
            <rFont val="Tahoma"/>
            <family val="2"/>
          </rPr>
          <t>8 - FNH3 = Ammonia N fraction | The fraction of nitrogen in the fertilizer that is in the ammonia (NH3) form. (cols. 55-62)</t>
        </r>
      </text>
    </comment>
    <comment ref="I5" authorId="1" shapeId="0">
      <text>
        <r>
          <rPr>
            <sz val="9"/>
            <color indexed="81"/>
            <rFont val="Tahoma"/>
            <family val="2"/>
          </rPr>
          <t xml:space="preserve">9 - FOC = Organic C fraction | Organic carbon = organic matter / 1.72. (cols. 63-70)
</t>
        </r>
      </text>
    </comment>
    <comment ref="J5" authorId="1" shapeId="0">
      <text>
        <r>
          <rPr>
            <sz val="9"/>
            <color indexed="81"/>
            <rFont val="Tahoma"/>
            <family val="2"/>
          </rPr>
          <t xml:space="preserve">10 - FSLT = Salt fraction | Amount of salt in fertilizer. (cols. 71-78) 
</t>
        </r>
      </text>
    </comment>
    <comment ref="K5" authorId="1" shapeId="0">
      <text>
        <r>
          <rPr>
            <sz val="9"/>
            <color indexed="81"/>
            <rFont val="Tahoma"/>
            <family val="2"/>
          </rPr>
          <t>11 - FCST = Cost of Fertilizer ($/kg) | Used for economic analyses only. (cols. 79-86)</t>
        </r>
      </text>
    </comment>
  </commentList>
</comments>
</file>

<file path=xl/comments6.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(i.e. FILENAME.DAT)</t>
        </r>
      </text>
    </comment>
    <comment ref="A5" authorId="1" shapeId="0">
      <text>
        <r>
          <rPr>
            <sz val="9"/>
            <color indexed="81"/>
            <rFont val="Tahoma"/>
            <family val="2"/>
          </rPr>
          <t xml:space="preserve">1 - J1 : Pesticide ID number  (cols. 1-5)
</t>
        </r>
      </text>
    </comment>
    <comment ref="B5" authorId="1" shapeId="0">
      <text>
        <r>
          <rPr>
            <sz val="9"/>
            <color indexed="81"/>
            <rFont val="Tahoma"/>
            <family val="2"/>
          </rPr>
          <t>2 - PSTN : Pesticide name.  Common or brand name of the pesticide. (cols. 7-22)</t>
        </r>
      </text>
    </comment>
    <comment ref="C5" authorId="1" shapeId="0">
      <text>
        <r>
          <rPr>
            <sz val="9"/>
            <color indexed="81"/>
            <rFont val="Tahoma"/>
            <family val="2"/>
          </rPr>
          <t xml:space="preserve">3 - PSOL : Pesticide solubility in ppm.  The amount of the pesticide product which can dissolve in water. (ppm) (cols. 23-34)
</t>
        </r>
      </text>
    </comment>
    <comment ref="D5" authorId="1" shapeId="0">
      <text>
        <r>
          <rPr>
            <sz val="9"/>
            <color indexed="81"/>
            <rFont val="Tahoma"/>
            <family val="2"/>
          </rPr>
          <t>4 - PHLS : Pesticide half life in soil in days. The time that it takes for the pesticide product concentration in the soil to be reduced by half. (days) (cols. 35-42)</t>
        </r>
      </text>
    </comment>
    <comment ref="E5" authorId="1" shapeId="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text>
        <r>
          <rPr>
            <sz val="9"/>
            <color indexed="81"/>
            <rFont val="Tahoma"/>
            <family val="2"/>
          </rPr>
          <t xml:space="preserve">8 - PCST : Pesticide cost in $/KG. Used for economic analyses only. (cols. 69-76)
</t>
        </r>
      </text>
    </comment>
  </commentList>
</comments>
</file>

<file path=xl/comments7.xml><?xml version="1.0" encoding="utf-8"?>
<comments xmlns="http://schemas.openxmlformats.org/spreadsheetml/2006/main">
  <authors>
    <author>:</author>
  </authors>
  <commentList>
    <comment ref="A3" authorId="0" shapeId="0">
      <text>
        <r>
          <rPr>
            <sz val="9"/>
            <color indexed="81"/>
            <rFont val="Tahoma"/>
            <family val="2"/>
          </rPr>
          <t>Type the file name and extension (i.e. FILENAME.DAT)</t>
        </r>
      </text>
    </comment>
  </commentList>
</comments>
</file>

<file path=xl/comments8.xml><?xml version="1.0" encoding="utf-8"?>
<comments xmlns="http://schemas.openxmlformats.org/spreadsheetml/2006/main">
  <authors>
    <author>:</author>
    <author>Javier Osorio</author>
  </authors>
  <commentList>
    <comment ref="A2" authorId="0" shapeId="0">
      <text>
        <r>
          <rPr>
            <sz val="9"/>
            <color indexed="81"/>
            <rFont val="Tahoma"/>
            <family val="2"/>
          </rPr>
          <t>Type the file name and extension (i.e. FILENAME.DAT)</t>
        </r>
      </text>
    </comment>
    <comment ref="A4" authorId="1" shapeId="0">
      <text>
        <r>
          <rPr>
            <sz val="9"/>
            <color indexed="81"/>
            <rFont val="Tahoma"/>
            <family val="2"/>
          </rPr>
          <t>· Right justified
· 4 spaces each
· 20 per line
· Select by number
· Leave blank for standard output
· Enter -1 to omit all accumulated variables</t>
        </r>
      </text>
    </comment>
    <comment ref="A12" authorId="1" shapeId="0">
      <text>
        <r>
          <rPr>
            <sz val="9"/>
            <color indexed="81"/>
            <rFont val="Tahoma"/>
            <family val="2"/>
          </rPr>
          <t>· Right justified
· 4 spaces each
· Select by number
· Leave blank for standard output
· Enter -1 to omit all concentration variables</t>
        </r>
      </text>
    </comment>
    <comment ref="C12" authorId="1" shapeId="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6" authorId="1" shapeId="0">
      <text>
        <r>
          <rPr>
            <sz val="9"/>
            <color indexed="81"/>
            <rFont val="Tahoma"/>
            <family val="2"/>
          </rPr>
          <t>· Right justified
· 4 spaces each
· Select by number 
· Leave blank for standard output
· Enter -1 to omit all state variables</t>
        </r>
      </text>
    </comment>
    <comment ref="C16" authorId="1" shapeId="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0" authorId="1" shapeId="0">
      <text>
        <r>
          <rPr>
            <sz val="9"/>
            <color indexed="81"/>
            <rFont val="Tahoma"/>
            <family val="2"/>
          </rPr>
          <t>· Leave blank for standard output
· Up to 40 variables
· Right justified
· 4 spaces each
· 20 per row
· Select by number</t>
        </r>
      </text>
    </comment>
    <comment ref="A25" authorId="1" shapeId="0">
      <text>
        <r>
          <rPr>
            <sz val="9"/>
            <color indexed="81"/>
            <rFont val="Tahoma"/>
            <family val="2"/>
          </rPr>
          <t>· Select from KA list above
· Leave blank for standard output
· Enter -1 to omit all accumulated variables
· Up to 40 variables
· Right justified
· 4 spaces each
· 20 per row</t>
        </r>
      </text>
    </comment>
  </commentList>
</comments>
</file>

<file path=xl/comments9.xml><?xml version="1.0" encoding="utf-8"?>
<comments xmlns="http://schemas.openxmlformats.org/spreadsheetml/2006/main">
  <authors>
    <author>:</author>
    <author>Javier Osorio</author>
    <author>Qingyu.Feng</author>
  </authors>
  <commentList>
    <comment ref="A5" authorId="0" shapeId="0">
      <text>
        <r>
          <rPr>
            <sz val="9"/>
            <color indexed="81"/>
            <rFont val="Tahoma"/>
            <family val="2"/>
          </rPr>
          <t>Type the file name only. The extension will be assign from cell E4.
Leave blank if not new</t>
        </r>
      </text>
    </comment>
    <comment ref="A16" authorId="1" shapeId="0">
      <text>
        <r>
          <rPr>
            <sz val="9"/>
            <color indexed="81"/>
            <rFont val="Tahoma"/>
            <family val="2"/>
          </rPr>
          <t>JX (1) Year of operation (cols. 1-3) (Range: 1-100)</t>
        </r>
      </text>
    </comment>
    <comment ref="B16" authorId="1" shapeId="0">
      <text>
        <r>
          <rPr>
            <sz val="9"/>
            <color indexed="81"/>
            <rFont val="Tahoma"/>
            <family val="2"/>
          </rPr>
          <t>JX (2) Month of operation (cols. 4-6) (Range: 1-12)</t>
        </r>
      </text>
    </comment>
    <comment ref="C16" authorId="1" shapeId="0">
      <text>
        <r>
          <rPr>
            <sz val="9"/>
            <color indexed="81"/>
            <rFont val="Tahoma"/>
            <family val="2"/>
          </rPr>
          <t>JX (3) Day of operation (cols. 7-9) (Range: 1-31)</t>
        </r>
      </text>
    </comment>
    <comment ref="D16" authorId="2" shapeId="0">
      <text>
        <r>
          <rPr>
            <sz val="9"/>
            <color indexed="81"/>
            <rFont val="Tahoma"/>
            <charset val="1"/>
          </rPr>
          <t>Select Tillage ID from TILL.DAT table</t>
        </r>
      </text>
    </comment>
    <comment ref="E16" authorId="1" shapeId="0">
      <text>
        <r>
          <rPr>
            <sz val="9"/>
            <color indexed="81"/>
            <rFont val="Tahoma"/>
            <charset val="1"/>
          </rPr>
          <t>ID = 0 is not found on TILL.DAT table</t>
        </r>
      </text>
    </comment>
    <comment ref="F16" authorId="1" shapeId="0">
      <text>
        <r>
          <rPr>
            <sz val="9"/>
            <color indexed="81"/>
            <rFont val="Tahoma"/>
            <charset val="1"/>
          </rPr>
          <t>Type: Warm season annual | Name: CORN SILAGE</t>
        </r>
      </text>
    </comment>
    <comment ref="G16" authorId="2" shapeId="0">
      <text>
        <r>
          <rPr>
            <sz val="9"/>
            <color indexed="81"/>
            <rFont val="Tahoma"/>
            <charset val="1"/>
          </rPr>
          <t>Enter: LYR - Time plant-harvest | XMTU - Time plant-maturity | Pest ID (PEST.DAT) | Fert ID (FERT.DAT)</t>
        </r>
      </text>
    </comment>
    <comment ref="H16" authorId="1" shapeId="0">
      <text>
        <r>
          <rPr>
            <sz val="9"/>
            <color indexed="81"/>
            <rFont val="Tahoma"/>
            <charset val="1"/>
          </rPr>
          <t xml:space="preserve">Type: Fertilize | Fertilizer application rate in kg/ha. </t>
        </r>
      </text>
    </comment>
    <comment ref="I16" authorId="0" shapeId="0">
      <text>
        <r>
          <rPr>
            <sz val="9"/>
            <color indexed="81"/>
            <rFont val="Tahoma"/>
            <family val="2"/>
          </rPr>
          <t xml:space="preserve">Type: Fertilize | Fertilizer application rate in kg/ha. </t>
        </r>
      </text>
    </comment>
    <comment ref="J16" authorId="1" shapeId="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K16" authorId="1" shapeId="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L16" authorId="1" shapeId="0">
      <text>
        <r>
          <rPr>
            <sz val="9"/>
            <color indexed="81"/>
            <rFont val="Tahoma"/>
            <family val="2"/>
          </rPr>
          <t>1 Plant population for planting operation only (plants/m2 or plants/ha if plants/m2 &lt; 1.; e.g. trees) (Range: 0-500)
2 Factor to adjust automatic irrigation volume (FIRG*F). 
(cols. 62-69)</t>
        </r>
      </text>
    </comment>
    <comment ref="M16" authorId="1" shapeId="0">
      <text>
        <r>
          <rPr>
            <sz val="9"/>
            <color indexed="81"/>
            <rFont val="Tahoma"/>
            <family val="2"/>
          </rPr>
          <t>Maximum annual N fertilizer applied to a crop  (Range: 0 - 1000)
(cols. 70-77)</t>
        </r>
      </text>
    </comment>
    <comment ref="N16" authorId="1" shapeId="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List>
</comments>
</file>

<file path=xl/comments10.xml><?xml version="1.0" encoding="utf-8"?>
<comments xmlns="http://schemas.openxmlformats.org/spreadsheetml/2006/main">
  <authors>
    <author>:</author>
    <author>Javier Osorio</author>
  </authors>
  <commentList>
    <comment ref="A2" authorId="0" shapeId="0">
      <text>
        <r>
          <rPr>
            <sz val="9"/>
            <color indexed="81"/>
            <rFont val="Tahoma"/>
            <family val="2"/>
          </rPr>
          <t>Type the file name and extension (i.e. FILENAME.DAT)</t>
        </r>
      </text>
    </comment>
    <comment ref="E4" authorId="1" shapeId="0">
      <text>
        <r>
          <rPr>
            <sz val="9"/>
            <color indexed="81"/>
            <rFont val="Tahoma"/>
            <family val="2"/>
          </rPr>
          <t>Important: Don't use spaces in your comments</t>
        </r>
      </text>
    </comment>
  </commentList>
</comments>
</file>

<file path=xl/comments11.xml><?xml version="1.0" encoding="utf-8"?>
<comments xmlns="http://schemas.openxmlformats.org/spreadsheetml/2006/main">
  <authors>
    <author>:</author>
    <author>Javier Osorio</author>
  </authors>
  <commentList>
    <comment ref="A2" authorId="0" shapeId="0">
      <text>
        <r>
          <rPr>
            <sz val="9"/>
            <color indexed="81"/>
            <rFont val="Tahoma"/>
            <family val="2"/>
          </rPr>
          <t>Type the file name and extension (i.e. FILENAME.DAT)</t>
        </r>
      </text>
    </comment>
    <comment ref="E4" authorId="1" shapeId="0">
      <text>
        <r>
          <rPr>
            <sz val="9"/>
            <color indexed="81"/>
            <rFont val="Tahoma"/>
            <family val="2"/>
          </rPr>
          <t>Important: Don't use spaces in your comments</t>
        </r>
      </text>
    </comment>
  </commentList>
</comments>
</file>

<file path=xl/comments12.xml><?xml version="1.0" encoding="utf-8"?>
<comments xmlns="http://schemas.openxmlformats.org/spreadsheetml/2006/main">
  <authors>
    <author>:</author>
    <author>Javier Osorio</author>
  </authors>
  <commentList>
    <comment ref="A2" authorId="0" shapeId="0">
      <text>
        <r>
          <rPr>
            <sz val="9"/>
            <color indexed="81"/>
            <rFont val="Tahoma"/>
            <family val="2"/>
          </rPr>
          <t>Type the file name and extension (i.e. FILENAME.DAT)</t>
        </r>
      </text>
    </comment>
    <comment ref="E4" authorId="1" shapeId="0">
      <text>
        <r>
          <rPr>
            <sz val="9"/>
            <color indexed="81"/>
            <rFont val="Tahoma"/>
            <family val="2"/>
          </rPr>
          <t>Important: Don't use spaces in your comments</t>
        </r>
      </text>
    </comment>
  </commentList>
</comments>
</file>

<file path=xl/comments13.xml><?xml version="1.0" encoding="utf-8"?>
<comments xmlns="http://schemas.openxmlformats.org/spreadsheetml/2006/main">
  <authors>
    <author>:</author>
    <author>Javier Osorio</author>
  </authors>
  <commentList>
    <comment ref="A3" authorId="0" shapeId="0">
      <text>
        <r>
          <rPr>
            <sz val="9"/>
            <color indexed="81"/>
            <rFont val="Tahoma"/>
            <family val="2"/>
          </rPr>
          <t>Type the file name and extension (i.e. FILENAME.DAT) to create new file (Leave blank otherwise)</t>
        </r>
      </text>
    </comment>
    <comment ref="A76" authorId="1" shapeId="0">
      <text>
        <r>
          <rPr>
            <sz val="9"/>
            <color indexed="81"/>
            <rFont val="Tahoma"/>
            <family val="2"/>
          </rPr>
          <t>0 For flexible (variable) applications. 
1 For rigid (fixed) applications.</t>
        </r>
      </text>
    </comment>
    <comment ref="A77" authorId="1" shapeId="0">
      <text>
        <r>
          <rPr>
            <sz val="9"/>
            <color indexed="81"/>
            <rFont val="Tahoma"/>
            <family val="2"/>
          </rPr>
          <t>0 for dryland
1 for sprinkler irrigation
2 for furrow/flood irrigation
3 for fertigation (irrigation with fertilizer added)
4 for lagoon (irrigation from a lagoon)
5 for drip irrigation</t>
        </r>
      </text>
    </comment>
    <comment ref="A90" authorId="1" shapeId="0">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List>
</comments>
</file>

<file path=xl/comments14.xml><?xml version="1.0" encoding="utf-8"?>
<comments xmlns="http://schemas.openxmlformats.org/spreadsheetml/2006/main">
  <authors>
    <author>:</author>
    <author>Javier Osorio</author>
  </authors>
  <commentList>
    <comment ref="A5" authorId="0" shapeId="0">
      <text>
        <r>
          <rPr>
            <sz val="9"/>
            <color indexed="81"/>
            <rFont val="Tahoma"/>
            <family val="2"/>
          </rPr>
          <t>Type the file name only. The extension will be assign from cell E4.
Leave blank if not new</t>
        </r>
      </text>
    </comment>
    <comment ref="A9" authorId="1" shapeId="0">
      <text>
        <r>
          <rPr>
            <sz val="9"/>
            <color indexed="81"/>
            <rFont val="Tahoma"/>
            <family val="2"/>
          </rPr>
          <t>Soil albedo (fraction) (cols.1-8 ) (Range: 0-1)</t>
        </r>
      </text>
    </comment>
    <comment ref="C9" authorId="1" shapeId="0">
      <text>
        <r>
          <rPr>
            <sz val="9"/>
            <color indexed="81"/>
            <rFont val="Tahoma"/>
            <family val="2"/>
          </rPr>
          <t>Soil hydrologic group (1=A, 2=B, 3=C, or 4=D). (cols. 9-16) (Range: 1-4)</t>
        </r>
      </text>
    </comment>
    <comment ref="E9" authorId="1" shapeId="0">
      <text>
        <r>
          <rPr>
            <sz val="9"/>
            <color indexed="81"/>
            <rFont val="Tahoma"/>
            <family val="2"/>
          </rPr>
          <t>Initial Soil Water Content (cols. 17-24) (Range: 0-1)</t>
        </r>
      </text>
    </comment>
    <comment ref="G9" authorId="1" shapeId="0">
      <text>
        <r>
          <rPr>
            <sz val="9"/>
            <color indexed="81"/>
            <rFont val="Tahoma"/>
            <family val="2"/>
          </rPr>
          <t>Minimum depth to water table (m) (cols. 25-32) (Range: 0-100)</t>
        </r>
      </text>
    </comment>
    <comment ref="I9" authorId="1" shapeId="0">
      <text>
        <r>
          <rPr>
            <sz val="9"/>
            <color indexed="81"/>
            <rFont val="Tahoma"/>
            <family val="2"/>
          </rPr>
          <t>Maximum depth to water table (m) (cols. 33-40) (Range: 0-100)</t>
        </r>
      </text>
    </comment>
    <comment ref="K9" authorId="1" shapeId="0">
      <text>
        <r>
          <rPr>
            <sz val="9"/>
            <color indexed="81"/>
            <rFont val="Tahoma"/>
            <family val="2"/>
          </rPr>
          <t>Initial water table height (m) (cols. 41-48) (Range: 0-100)</t>
        </r>
      </text>
    </comment>
    <comment ref="M9" authorId="1" shapeId="0">
      <text>
        <r>
          <rPr>
            <sz val="9"/>
            <color indexed="81"/>
            <rFont val="Tahoma"/>
            <family val="2"/>
          </rPr>
          <t>Groundwater storage (mm) (cols. 49-56) (Range: 0-200) 0 if unknown</t>
        </r>
      </text>
    </comment>
    <comment ref="O9" authorId="1" shapeId="0">
      <text>
        <r>
          <rPr>
            <sz val="9"/>
            <color indexed="81"/>
            <rFont val="Tahoma"/>
            <family val="2"/>
          </rPr>
          <t>Maximum groundwater storage (cols. 57-64) (Range: 10-500) 0 if unknown</t>
        </r>
      </text>
    </comment>
    <comment ref="Q9" authorId="0" shapeId="0">
      <text>
        <r>
          <rPr>
            <b/>
            <sz val="9"/>
            <color indexed="81"/>
            <rFont val="Tahoma"/>
            <family val="2"/>
          </rPr>
          <t>::</t>
        </r>
        <r>
          <rPr>
            <sz val="9"/>
            <color indexed="81"/>
            <rFont val="Tahoma"/>
            <family val="2"/>
          </rPr>
          <t xml:space="preserve">
Groundwater residence time in days (cols. 65-72) (Range: 1-365) 0 if unknown</t>
        </r>
      </text>
    </comment>
    <comment ref="S9" authorId="0" shapeId="0">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text>
        <r>
          <rPr>
            <b/>
            <sz val="9"/>
            <color indexed="81"/>
            <rFont val="Tahoma"/>
            <family val="2"/>
          </rPr>
          <t>::</t>
        </r>
        <r>
          <rPr>
            <sz val="9"/>
            <color indexed="81"/>
            <rFont val="Tahoma"/>
            <family val="2"/>
          </rPr>
          <t xml:space="preserve">
Maximum number of soil layers after splitting (cols. 1-8) (Range: 3-10)</t>
        </r>
      </text>
    </comment>
    <comment ref="C10" authorId="0" shapeId="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text>
        <r>
          <rPr>
            <b/>
            <sz val="9"/>
            <color indexed="81"/>
            <rFont val="Tahoma"/>
            <family val="2"/>
          </rPr>
          <t>::</t>
        </r>
        <r>
          <rPr>
            <sz val="9"/>
            <color indexed="81"/>
            <rFont val="Tahoma"/>
            <family val="2"/>
          </rPr>
          <t xml:space="preserve">
Minimum profile thickness (cols. 41-48) (Range: 0.05-0.25)
</t>
        </r>
      </text>
    </comment>
    <comment ref="M10" authorId="0" shapeId="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text>
        <r>
          <rPr>
            <b/>
            <sz val="9"/>
            <color indexed="81"/>
            <rFont val="Tahoma"/>
            <family val="2"/>
          </rPr>
          <t>::</t>
        </r>
        <r>
          <rPr>
            <sz val="9"/>
            <color indexed="81"/>
            <rFont val="Tahoma"/>
            <family val="2"/>
          </rPr>
          <t xml:space="preserve">
Fraction of Org C in biomass Pool (cols. 57-64) (Range: 0.03 – 0.05)</t>
        </r>
      </text>
    </comment>
    <comment ref="Q10" authorId="0" shapeId="0">
      <text>
        <r>
          <rPr>
            <b/>
            <sz val="9"/>
            <color indexed="81"/>
            <rFont val="Tahoma"/>
            <family val="2"/>
          </rPr>
          <t>::</t>
        </r>
        <r>
          <rPr>
            <sz val="9"/>
            <color indexed="81"/>
            <rFont val="Tahoma"/>
            <family val="2"/>
          </rPr>
          <t xml:space="preserve">
Fraction of Org C in passive Pool (cols. 65-72) (Range: 0.3 – 0.7)
</t>
        </r>
      </text>
    </comment>
    <comment ref="S10" authorId="0" shapeId="0">
      <text>
        <r>
          <rPr>
            <b/>
            <sz val="9"/>
            <color indexed="81"/>
            <rFont val="Tahoma"/>
            <family val="2"/>
          </rPr>
          <t>::</t>
        </r>
        <r>
          <rPr>
            <sz val="9"/>
            <color indexed="81"/>
            <rFont val="Tahoma"/>
            <family val="2"/>
          </rPr>
          <t xml:space="preserve">
Code written automatically by .SOT (NOT USER INPUTTED) (cols. 73-80)</t>
        </r>
      </text>
    </comment>
  </commentList>
</comments>
</file>

<file path=xl/comments15.xml><?xml version="1.0" encoding="utf-8"?>
<comments xmlns="http://schemas.openxmlformats.org/spreadsheetml/2006/main">
  <authors>
    <author>:</author>
  </authors>
  <commentList>
    <comment ref="A2" authorId="0" shapeId="0">
      <text>
        <r>
          <rPr>
            <sz val="9"/>
            <color indexed="81"/>
            <rFont val="Tahoma"/>
            <family val="2"/>
          </rPr>
          <t>Type the file name and extension (i.e. FILENAME.DAT)</t>
        </r>
      </text>
    </comment>
  </commentList>
</comments>
</file>

<file path=xl/comments16.xml><?xml version="1.0" encoding="utf-8"?>
<comments xmlns="http://schemas.openxmlformats.org/spreadsheetml/2006/main">
  <authors>
    <author>:</author>
  </authors>
  <commentList>
    <comment ref="A3" authorId="0" shapeId="0">
      <text>
        <r>
          <rPr>
            <sz val="9"/>
            <color indexed="81"/>
            <rFont val="Tahoma"/>
            <family val="2"/>
          </rPr>
          <t>Type the file name and extension must strart with APEXCONT (i.e. APEXCONT*.DAT)</t>
        </r>
      </text>
    </comment>
  </commentList>
</comments>
</file>

<file path=xl/sharedStrings.xml><?xml version="1.0" encoding="utf-8"?>
<sst xmlns="http://schemas.openxmlformats.org/spreadsheetml/2006/main" count="5124" uniqueCount="3887">
  <si>
    <t>FSITE</t>
  </si>
  <si>
    <t>FSUBA</t>
  </si>
  <si>
    <t>FWPM</t>
  </si>
  <si>
    <t>FWIND</t>
  </si>
  <si>
    <t>FCROP</t>
  </si>
  <si>
    <t>FTILL</t>
  </si>
  <si>
    <t>FPEST</t>
  </si>
  <si>
    <t>FFERT</t>
  </si>
  <si>
    <t>FSOIL</t>
  </si>
  <si>
    <t>FOPSC</t>
  </si>
  <si>
    <t>FTR55</t>
  </si>
  <si>
    <t>FPARM</t>
  </si>
  <si>
    <t>FMLRN</t>
  </si>
  <si>
    <t>FPRNT</t>
  </si>
  <si>
    <t>FHERD</t>
  </si>
  <si>
    <t>RFDTLST.DAT</t>
  </si>
  <si>
    <t>Description</t>
  </si>
  <si>
    <t>Equation parameters and coefficients</t>
  </si>
  <si>
    <t>Includes the control data for printing select output variables in the sections of the APEX0806.out file and other summary files.</t>
  </si>
  <si>
    <t>A list of daily weather stations and their corresponding latitude and longitude values ordered by weather station number which can be used in creating runs.</t>
  </si>
  <si>
    <t>Rows of data organized by run name and numbers identifying site, weather station, wind station and subarea files needed for each run</t>
  </si>
  <si>
    <t>Control file—specifies run length, option selections, defaults, etc.  This input data does not change between runs included in APEXRUN.dat.</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</si>
  <si>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</si>
  <si>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</si>
  <si>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</si>
  <si>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</si>
  <si>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</si>
  <si>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</si>
  <si>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</si>
  <si>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</si>
  <si>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</si>
  <si>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</si>
  <si>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</si>
  <si>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</si>
  <si>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</si>
  <si>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</si>
  <si>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</si>
  <si>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</si>
  <si>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</si>
  <si>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</si>
  <si>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</si>
  <si>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</si>
  <si>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</si>
  <si>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NGN</t>
  </si>
  <si>
    <t>IGN</t>
  </si>
  <si>
    <t>IGSD</t>
  </si>
  <si>
    <t>LPYR</t>
  </si>
  <si>
    <t>IET</t>
  </si>
  <si>
    <t>ISCN</t>
  </si>
  <si>
    <t>ITYP</t>
  </si>
  <si>
    <t>ISTA</t>
  </si>
  <si>
    <t>IHUS</t>
  </si>
  <si>
    <t>NVCN</t>
  </si>
  <si>
    <t>INFL</t>
  </si>
  <si>
    <t>MASP</t>
  </si>
  <si>
    <t>IERT</t>
  </si>
  <si>
    <t>LBP</t>
  </si>
  <si>
    <t>NUPC</t>
  </si>
  <si>
    <t>MNUL</t>
  </si>
  <si>
    <t>LPD</t>
  </si>
  <si>
    <t>MSCP</t>
  </si>
  <si>
    <t>ISLF</t>
  </si>
  <si>
    <t>NAQ</t>
  </si>
  <si>
    <t>IHY</t>
  </si>
  <si>
    <t>ICO2</t>
  </si>
  <si>
    <t>ISW</t>
  </si>
  <si>
    <t>IGMX</t>
  </si>
  <si>
    <t>IDIR</t>
  </si>
  <si>
    <t>IMW</t>
  </si>
  <si>
    <t>IOX</t>
  </si>
  <si>
    <t>IDNT</t>
  </si>
  <si>
    <t>IAZM</t>
  </si>
  <si>
    <t>IPAT</t>
  </si>
  <si>
    <t>IHRD</t>
  </si>
  <si>
    <t>IWTB</t>
  </si>
  <si>
    <t>NSTP</t>
  </si>
  <si>
    <t>ISAP</t>
  </si>
  <si>
    <t>RFN</t>
  </si>
  <si>
    <t>CO2</t>
  </si>
  <si>
    <t>CQN</t>
  </si>
  <si>
    <t>PSTX</t>
  </si>
  <si>
    <t>YWI</t>
  </si>
  <si>
    <t>BTA</t>
  </si>
  <si>
    <t>EXPK</t>
  </si>
  <si>
    <t>QG</t>
  </si>
  <si>
    <t>QCF</t>
  </si>
  <si>
    <t>CHSO</t>
  </si>
  <si>
    <t>BWD</t>
  </si>
  <si>
    <t>FCW</t>
  </si>
  <si>
    <t>FPSC</t>
  </si>
  <si>
    <t>GWSO</t>
  </si>
  <si>
    <t>RFTO</t>
  </si>
  <si>
    <t>RFPO</t>
  </si>
  <si>
    <t>SATO</t>
  </si>
  <si>
    <t>FL</t>
  </si>
  <si>
    <t>FW</t>
  </si>
  <si>
    <t>ANG</t>
  </si>
  <si>
    <t>UXP</t>
  </si>
  <si>
    <t>DIAM</t>
  </si>
  <si>
    <t>ACW</t>
  </si>
  <si>
    <t>GZL0</t>
  </si>
  <si>
    <t>RTN0</t>
  </si>
  <si>
    <t>BXCT</t>
  </si>
  <si>
    <t>BYCT</t>
  </si>
  <si>
    <t>DTHY</t>
  </si>
  <si>
    <t>QTH</t>
  </si>
  <si>
    <t>STND</t>
  </si>
  <si>
    <t>DRV</t>
  </si>
  <si>
    <t>PCO0</t>
  </si>
  <si>
    <t>RCC0</t>
  </si>
  <si>
    <t>CSLT</t>
  </si>
  <si>
    <t>BUS(1)</t>
  </si>
  <si>
    <t>BUS(2)</t>
  </si>
  <si>
    <t>BUS(3)</t>
  </si>
  <si>
    <t>BUS(4)</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</si>
  <si>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</si>
  <si>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</si>
  <si>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</si>
  <si>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</si>
  <si>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</si>
  <si>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</si>
  <si>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</si>
  <si>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</si>
  <si>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</si>
  <si>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</si>
  <si>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</si>
  <si>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</si>
  <si>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</si>
  <si>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</si>
  <si>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</si>
  <si>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</si>
  <si>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</si>
  <si>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</si>
  <si>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</si>
  <si>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</si>
  <si>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</si>
  <si>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</si>
  <si>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</si>
  <si>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</si>
  <si>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</si>
  <si>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</si>
  <si>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</si>
  <si>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</si>
  <si>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</si>
  <si>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</si>
  <si>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</si>
  <si>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</si>
  <si>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</si>
  <si>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</si>
  <si>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TR2W40LP</t>
  </si>
  <si>
    <t>POWE</t>
  </si>
  <si>
    <t>TR2W40GS</t>
  </si>
  <si>
    <t>TR2W40DS</t>
  </si>
  <si>
    <t>TR2W55LP</t>
  </si>
  <si>
    <t>TR2W55GS</t>
  </si>
  <si>
    <t>TR2W55DS</t>
  </si>
  <si>
    <t>TR2W85LP</t>
  </si>
  <si>
    <t>TR2W85GS</t>
  </si>
  <si>
    <t>TR2W85DS</t>
  </si>
  <si>
    <t>TR2100LP</t>
  </si>
  <si>
    <t>HORSE</t>
  </si>
  <si>
    <t>TR2100DS</t>
  </si>
  <si>
    <t>TR2135DS</t>
  </si>
  <si>
    <t>TR2160DS</t>
  </si>
  <si>
    <t>TR2175DS</t>
  </si>
  <si>
    <t>TR2205DS</t>
  </si>
  <si>
    <t>TR2225DS</t>
  </si>
  <si>
    <t>TR2290DS</t>
  </si>
  <si>
    <t>TR4W40DS</t>
  </si>
  <si>
    <t>TR4W55DS</t>
  </si>
  <si>
    <t>TR4W85DS</t>
  </si>
  <si>
    <t>TR4100DS</t>
  </si>
  <si>
    <t>TR4135DS</t>
  </si>
  <si>
    <t>TR4160DS</t>
  </si>
  <si>
    <t>TR4175DS</t>
  </si>
  <si>
    <t>TR4205DS</t>
  </si>
  <si>
    <t>TR4225DS</t>
  </si>
  <si>
    <t>TR4290DS</t>
  </si>
  <si>
    <t>4W40HPDS</t>
  </si>
  <si>
    <t>4W55HPDS</t>
  </si>
  <si>
    <t>4W85HPDS</t>
  </si>
  <si>
    <t>4W100DS</t>
  </si>
  <si>
    <t>4W135DS</t>
  </si>
  <si>
    <t>4W175DS</t>
  </si>
  <si>
    <t>4W205DS</t>
  </si>
  <si>
    <t>4W225DS</t>
  </si>
  <si>
    <t>4W290DS</t>
  </si>
  <si>
    <t>SELF</t>
  </si>
  <si>
    <t>CRAW40DS</t>
  </si>
  <si>
    <t>CRAW55DS</t>
  </si>
  <si>
    <t>CRAW85DS</t>
  </si>
  <si>
    <t>CRW100DS</t>
  </si>
  <si>
    <t>CRW135DS</t>
  </si>
  <si>
    <t>CRW160DS</t>
  </si>
  <si>
    <t>CRW175DS</t>
  </si>
  <si>
    <t>CRW205DS</t>
  </si>
  <si>
    <t>CRW225DS</t>
  </si>
  <si>
    <t>CRW290DS</t>
  </si>
  <si>
    <t>DRLLNT24</t>
  </si>
  <si>
    <t>NON</t>
  </si>
  <si>
    <t>PLBEET8R</t>
  </si>
  <si>
    <t>PLPOTATO</t>
  </si>
  <si>
    <t>PLTRAN4R</t>
  </si>
  <si>
    <t>DRPLDG14</t>
  </si>
  <si>
    <t>PLRG12RW</t>
  </si>
  <si>
    <t>PLNTL6RW</t>
  </si>
  <si>
    <t>PLRDT6RW</t>
  </si>
  <si>
    <t>AERLSEED</t>
  </si>
  <si>
    <t>BRDCSEED</t>
  </si>
  <si>
    <t>ROWCGE15</t>
  </si>
  <si>
    <t>FLDCLT36</t>
  </si>
  <si>
    <t>HRW10BAR</t>
  </si>
  <si>
    <t>CULPKPUL</t>
  </si>
  <si>
    <t>LANDLEVL</t>
  </si>
  <si>
    <t>LISTRMID</t>
  </si>
  <si>
    <t>SANDFIGT</t>
  </si>
  <si>
    <t>SEEDROLL</t>
  </si>
  <si>
    <t>FLEXGE20</t>
  </si>
  <si>
    <t>SPIKGT25</t>
  </si>
  <si>
    <t>SPTHGE15</t>
  </si>
  <si>
    <t>ROTHOE</t>
  </si>
  <si>
    <t>ROTOTILL</t>
  </si>
  <si>
    <t>BEETPULL</t>
  </si>
  <si>
    <t>CHPLLE15</t>
  </si>
  <si>
    <t>CCHPLOW</t>
  </si>
  <si>
    <t>DKPLGE23</t>
  </si>
  <si>
    <t>MLBDR4-6</t>
  </si>
  <si>
    <t>MLBD24-6</t>
  </si>
  <si>
    <t>SUBCHPLW</t>
  </si>
  <si>
    <t>RICEROLL</t>
  </si>
  <si>
    <t>RIPRSUBS</t>
  </si>
  <si>
    <t>DSKBRMKR</t>
  </si>
  <si>
    <t>OFFDGE19</t>
  </si>
  <si>
    <t>TANPGE19</t>
  </si>
  <si>
    <t>TANRGE19</t>
  </si>
  <si>
    <t>MANURSCP</t>
  </si>
  <si>
    <t>BLADE 10</t>
  </si>
  <si>
    <t>FURWDIKE</t>
  </si>
  <si>
    <t>AERIALFT</t>
  </si>
  <si>
    <t>ANHYTRAC</t>
  </si>
  <si>
    <t>ANHYTRLR</t>
  </si>
  <si>
    <t>DRYFTRLR</t>
  </si>
  <si>
    <t>LQDFTRLR</t>
  </si>
  <si>
    <t>MANSPDER</t>
  </si>
  <si>
    <t>SPFTSPDR</t>
  </si>
  <si>
    <t>ANIMAL</t>
  </si>
  <si>
    <t>FERTRENT</t>
  </si>
  <si>
    <t>CUST</t>
  </si>
  <si>
    <t>AERIALCH</t>
  </si>
  <si>
    <t>CHEMIMPL</t>
  </si>
  <si>
    <t>CHEMLGSP</t>
  </si>
  <si>
    <t>CGE30TLR</t>
  </si>
  <si>
    <t>CHEMRENT</t>
  </si>
  <si>
    <t>CSP2WD</t>
  </si>
  <si>
    <t>CSP4WD</t>
  </si>
  <si>
    <t>CSPTRACK</t>
  </si>
  <si>
    <t>CORNPICK</t>
  </si>
  <si>
    <t>CTTNPICK</t>
  </si>
  <si>
    <t>CTTNPKSP</t>
  </si>
  <si>
    <t>CTMODULE</t>
  </si>
  <si>
    <t>CTTNROOD</t>
  </si>
  <si>
    <t>CTTNSTPR</t>
  </si>
  <si>
    <t>CTTNSTSP</t>
  </si>
  <si>
    <t>CTTNTRLR</t>
  </si>
  <si>
    <t>PNUTDIGS</t>
  </si>
  <si>
    <t>PNUTCOMB</t>
  </si>
  <si>
    <t>PNUTRESK</t>
  </si>
  <si>
    <t>PNUTSHKI</t>
  </si>
  <si>
    <t>PNUTVINC</t>
  </si>
  <si>
    <t>PNUTWAGN</t>
  </si>
  <si>
    <t>SILAGEHV</t>
  </si>
  <si>
    <t>BALERMTD</t>
  </si>
  <si>
    <t>BALEPTOL</t>
  </si>
  <si>
    <t>BALEPTOS</t>
  </si>
  <si>
    <t>BALERSP</t>
  </si>
  <si>
    <t>MOWERPTO</t>
  </si>
  <si>
    <t>MOWERCSP</t>
  </si>
  <si>
    <t>MOWERDRD</t>
  </si>
  <si>
    <t>MOWLAWN</t>
  </si>
  <si>
    <t>MOWERSCK</t>
  </si>
  <si>
    <t>MOWAUTO</t>
  </si>
  <si>
    <t>RAKESIDE</t>
  </si>
  <si>
    <t>RAKEWHEL</t>
  </si>
  <si>
    <t>WSWTHPTO</t>
  </si>
  <si>
    <t>WSWTHSP</t>
  </si>
  <si>
    <t>BALELOAD</t>
  </si>
  <si>
    <t>SHREDGT8</t>
  </si>
  <si>
    <t>SHRDRGT8</t>
  </si>
  <si>
    <t>STACKMOV</t>
  </si>
  <si>
    <t>STACKAUT</t>
  </si>
  <si>
    <t>BEETHARV</t>
  </si>
  <si>
    <t>BEETTOPP</t>
  </si>
  <si>
    <t>RICECOMB</t>
  </si>
  <si>
    <t>PIPE WGN</t>
  </si>
  <si>
    <t>TRLR20FT</t>
  </si>
  <si>
    <t>TRLR40FT</t>
  </si>
  <si>
    <t>TRCK1/2T</t>
  </si>
  <si>
    <t>TRCK3/4T</t>
  </si>
  <si>
    <t>SEMIDIES</t>
  </si>
  <si>
    <t>TRCKDI4T</t>
  </si>
  <si>
    <t>CSPHILBG</t>
  </si>
  <si>
    <t>DSKPLW36</t>
  </si>
  <si>
    <t>BACKHOE</t>
  </si>
  <si>
    <t>CTTNCHOP</t>
  </si>
  <si>
    <t>DTCHVEE</t>
  </si>
  <si>
    <t>FRNTLDR</t>
  </si>
  <si>
    <t>GRWAGON</t>
  </si>
  <si>
    <t>ROCKPICK</t>
  </si>
  <si>
    <t>RDNTKILL</t>
  </si>
  <si>
    <t>BULLDOZR</t>
  </si>
  <si>
    <t>GATEPIPE</t>
  </si>
  <si>
    <t>IRRI</t>
  </si>
  <si>
    <t>PLASTIC</t>
  </si>
  <si>
    <t>RODWDR36</t>
  </si>
  <si>
    <t>CANEHRV2</t>
  </si>
  <si>
    <t>TLOADSUG</t>
  </si>
  <si>
    <t>BURNUNIT</t>
  </si>
  <si>
    <t>CANEWG10</t>
  </si>
  <si>
    <t>POTAHARV</t>
  </si>
  <si>
    <t>CANELDSP</t>
  </si>
  <si>
    <t>VEGHARV</t>
  </si>
  <si>
    <t>CANEPLNT</t>
  </si>
  <si>
    <t>RMV-DIKE</t>
  </si>
  <si>
    <t>PADDYBD</t>
  </si>
  <si>
    <t>PUDDLE</t>
  </si>
  <si>
    <t>XPUDDLE</t>
  </si>
  <si>
    <t>GRAZE</t>
  </si>
  <si>
    <t>KILL</t>
  </si>
  <si>
    <t>CLEARCUT</t>
  </si>
  <si>
    <t>CNTR PVT</t>
  </si>
  <si>
    <t>IRR100HP</t>
  </si>
  <si>
    <t>FLOODIRR</t>
  </si>
  <si>
    <t>ALDRPIRR</t>
  </si>
  <si>
    <t>WY WWELL</t>
  </si>
  <si>
    <t>WYCDITCH</t>
  </si>
  <si>
    <t>WYGTPIPE</t>
  </si>
  <si>
    <t>AER APPF</t>
  </si>
  <si>
    <t>WEED</t>
  </si>
  <si>
    <t>DEFOL</t>
  </si>
  <si>
    <t>PLANT20</t>
  </si>
  <si>
    <t>PLANT13</t>
  </si>
  <si>
    <t>PLANT27</t>
  </si>
  <si>
    <t>PLANT40</t>
  </si>
  <si>
    <t>PLANT32</t>
  </si>
  <si>
    <t>PLANTFAL</t>
  </si>
  <si>
    <t>PLANT38</t>
  </si>
  <si>
    <t>PLANT30</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</si>
  <si>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</si>
  <si>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</si>
  <si>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</si>
  <si>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</si>
  <si>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</si>
  <si>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</si>
  <si>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</si>
  <si>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</si>
  <si>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</si>
  <si>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</si>
  <si>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</si>
  <si>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</si>
  <si>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</si>
  <si>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</si>
  <si>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</si>
  <si>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</si>
  <si>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</si>
  <si>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</si>
  <si>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</si>
  <si>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</si>
  <si>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</si>
  <si>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</si>
  <si>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</si>
  <si>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</si>
  <si>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</si>
  <si>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</si>
  <si>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</si>
  <si>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</si>
  <si>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</si>
  <si>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</si>
  <si>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</si>
  <si>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</si>
  <si>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</si>
  <si>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</si>
  <si>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</si>
  <si>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</si>
  <si>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</si>
  <si>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</si>
  <si>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</si>
  <si>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</si>
  <si>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</si>
  <si>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</si>
  <si>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</si>
  <si>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</si>
  <si>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</si>
  <si>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</si>
  <si>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</si>
  <si>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</si>
  <si>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</si>
  <si>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</si>
  <si>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</si>
  <si>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</si>
  <si>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</si>
  <si>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</si>
  <si>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</si>
  <si>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</si>
  <si>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</si>
  <si>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SOYB</t>
  </si>
  <si>
    <t>CORN</t>
  </si>
  <si>
    <t>COTS</t>
  </si>
  <si>
    <t>COTP</t>
  </si>
  <si>
    <t>PNUT</t>
  </si>
  <si>
    <t>SUNF</t>
  </si>
  <si>
    <t>CSUN</t>
  </si>
  <si>
    <t>FALW</t>
  </si>
  <si>
    <t>WWHT</t>
  </si>
  <si>
    <t>SWHT</t>
  </si>
  <si>
    <t>CSWH</t>
  </si>
  <si>
    <t>DWHT</t>
  </si>
  <si>
    <t>BARL</t>
  </si>
  <si>
    <t>CBAR</t>
  </si>
  <si>
    <t>OATS</t>
  </si>
  <si>
    <t>COAT</t>
  </si>
  <si>
    <t>RICE</t>
  </si>
  <si>
    <t>RYE</t>
  </si>
  <si>
    <t>WPEA</t>
  </si>
  <si>
    <t>LENT</t>
  </si>
  <si>
    <t>CANA</t>
  </si>
  <si>
    <t>CANP</t>
  </si>
  <si>
    <t>FLAX</t>
  </si>
  <si>
    <t>FPEA</t>
  </si>
  <si>
    <t>MUNG</t>
  </si>
  <si>
    <t>SESB</t>
  </si>
  <si>
    <t>CSIL</t>
  </si>
  <si>
    <t>SGHY</t>
  </si>
  <si>
    <t>ALFA</t>
  </si>
  <si>
    <t>CLVA</t>
  </si>
  <si>
    <t>CLVR</t>
  </si>
  <si>
    <t>CLVS</t>
  </si>
  <si>
    <t>TIMO</t>
  </si>
  <si>
    <t>RNGE</t>
  </si>
  <si>
    <t>SPAS</t>
  </si>
  <si>
    <t>WPAS</t>
  </si>
  <si>
    <t>RYEA</t>
  </si>
  <si>
    <t>RYER</t>
  </si>
  <si>
    <t>RYEG</t>
  </si>
  <si>
    <t>WWGR</t>
  </si>
  <si>
    <t>NWGR</t>
  </si>
  <si>
    <t>SWGR</t>
  </si>
  <si>
    <t>CWGR</t>
  </si>
  <si>
    <t>BROM</t>
  </si>
  <si>
    <t>BROS</t>
  </si>
  <si>
    <t>CWPS</t>
  </si>
  <si>
    <t>BERM</t>
  </si>
  <si>
    <t>POTA</t>
  </si>
  <si>
    <t>ASPR</t>
  </si>
  <si>
    <t>BROC</t>
  </si>
  <si>
    <t>CABG</t>
  </si>
  <si>
    <t>CAUF</t>
  </si>
  <si>
    <t>CELR</t>
  </si>
  <si>
    <t>LETT</t>
  </si>
  <si>
    <t>OLET</t>
  </si>
  <si>
    <t>SPIN</t>
  </si>
  <si>
    <t>CRRT</t>
  </si>
  <si>
    <t>ONIO</t>
  </si>
  <si>
    <t>SGBT</t>
  </si>
  <si>
    <t>GRBN</t>
  </si>
  <si>
    <t>LIMA</t>
  </si>
  <si>
    <t>PEAS</t>
  </si>
  <si>
    <t>CUCM</t>
  </si>
  <si>
    <t>EGGP</t>
  </si>
  <si>
    <t>CANT</t>
  </si>
  <si>
    <t>HMEL</t>
  </si>
  <si>
    <t>WMEL</t>
  </si>
  <si>
    <t>PEPR</t>
  </si>
  <si>
    <t>STRW</t>
  </si>
  <si>
    <t>TOMA</t>
  </si>
  <si>
    <t>SPOT</t>
  </si>
  <si>
    <t>SCRN</t>
  </si>
  <si>
    <t>TOBC</t>
  </si>
  <si>
    <t>SUGC</t>
  </si>
  <si>
    <t>FESC</t>
  </si>
  <si>
    <t>PMIL</t>
  </si>
  <si>
    <t>PINE</t>
  </si>
  <si>
    <t>MESQ</t>
  </si>
  <si>
    <t>APPL</t>
  </si>
  <si>
    <t>POPL</t>
  </si>
  <si>
    <t>BLOC</t>
  </si>
  <si>
    <t>SWCH</t>
  </si>
  <si>
    <t>DRYB</t>
  </si>
  <si>
    <t>FABN</t>
  </si>
  <si>
    <t>SOGR</t>
  </si>
  <si>
    <t>BBGR</t>
  </si>
  <si>
    <t>EGGR</t>
  </si>
  <si>
    <t>JHGR</t>
  </si>
  <si>
    <t>GTFX</t>
  </si>
  <si>
    <t>COCB</t>
  </si>
  <si>
    <t>VELV</t>
  </si>
  <si>
    <t>GRFX</t>
  </si>
  <si>
    <t>CEAT</t>
  </si>
  <si>
    <t>LBST</t>
  </si>
  <si>
    <t>GRMA</t>
  </si>
  <si>
    <t>BUFF</t>
  </si>
  <si>
    <t>GRAP</t>
  </si>
  <si>
    <t>B-FRESH</t>
  </si>
  <si>
    <t>B-FDLT-S</t>
  </si>
  <si>
    <t>B-FDLT-P</t>
  </si>
  <si>
    <t>D-FRESH</t>
  </si>
  <si>
    <t>D-SO-MNU</t>
  </si>
  <si>
    <t>D-1-LAGE</t>
  </si>
  <si>
    <t>D-SO-LGN</t>
  </si>
  <si>
    <t>D-LQ-LGN</t>
  </si>
  <si>
    <t>goat-fsh</t>
  </si>
  <si>
    <t>hog-frsh</t>
  </si>
  <si>
    <t>horse-fs</t>
  </si>
  <si>
    <t>P-DPIT-B</t>
  </si>
  <si>
    <t>P-DPIT-L</t>
  </si>
  <si>
    <t>P-FRSH-B</t>
  </si>
  <si>
    <t>P-FRSH-D</t>
  </si>
  <si>
    <t>P-FRSH-G</t>
  </si>
  <si>
    <t>P-FRSH-L</t>
  </si>
  <si>
    <t>P-FRSH-P</t>
  </si>
  <si>
    <t>P-FRSH-T</t>
  </si>
  <si>
    <t>P-LIQ-B</t>
  </si>
  <si>
    <t>P-LIQ-L</t>
  </si>
  <si>
    <t>P-MPIT-B</t>
  </si>
  <si>
    <t>P-MPIT-L</t>
  </si>
  <si>
    <t>sheep-fs</t>
  </si>
  <si>
    <t>veal-fsh</t>
  </si>
  <si>
    <t>11-46-00</t>
  </si>
  <si>
    <t>14-46-00</t>
  </si>
  <si>
    <t>16-00-00</t>
  </si>
  <si>
    <t>16-20-00</t>
  </si>
  <si>
    <t>18-18-00</t>
  </si>
  <si>
    <t>18-46-00</t>
  </si>
  <si>
    <t>19-00-00</t>
  </si>
  <si>
    <t>20-00-00</t>
  </si>
  <si>
    <t>20-10-10</t>
  </si>
  <si>
    <t>21-00-00</t>
  </si>
  <si>
    <t>22-00-00</t>
  </si>
  <si>
    <t>23-00-00</t>
  </si>
  <si>
    <t>26-00-00</t>
  </si>
  <si>
    <t>28-00-00</t>
  </si>
  <si>
    <t>28-10-10</t>
  </si>
  <si>
    <t>28-14-00</t>
  </si>
  <si>
    <t>30-00-00</t>
  </si>
  <si>
    <t>Elem-N</t>
  </si>
  <si>
    <t>Elem-P</t>
  </si>
  <si>
    <t>Elem-K</t>
  </si>
  <si>
    <t>32-00-00</t>
  </si>
  <si>
    <t>32-02-10</t>
  </si>
  <si>
    <t>33-00-00</t>
  </si>
  <si>
    <t>34-00-00</t>
  </si>
  <si>
    <t>39-00-00</t>
  </si>
  <si>
    <t>45-00-00</t>
  </si>
  <si>
    <t>46-00-00</t>
  </si>
  <si>
    <t>82-00-00</t>
  </si>
  <si>
    <t>D-LIQ</t>
  </si>
  <si>
    <t>I</t>
  </si>
  <si>
    <t>FTNM</t>
  </si>
  <si>
    <t>FN</t>
  </si>
  <si>
    <t>FP</t>
  </si>
  <si>
    <t>FK</t>
  </si>
  <si>
    <t>FNO</t>
  </si>
  <si>
    <t>FPO</t>
  </si>
  <si>
    <t>FNH3</t>
  </si>
  <si>
    <t>FOC</t>
  </si>
  <si>
    <t>FSLT</t>
  </si>
  <si>
    <t>FCST</t>
  </si>
  <si>
    <t>J1</t>
  </si>
  <si>
    <t>PSTN</t>
  </si>
  <si>
    <t>PSOL</t>
  </si>
  <si>
    <t>PHLS</t>
  </si>
  <si>
    <t>PHLF</t>
  </si>
  <si>
    <t>PWOF</t>
  </si>
  <si>
    <t>PKOC</t>
  </si>
  <si>
    <t>PCST</t>
  </si>
  <si>
    <t>Abate</t>
  </si>
  <si>
    <t>Acaraben</t>
  </si>
  <si>
    <t>Accelerate</t>
  </si>
  <si>
    <t>Alar</t>
  </si>
  <si>
    <t>Aldrin</t>
  </si>
  <si>
    <t>Ally</t>
  </si>
  <si>
    <t>Ammo</t>
  </si>
  <si>
    <t>Antor</t>
  </si>
  <si>
    <t>A-Rest</t>
  </si>
  <si>
    <t>Arsonate</t>
  </si>
  <si>
    <t>Asulox</t>
  </si>
  <si>
    <t>Azodrin</t>
  </si>
  <si>
    <t>Basta</t>
  </si>
  <si>
    <t>Baytex</t>
  </si>
  <si>
    <t>Benzex</t>
  </si>
  <si>
    <t>Betamix</t>
  </si>
  <si>
    <t>Brom-O-Sol</t>
  </si>
  <si>
    <t>Carbofos</t>
  </si>
  <si>
    <t>Cerone</t>
  </si>
  <si>
    <t>Chem-Hoe</t>
  </si>
  <si>
    <t>Chlordane</t>
  </si>
  <si>
    <t>Chopper</t>
  </si>
  <si>
    <t>Classic</t>
  </si>
  <si>
    <t>Cobra</t>
  </si>
  <si>
    <t>Crossbow</t>
  </si>
  <si>
    <t>Dalapon</t>
  </si>
  <si>
    <t>Dasanit</t>
  </si>
  <si>
    <t>DDT</t>
  </si>
  <si>
    <t>Dedweed</t>
  </si>
  <si>
    <t>Dieldrin</t>
  </si>
  <si>
    <t>Dinoseb</t>
  </si>
  <si>
    <t>Dowpon</t>
  </si>
  <si>
    <t>Du-ter</t>
  </si>
  <si>
    <t>Dymid</t>
  </si>
  <si>
    <t>Dynap</t>
  </si>
  <si>
    <t>Dyrene</t>
  </si>
  <si>
    <t>Elgetol</t>
  </si>
  <si>
    <t>EPN</t>
  </si>
  <si>
    <t>Ethanox</t>
  </si>
  <si>
    <t>Evital</t>
  </si>
  <si>
    <t>Fenatrol</t>
  </si>
  <si>
    <t>Fenitox</t>
  </si>
  <si>
    <t>Fruitone CPA</t>
  </si>
  <si>
    <t>Fumazone</t>
  </si>
  <si>
    <t>Fundal</t>
  </si>
  <si>
    <t>Karmex</t>
  </si>
  <si>
    <t>Larvadex</t>
  </si>
  <si>
    <t>Limit</t>
  </si>
  <si>
    <t>Logic</t>
  </si>
  <si>
    <t>Lontrel</t>
  </si>
  <si>
    <t>Marlate</t>
  </si>
  <si>
    <t>Matacil</t>
  </si>
  <si>
    <t>Merpan</t>
  </si>
  <si>
    <t>Metasystox</t>
  </si>
  <si>
    <t>Metaldehyde</t>
  </si>
  <si>
    <t>Milogard</t>
  </si>
  <si>
    <t>Miral</t>
  </si>
  <si>
    <t>Modown</t>
  </si>
  <si>
    <t>MSMA</t>
  </si>
  <si>
    <t>Octave</t>
  </si>
  <si>
    <t>Orthocide</t>
  </si>
  <si>
    <t>Paraquat</t>
  </si>
  <si>
    <t>Pay-Off</t>
  </si>
  <si>
    <t>Phenatox</t>
  </si>
  <si>
    <t>Phoskil</t>
  </si>
  <si>
    <t>Pipron</t>
  </si>
  <si>
    <t>Plantvax</t>
  </si>
  <si>
    <t>2 Plus 2</t>
  </si>
  <si>
    <t>Polyram</t>
  </si>
  <si>
    <t>Prelude</t>
  </si>
  <si>
    <t>Probe</t>
  </si>
  <si>
    <t>Pyramin</t>
  </si>
  <si>
    <t>Rescue</t>
  </si>
  <si>
    <t>Ridomil</t>
  </si>
  <si>
    <t>Rovral</t>
  </si>
  <si>
    <t>Sancap</t>
  </si>
  <si>
    <t>Savey</t>
  </si>
  <si>
    <t>Slug-Geta</t>
  </si>
  <si>
    <t>Supracide</t>
  </si>
  <si>
    <t>Surflan</t>
  </si>
  <si>
    <t>Tanone</t>
  </si>
  <si>
    <t>TBZ</t>
  </si>
  <si>
    <t>Tenoran</t>
  </si>
  <si>
    <t>Terbutrex</t>
  </si>
  <si>
    <t>Thimet</t>
  </si>
  <si>
    <t>Tolban</t>
  </si>
  <si>
    <t>Toxaphene</t>
  </si>
  <si>
    <t>Tralomethrin</t>
  </si>
  <si>
    <t>Tre-Hold</t>
  </si>
  <si>
    <t>Trithion</t>
  </si>
  <si>
    <t>Turflon</t>
  </si>
  <si>
    <t>Vapam</t>
  </si>
  <si>
    <t>Vitavax</t>
  </si>
  <si>
    <t>Volck oils</t>
  </si>
  <si>
    <t>Vorlex</t>
  </si>
  <si>
    <t>Weed-B-Gon</t>
  </si>
  <si>
    <t>Zolone</t>
  </si>
  <si>
    <t>Variable #</t>
  </si>
  <si>
    <t>Variable Name</t>
  </si>
  <si>
    <t>Variable Description</t>
  </si>
  <si>
    <t>Units</t>
  </si>
  <si>
    <t>TMX</t>
  </si>
  <si>
    <t>Maximum temperature</t>
  </si>
  <si>
    <r>
      <t>0</t>
    </r>
    <r>
      <rPr>
        <sz val="10"/>
        <color theme="1"/>
        <rFont val="Times New Roman"/>
        <family val="1"/>
      </rPr>
      <t>C</t>
    </r>
  </si>
  <si>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</si>
  <si>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</si>
  <si>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</si>
  <si>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</si>
  <si>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</si>
  <si>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</si>
  <si>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</si>
  <si>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</si>
  <si>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</si>
  <si>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</si>
  <si>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</si>
  <si>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</si>
  <si>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</si>
  <si>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</si>
  <si>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</si>
  <si>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</si>
  <si>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</si>
  <si>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</si>
  <si>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</si>
  <si>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</si>
  <si>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</si>
  <si>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</si>
  <si>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</si>
  <si>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</si>
  <si>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</si>
  <si>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</si>
  <si>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</si>
  <si>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</si>
  <si>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</si>
  <si>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</si>
  <si>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</si>
  <si>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</si>
  <si>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</si>
  <si>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</si>
  <si>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</si>
  <si>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</si>
  <si>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</si>
  <si>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</si>
  <si>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</si>
  <si>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</si>
  <si>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</si>
  <si>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</si>
  <si>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</si>
  <si>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</si>
  <si>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</si>
  <si>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</si>
  <si>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</si>
  <si>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</si>
  <si>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</si>
  <si>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</si>
  <si>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</si>
  <si>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</si>
  <si>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</si>
  <si>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</si>
  <si>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</si>
  <si>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</si>
  <si>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</si>
  <si>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</si>
  <si>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AOF</t>
  </si>
  <si>
    <t>Soil loss from water erosion using Onstad-Foster</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</si>
  <si>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</si>
  <si>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</si>
  <si>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</si>
  <si>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</si>
  <si>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</si>
  <si>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</si>
  <si>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</si>
  <si>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</si>
  <si>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</si>
  <si>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</si>
  <si>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</si>
  <si>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</si>
  <si>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</si>
  <si>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</si>
  <si>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</si>
  <si>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</si>
  <si>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</si>
  <si>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</si>
  <si>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</si>
  <si>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</si>
  <si>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</si>
  <si>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</si>
  <si>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</si>
  <si>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</si>
  <si>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</si>
  <si>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</si>
  <si>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</si>
  <si>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</si>
  <si>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</si>
  <si>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</si>
  <si>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</si>
  <si>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</si>
  <si>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</si>
  <si>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</si>
  <si>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</si>
  <si>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</si>
  <si>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</si>
  <si>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</si>
  <si>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</si>
  <si>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</si>
  <si>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</si>
  <si>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</si>
  <si>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</si>
  <si>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</si>
  <si>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</si>
  <si>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</si>
  <si>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</si>
  <si>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</si>
  <si>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</si>
  <si>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</si>
  <si>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</si>
  <si>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</si>
  <si>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</si>
  <si>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</si>
  <si>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</si>
  <si>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</si>
  <si>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</si>
  <si>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</si>
  <si>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</si>
  <si>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</si>
  <si>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</si>
  <si>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</si>
  <si>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</si>
  <si>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</si>
  <si>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</si>
  <si>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</si>
  <si>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</si>
  <si>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</si>
  <si>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</si>
  <si>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</si>
  <si>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</si>
  <si>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</si>
  <si>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</si>
  <si>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</si>
  <si>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</si>
  <si>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</si>
  <si>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</si>
  <si>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</si>
  <si>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</si>
  <si>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</si>
  <si>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</si>
  <si>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</si>
  <si>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</si>
  <si>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</si>
  <si>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</si>
  <si>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</si>
  <si>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</si>
  <si>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</si>
  <si>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</si>
  <si>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</si>
  <si>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</si>
  <si>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</si>
  <si>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</si>
  <si>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</si>
  <si>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</si>
  <si>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</si>
  <si>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</si>
  <si>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</si>
  <si>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</si>
  <si>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</si>
  <si>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</si>
  <si>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</si>
  <si>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</si>
  <si>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</si>
  <si>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</si>
  <si>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</si>
  <si>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</si>
  <si>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</si>
  <si>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</si>
  <si>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</si>
  <si>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</si>
  <si>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</si>
  <si>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</si>
  <si>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</si>
  <si>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</si>
  <si>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</si>
  <si>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</si>
  <si>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</si>
  <si>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</si>
  <si>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</si>
  <si>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</si>
  <si>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</si>
  <si>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</si>
  <si>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</si>
  <si>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DNMO</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</si>
  <si>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</si>
  <si>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</si>
  <si>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</si>
  <si>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</si>
  <si>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</si>
  <si>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</si>
  <si>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</si>
  <si>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</si>
  <si>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</si>
  <si>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</si>
  <si>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</si>
  <si>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</si>
  <si>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</si>
  <si>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</si>
  <si>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</si>
  <si>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</si>
  <si>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</si>
  <si>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</si>
  <si>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</si>
  <si>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</si>
  <si>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</si>
  <si>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</si>
  <si>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</si>
  <si>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</si>
  <si>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</si>
  <si>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</si>
  <si>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</si>
  <si>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</si>
  <si>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</si>
  <si>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</si>
  <si>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</si>
  <si>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</si>
  <si>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</si>
  <si>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</si>
  <si>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</si>
  <si>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</si>
  <si>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</si>
  <si>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</si>
  <si>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</si>
  <si>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</si>
  <si>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</si>
  <si>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</si>
  <si>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</si>
  <si>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</si>
  <si>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</si>
  <si>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</si>
  <si>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</si>
  <si>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</si>
  <si>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</si>
  <si>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</si>
  <si>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</si>
  <si>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</si>
  <si>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</si>
  <si>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</si>
  <si>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</si>
  <si>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</si>
  <si>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</si>
  <si>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</si>
  <si>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</si>
  <si>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</si>
  <si>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</si>
  <si>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</si>
  <si>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</si>
  <si>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</si>
  <si>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</si>
  <si>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</si>
  <si>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</si>
  <si>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</si>
  <si>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</si>
  <si>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</si>
  <si>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</si>
  <si>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</si>
  <si>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</si>
  <si>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</si>
  <si>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</si>
  <si>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</si>
  <si>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</si>
  <si>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</si>
  <si>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</si>
  <si>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</si>
  <si>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</si>
  <si>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</si>
  <si>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</si>
  <si>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</si>
  <si>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</si>
  <si>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</si>
  <si>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</si>
  <si>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</si>
  <si>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</si>
  <si>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</si>
  <si>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</si>
  <si>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</si>
  <si>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</si>
  <si>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</si>
  <si>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</si>
  <si>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</si>
  <si>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</si>
  <si>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</si>
  <si>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</si>
  <si>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</si>
  <si>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</si>
  <si>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</si>
  <si>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</si>
  <si>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</si>
  <si>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</si>
  <si>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</si>
  <si>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</si>
  <si>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</si>
  <si>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</si>
  <si>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</si>
  <si>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Number of days above threshold for water erosion (set in Parm 93)</t>
  </si>
  <si>
    <t>YWTH</t>
  </si>
  <si>
    <t>Number of days above threshold for wind erosion (set in Parm 94)</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</si>
  <si>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</si>
  <si>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</si>
  <si>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</si>
  <si>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</si>
  <si>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</si>
  <si>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</si>
  <si>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</si>
  <si>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</si>
  <si>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</si>
  <si>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</si>
  <si>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</si>
  <si>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</si>
  <si>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</si>
  <si>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</si>
  <si>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</si>
  <si>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</si>
  <si>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</si>
  <si>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</si>
  <si>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</si>
  <si>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</si>
  <si>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</si>
  <si>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</si>
  <si>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</si>
  <si>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</si>
  <si>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</si>
  <si>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</si>
  <si>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</si>
  <si>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</si>
  <si>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</si>
  <si>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</si>
  <si>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</si>
  <si>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</si>
  <si>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</si>
  <si>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</si>
  <si>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</si>
  <si>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</si>
  <si>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</si>
  <si>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</si>
  <si>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</si>
  <si>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</si>
  <si>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</si>
  <si>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</si>
  <si>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</si>
  <si>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</si>
  <si>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</si>
  <si>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</si>
  <si>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</si>
  <si>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</si>
  <si>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</si>
  <si>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</si>
  <si>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</si>
  <si>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</si>
  <si>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</si>
  <si>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</si>
  <si>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</si>
  <si>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</si>
  <si>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</si>
  <si>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</si>
  <si>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</si>
  <si>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</si>
  <si>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</si>
  <si>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</si>
  <si>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</si>
  <si>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</si>
  <si>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</si>
  <si>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</si>
  <si>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</si>
  <si>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</si>
  <si>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</si>
  <si>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</si>
  <si>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</si>
  <si>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</si>
  <si>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</si>
  <si>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</si>
  <si>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</si>
  <si>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</si>
  <si>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</si>
  <si>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</si>
  <si>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</si>
  <si>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</si>
  <si>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</si>
  <si>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</si>
  <si>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</si>
  <si>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</si>
  <si>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</si>
  <si>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</si>
  <si>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</si>
  <si>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</si>
  <si>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</si>
  <si>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</si>
  <si>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</si>
  <si>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</si>
  <si>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</si>
  <si>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</si>
  <si>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</si>
  <si>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</si>
  <si>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</si>
  <si>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</si>
  <si>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</si>
  <si>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</si>
  <si>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</si>
  <si>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</si>
  <si>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</si>
  <si>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</si>
  <si>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</si>
  <si>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</si>
  <si>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</si>
  <si>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</si>
  <si>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</si>
  <si>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</si>
  <si>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</si>
  <si>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</si>
  <si>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</si>
  <si>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</si>
  <si>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</si>
  <si>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</si>
  <si>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</si>
  <si>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</si>
  <si>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</si>
  <si>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</si>
  <si>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</si>
  <si>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</si>
  <si>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</si>
  <si>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</si>
  <si>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</si>
  <si>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</si>
  <si>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</si>
  <si>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</si>
  <si>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</si>
  <si>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</si>
  <si>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</si>
  <si>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</si>
  <si>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</si>
  <si>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</si>
  <si>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</si>
  <si>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</si>
  <si>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</si>
  <si>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</si>
  <si>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</si>
  <si>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</si>
  <si>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</si>
  <si>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</si>
  <si>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</si>
  <si>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</si>
  <si>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</si>
  <si>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</si>
  <si>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</si>
  <si>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</si>
  <si>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 xml:space="preserve">LINE 31    </t>
  </si>
  <si>
    <t>LINE 32</t>
  </si>
  <si>
    <t>LINE 33</t>
  </si>
  <si>
    <t>LINE 34</t>
  </si>
  <si>
    <t>LINE 35</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</si>
  <si>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</si>
  <si>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</si>
  <si>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</si>
  <si>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</si>
  <si>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</si>
  <si>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</si>
  <si>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</si>
  <si>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</si>
  <si>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</si>
  <si>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</si>
  <si>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</si>
  <si>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</si>
  <si>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</si>
  <si>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</si>
  <si>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</si>
  <si>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</si>
  <si>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</si>
  <si>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</si>
  <si>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</si>
  <si>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</si>
  <si>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</si>
  <si>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</si>
  <si>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</si>
  <si>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</si>
  <si>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</si>
  <si>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</si>
  <si>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</si>
  <si>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</si>
  <si>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TILLAGE</t>
  </si>
  <si>
    <t>MACHINE</t>
  </si>
  <si>
    <t>CROP ID</t>
  </si>
  <si>
    <t>OPV1</t>
  </si>
  <si>
    <t>OPV2</t>
  </si>
  <si>
    <t>OPV3</t>
  </si>
  <si>
    <t>OPV4</t>
  </si>
  <si>
    <t>OPV5</t>
  </si>
  <si>
    <t>OPV6</t>
  </si>
  <si>
    <t>OPV7</t>
  </si>
  <si>
    <t>OPV0</t>
  </si>
  <si>
    <t>Auto Commercial Fertilizer # (cols. 9-12)  (Range: 1-open). Default is operation #261.</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</si>
  <si>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</si>
  <si>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</si>
  <si>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</si>
  <si>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</si>
  <si>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</si>
  <si>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</si>
  <si>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</si>
  <si>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</si>
  <si>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</si>
  <si>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</si>
  <si>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</si>
  <si>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</si>
  <si>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</si>
  <si>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</si>
  <si>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Initial Conditions</t>
  </si>
  <si>
    <t>Water content of snow on ground at start of simulation</t>
  </si>
  <si>
    <t>Initial standing dead crop residue t/ha. (Range: 0-1000)</t>
  </si>
  <si>
    <t>Azimuth Orientation of Land Slope (degrees clockwise from North)</t>
  </si>
  <si>
    <t>Catchment Characteristics</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</si>
  <si>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</si>
  <si>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</si>
  <si>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</si>
  <si>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</si>
  <si>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</si>
  <si>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Average Upland Slope in m/m. </t>
  </si>
  <si>
    <t xml:space="preserve">Average Upland Slope Length in m.  </t>
  </si>
  <si>
    <t xml:space="preserve">Manning’s N for Upland  </t>
  </si>
  <si>
    <t>Fraction of floodplain flow. (Range: 0-1)</t>
  </si>
  <si>
    <t>Fraction of Subarea which is Urban. (Range:  0-1)</t>
  </si>
  <si>
    <t>Channel Geometry of Routing Reach through Subarea</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</si>
  <si>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</si>
  <si>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</si>
  <si>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</si>
  <si>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</si>
  <si>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</si>
  <si>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</si>
  <si>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</si>
  <si>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</si>
  <si>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</si>
  <si>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Reservoir Data</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</si>
  <si>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</si>
  <si>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</si>
  <si>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</si>
  <si>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</si>
  <si>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</si>
  <si>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</si>
  <si>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</si>
  <si>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</si>
  <si>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</si>
  <si>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</si>
  <si>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</si>
  <si>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</si>
  <si>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</si>
  <si>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</si>
  <si>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</si>
  <si>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Management Information</t>
  </si>
  <si>
    <t>Rigidity of  Irrigation Code  (Range: 0-1)</t>
  </si>
  <si>
    <t>Minimum application interval for automatic irrigation. (Range: 0-365)</t>
  </si>
  <si>
    <t>Minimum fertilizer application interval for auto option (Range: 0-365)</t>
  </si>
  <si>
    <t>Liming Code    (Range: 0-1)</t>
  </si>
  <si>
    <t>Furrow Dike Code (Range: 0-1)</t>
  </si>
  <si>
    <t>Drainage code in mm.(Range: 0-2500)</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</si>
  <si>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</si>
  <si>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</si>
  <si>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</si>
  <si>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</si>
  <si>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</si>
  <si>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</si>
  <si>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</si>
  <si>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</si>
  <si>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</si>
  <si>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</si>
  <si>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</si>
  <si>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</si>
  <si>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</si>
  <si>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</si>
  <si>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</si>
  <si>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</si>
  <si>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</si>
  <si>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</si>
  <si>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</si>
  <si>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</si>
  <si>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Herd(s) Eligible for Grazing this Crop (cols. 1-4)  (Range: 0-10)</t>
  </si>
  <si>
    <t>Herd(s) Eligible for Grazing this Crop  (cols. 37-40)  (Range: 0-10)</t>
  </si>
  <si>
    <t xml:space="preserve">Grazing limit for each herd (cols. 1-8)l (t/ha) </t>
  </si>
  <si>
    <t xml:space="preserve">Grazing limit for each herd  (cols. 73-80) (t/ha)  </t>
  </si>
  <si>
    <t>Irrigation Code (Range: 0-5)</t>
  </si>
  <si>
    <t>Herd(s) Eligible for Grazing this Crop (4 spaces)  (Range: 0-10)</t>
  </si>
  <si>
    <t xml:space="preserve">Grazing limit for each herd (8 spaces)l (t/ha) </t>
  </si>
  <si>
    <t>Grazing</t>
  </si>
  <si>
    <t>Herds</t>
  </si>
  <si>
    <t xml:space="preserve">Lagoon Input From Wash Water (AvG  0.15) (Range: 0-1) (m3/animal unit/day). </t>
  </si>
  <si>
    <t>Runoff volume from reservoir catchment area at emergency spillway elevation (mm)</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</si>
  <si>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</si>
  <si>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</si>
  <si>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</si>
  <si>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</si>
  <si>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</si>
  <si>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</si>
  <si>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</si>
  <si>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</si>
  <si>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</si>
  <si>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</si>
  <si>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x3</t>
  </si>
  <si>
    <t>x4</t>
  </si>
  <si>
    <t>x1</t>
  </si>
  <si>
    <t>x2</t>
  </si>
  <si>
    <t>xx</t>
  </si>
  <si>
    <t>x6</t>
  </si>
  <si>
    <t>x5</t>
  </si>
  <si>
    <t>x</t>
  </si>
  <si>
    <t>Max</t>
  </si>
  <si>
    <t>SCRP1 =</t>
  </si>
  <si>
    <t>SCRP2 =</t>
  </si>
  <si>
    <t>Default</t>
  </si>
  <si>
    <t>SOL</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</si>
  <si>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</si>
  <si>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</si>
  <si>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</si>
  <si>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</si>
  <si>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</si>
  <si>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</si>
  <si>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</si>
  <si>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</si>
  <si>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</si>
  <si>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</si>
  <si>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</si>
  <si>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</si>
  <si>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</si>
  <si>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</si>
  <si>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</si>
  <si>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</si>
  <si>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</si>
  <si>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</si>
  <si>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</si>
  <si>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</si>
  <si>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</si>
  <si>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</si>
  <si>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</si>
  <si>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</si>
  <si>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</si>
  <si>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</si>
  <si>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</si>
  <si>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WN:</t>
  </si>
  <si>
    <t>PH:</t>
  </si>
  <si>
    <t>SMB :</t>
  </si>
  <si>
    <t>WOC :</t>
  </si>
  <si>
    <t>CAC :</t>
  </si>
  <si>
    <t>CEC :</t>
  </si>
  <si>
    <t>ROK :</t>
  </si>
  <si>
    <t>CNDS:</t>
  </si>
  <si>
    <t>SSF :</t>
  </si>
  <si>
    <t>RSD :</t>
  </si>
  <si>
    <t>BDD :</t>
  </si>
  <si>
    <t>PSP :</t>
  </si>
  <si>
    <t>SATC:</t>
  </si>
  <si>
    <t>HCL :</t>
  </si>
  <si>
    <t>WPO :</t>
  </si>
  <si>
    <t>EXCK:</t>
  </si>
  <si>
    <t>ECND:</t>
  </si>
  <si>
    <t>STFR:</t>
  </si>
  <si>
    <t>ST:</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</si>
  <si>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</si>
  <si>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</si>
  <si>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</si>
  <si>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</si>
  <si>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</si>
  <si>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</si>
  <si>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</si>
  <si>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</si>
  <si>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</si>
  <si>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</si>
  <si>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</si>
  <si>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</si>
  <si>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</si>
  <si>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</si>
  <si>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</si>
  <si>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</si>
  <si>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</si>
  <si>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</si>
  <si>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</si>
  <si>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Descrition:</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</si>
  <si>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</si>
  <si>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</si>
  <si>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</si>
  <si>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</si>
  <si>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</si>
  <si>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</si>
  <si>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</si>
  <si>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</si>
  <si>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</si>
  <si>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</si>
  <si>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</si>
  <si>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</si>
  <si>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</si>
  <si>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</si>
  <si>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</si>
  <si>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</si>
  <si>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</si>
  <si>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</si>
  <si>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</si>
  <si>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</si>
  <si>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</si>
  <si>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</si>
  <si>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</si>
  <si>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</si>
  <si>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</si>
  <si>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</si>
  <si>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</si>
  <si>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</si>
  <si>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</si>
  <si>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</si>
  <si>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</si>
  <si>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</si>
  <si>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</si>
  <si>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</si>
  <si>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</si>
  <si>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</si>
  <si>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</si>
  <si>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</si>
  <si>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</si>
  <si>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</si>
  <si>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</si>
  <si>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</si>
  <si>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</si>
  <si>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</si>
  <si>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</si>
  <si>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</si>
  <si>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</si>
  <si>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</si>
  <si>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</si>
  <si>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#1</t>
  </si>
  <si>
    <t>TAB #2</t>
  </si>
  <si>
    <t>TAB #3</t>
  </si>
  <si>
    <t>TAB #4</t>
  </si>
  <si>
    <t>TAB #5</t>
  </si>
  <si>
    <t>TAB #6</t>
  </si>
  <si>
    <t>TAB #7</t>
  </si>
  <si>
    <t>TAB #8</t>
  </si>
  <si>
    <t>TAB #9</t>
  </si>
  <si>
    <t>TAB #10</t>
  </si>
  <si>
    <t>TAB #11</t>
  </si>
  <si>
    <t>TAB #12</t>
  </si>
  <si>
    <t>TAB #13</t>
  </si>
  <si>
    <t>TAB #14</t>
  </si>
  <si>
    <t>TAB #15</t>
  </si>
  <si>
    <t>TAB #16</t>
  </si>
  <si>
    <t>TAB #17</t>
  </si>
  <si>
    <t>SHEET #</t>
  </si>
  <si>
    <t>TAB NAME</t>
  </si>
  <si>
    <t>A list of monthly weather stations, ordered by weather station number.  This file also gives the latitude, longitude, state and location of the weather station.</t>
  </si>
  <si>
    <t>A list of wind stations, ordered by wind weather station number. This file also gives the latitude, longitude, state and location of the wind station.</t>
  </si>
  <si>
    <t xml:space="preserve">         DESCRIPTION</t>
  </si>
  <si>
    <t xml:space="preserve">Last date modified: </t>
  </si>
  <si>
    <r>
      <t>APEX_</t>
    </r>
    <r>
      <rPr>
        <b/>
        <sz val="12"/>
        <color theme="1"/>
        <rFont val="Calibri"/>
        <family val="2"/>
        <scheme val="minor"/>
      </rPr>
      <t>FILE.</t>
    </r>
    <r>
      <rPr>
        <sz val="12"/>
        <color theme="1"/>
        <rFont val="Calibri"/>
        <family val="2"/>
        <scheme val="minor"/>
      </rPr>
      <t xml:space="preserve">DAT </t>
    </r>
  </si>
  <si>
    <r>
      <t>APEX_</t>
    </r>
    <r>
      <rPr>
        <b/>
        <sz val="12"/>
        <color theme="1"/>
        <rFont val="Calibri"/>
        <family val="2"/>
        <scheme val="minor"/>
      </rPr>
      <t>RUN</t>
    </r>
    <r>
      <rPr>
        <sz val="12"/>
        <color theme="1"/>
        <rFont val="Calibri"/>
        <family val="2"/>
        <scheme val="minor"/>
      </rPr>
      <t>.DAT</t>
    </r>
  </si>
  <si>
    <r>
      <t>APEX_</t>
    </r>
    <r>
      <rPr>
        <b/>
        <sz val="12"/>
        <color theme="1"/>
        <rFont val="Calibri"/>
        <family val="2"/>
        <scheme val="minor"/>
      </rPr>
      <t>CONT</t>
    </r>
    <r>
      <rPr>
        <sz val="12"/>
        <color theme="1"/>
        <rFont val="Calibri"/>
        <family val="2"/>
        <scheme val="minor"/>
      </rPr>
      <t>.DAT</t>
    </r>
  </si>
  <si>
    <r>
      <rPr>
        <b/>
        <sz val="12"/>
        <color theme="1"/>
        <rFont val="Calibri"/>
        <family val="2"/>
        <scheme val="minor"/>
      </rPr>
      <t>PRNT</t>
    </r>
    <r>
      <rPr>
        <sz val="12"/>
        <color theme="1"/>
        <rFont val="Calibri"/>
        <family val="2"/>
        <scheme val="minor"/>
      </rPr>
      <t>_FILE.DAT</t>
    </r>
  </si>
  <si>
    <r>
      <t>APEX_</t>
    </r>
    <r>
      <rPr>
        <b/>
        <sz val="12"/>
        <color theme="1"/>
        <rFont val="Calibri"/>
        <family val="2"/>
        <scheme val="minor"/>
      </rPr>
      <t>DIM</t>
    </r>
    <r>
      <rPr>
        <sz val="12"/>
        <color theme="1"/>
        <rFont val="Calibri"/>
        <family val="2"/>
        <scheme val="minor"/>
      </rPr>
      <t>.DAT</t>
    </r>
  </si>
  <si>
    <r>
      <rPr>
        <b/>
        <sz val="12"/>
        <color theme="1"/>
        <rFont val="Calibri"/>
        <family val="2"/>
        <scheme val="minor"/>
      </rPr>
      <t>WDLST_</t>
    </r>
    <r>
      <rPr>
        <sz val="12"/>
        <color theme="1"/>
        <rFont val="Calibri"/>
        <family val="2"/>
        <scheme val="minor"/>
      </rPr>
      <t>COM.DAT</t>
    </r>
  </si>
  <si>
    <r>
      <rPr>
        <b/>
        <sz val="12"/>
        <color theme="1"/>
        <rFont val="Calibri"/>
        <family val="2"/>
        <scheme val="minor"/>
      </rPr>
      <t>OPS</t>
    </r>
    <r>
      <rPr>
        <sz val="12"/>
        <color theme="1"/>
        <rFont val="Calibri"/>
        <family val="2"/>
        <scheme val="minor"/>
      </rPr>
      <t>_FILE.OPS</t>
    </r>
  </si>
  <si>
    <r>
      <rPr>
        <b/>
        <sz val="12"/>
        <color theme="1"/>
        <rFont val="Calibri"/>
        <family val="2"/>
        <scheme val="minor"/>
      </rPr>
      <t>WPM1</t>
    </r>
    <r>
      <rPr>
        <sz val="12"/>
        <color theme="1"/>
        <rFont val="Calibri"/>
        <family val="2"/>
        <scheme val="minor"/>
      </rPr>
      <t>_FILE.WP1</t>
    </r>
  </si>
  <si>
    <r>
      <rPr>
        <b/>
        <sz val="12"/>
        <color theme="1"/>
        <rFont val="Calibri"/>
        <family val="2"/>
        <scheme val="minor"/>
      </rPr>
      <t>WIND</t>
    </r>
    <r>
      <rPr>
        <sz val="12"/>
        <color theme="1"/>
        <rFont val="Calibri"/>
        <family val="2"/>
        <scheme val="minor"/>
      </rPr>
      <t>_FILE.WND</t>
    </r>
  </si>
  <si>
    <r>
      <rPr>
        <b/>
        <sz val="12"/>
        <color theme="1"/>
        <rFont val="Calibri"/>
        <family val="2"/>
        <scheme val="minor"/>
      </rPr>
      <t>SUB</t>
    </r>
    <r>
      <rPr>
        <sz val="12"/>
        <color theme="1"/>
        <rFont val="Calibri"/>
        <family val="2"/>
        <scheme val="minor"/>
      </rPr>
      <t>AREA_FILE.SUB</t>
    </r>
  </si>
  <si>
    <r>
      <rPr>
        <b/>
        <sz val="12"/>
        <color theme="1"/>
        <rFont val="Calibri"/>
        <family val="2"/>
        <scheme val="minor"/>
      </rPr>
      <t>SOIL</t>
    </r>
    <r>
      <rPr>
        <sz val="12"/>
        <color theme="1"/>
        <rFont val="Calibri"/>
        <family val="2"/>
        <scheme val="minor"/>
      </rPr>
      <t>_FILE.SOL</t>
    </r>
  </si>
  <si>
    <r>
      <t xml:space="preserve">LINE 1:   </t>
    </r>
    <r>
      <rPr>
        <i/>
        <sz val="10"/>
        <color theme="1"/>
        <rFont val="Times New Roman"/>
        <family val="1"/>
      </rPr>
      <t xml:space="preserve">        FORMAT:  20 FIELDS; Four (4) COLUMNS per FIELD (INTEGER)</t>
    </r>
  </si>
  <si>
    <t>TAB #18</t>
  </si>
  <si>
    <r>
      <rPr>
        <b/>
        <sz val="12"/>
        <color theme="1"/>
        <rFont val="Calibri"/>
        <family val="2"/>
        <scheme val="minor"/>
      </rPr>
      <t>OPSC</t>
    </r>
    <r>
      <rPr>
        <sz val="12"/>
        <color theme="1"/>
        <rFont val="Calibri"/>
        <family val="2"/>
        <scheme val="minor"/>
      </rPr>
      <t>_FILE.SUB</t>
    </r>
  </si>
  <si>
    <t>A list of OPC/OPS files (management files).</t>
  </si>
  <si>
    <t xml:space="preserve">      Note/Description</t>
  </si>
  <si>
    <t>MOW</t>
  </si>
  <si>
    <t>BUF</t>
  </si>
  <si>
    <t>SPECIAL FILE FOR BUFFER STRIPS (APEXBUF.OUT)</t>
  </si>
  <si>
    <t>FSA</t>
  </si>
  <si>
    <t>ANNUAL SUBAREA SPECIAL FSA (VB)</t>
  </si>
  <si>
    <t>GRA</t>
  </si>
  <si>
    <t>SW1</t>
  </si>
  <si>
    <t>SW2</t>
  </si>
  <si>
    <t>SW3</t>
  </si>
  <si>
    <t>SW4</t>
  </si>
  <si>
    <t>ANNUAL GIS REACH FILE</t>
  </si>
  <si>
    <t>DAILY OUTPUT FOR SELECTED COMMAND #'S ICMO(FROM .SIT)</t>
  </si>
  <si>
    <t>FNAME</t>
  </si>
  <si>
    <t>OPSC DATA FILE (OPSC*.DAT)</t>
  </si>
  <si>
    <t>SOILS FILE (FILENAME.SOL)</t>
  </si>
  <si>
    <t>WIND DATA FILE (WIND*.DAT)</t>
  </si>
  <si>
    <t>WEATHER FILES (WPM1*.DAT)</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</si>
  <si>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</si>
  <si>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</si>
  <si>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</si>
  <si>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</si>
  <si>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</si>
  <si>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</si>
  <si>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</si>
  <si>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</si>
  <si>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</si>
  <si>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</si>
  <si>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Plow, cultivate, other</t>
  </si>
  <si>
    <t>Warm season annual legume</t>
  </si>
  <si>
    <t>Kill crop</t>
  </si>
  <si>
    <t>Cold season annual legume</t>
  </si>
  <si>
    <t>Harvest without kill</t>
  </si>
  <si>
    <t>Perennial legume</t>
  </si>
  <si>
    <t>Harvest once during simulation without kill</t>
  </si>
  <si>
    <t>Warm season annual</t>
  </si>
  <si>
    <t>Tractor</t>
  </si>
  <si>
    <t>Cold season annual</t>
  </si>
  <si>
    <t>Plant in rows</t>
  </si>
  <si>
    <t>Perennial</t>
  </si>
  <si>
    <t>Plant with drill</t>
  </si>
  <si>
    <t>Evergreen Tree crop</t>
  </si>
  <si>
    <t>Apply pesticide</t>
  </si>
  <si>
    <t>Deciduous Tree crop</t>
  </si>
  <si>
    <t>Irrigate</t>
  </si>
  <si>
    <t>Cotton</t>
  </si>
  <si>
    <t>Fertilize</t>
  </si>
  <si>
    <t>Leguminous Tree Crop</t>
  </si>
  <si>
    <t>Bagging and Ties (cotton)</t>
  </si>
  <si>
    <t>Unpalatable</t>
  </si>
  <si>
    <t>Ginning</t>
  </si>
  <si>
    <t>Hauling</t>
  </si>
  <si>
    <t>Drying</t>
  </si>
  <si>
    <t>Burn</t>
  </si>
  <si>
    <t>Puddle</t>
  </si>
  <si>
    <t>Destroy puddle</t>
  </si>
  <si>
    <t>Builds furrow dikes</t>
  </si>
  <si>
    <t>Destroys furrow dikes</t>
  </si>
  <si>
    <t>Start grazing</t>
  </si>
  <si>
    <t>Stop grazing</t>
  </si>
  <si>
    <t>Scrape manure from pens</t>
  </si>
  <si>
    <t>Auto mow</t>
  </si>
  <si>
    <t>Plastic cover</t>
  </si>
  <si>
    <t>Remove plastic cover</t>
  </si>
  <si>
    <t>Stop drainage system flow</t>
  </si>
  <si>
    <t>Resume drainage flow</t>
  </si>
  <si>
    <t>Lime application</t>
  </si>
  <si>
    <t>&lt; - To create new management files (Leave blank otherwise)</t>
  </si>
  <si>
    <t>Saturated Conductivity (Green &amp; Ampt) Adjustment Factor (.01_10.)</t>
  </si>
  <si>
    <t>Floodplain Saturated Conductivity Adjustment Factor (.0001_10.)</t>
  </si>
  <si>
    <t>APEX Folder:</t>
  </si>
  <si>
    <t>SOYBEANS</t>
  </si>
  <si>
    <t>STRIPPER COTTON</t>
  </si>
  <si>
    <t>PICKER COTTON</t>
  </si>
  <si>
    <t>PEANUTS</t>
  </si>
  <si>
    <t>SUNFLOWERS</t>
  </si>
  <si>
    <t>FALLOW</t>
  </si>
  <si>
    <t>WINTER WHEAT</t>
  </si>
  <si>
    <t>SPRING WHEAT</t>
  </si>
  <si>
    <t>DURAM WHEAT</t>
  </si>
  <si>
    <t>BARLEY</t>
  </si>
  <si>
    <t>WINTER PEAS</t>
  </si>
  <si>
    <t>CANOLA-ARGENTINE</t>
  </si>
  <si>
    <t>CANOLA-POLISH</t>
  </si>
  <si>
    <t>FIELD PEAS</t>
  </si>
  <si>
    <t>SUMMER MUNG</t>
  </si>
  <si>
    <t>SESBANIA</t>
  </si>
  <si>
    <t>CORN SILAGE</t>
  </si>
  <si>
    <t>SORGHUM HAY</t>
  </si>
  <si>
    <t>ALFALFA</t>
  </si>
  <si>
    <t>CLOVER ALSIKE</t>
  </si>
  <si>
    <t>RED CLOVER</t>
  </si>
  <si>
    <t>SWEET CLOVER</t>
  </si>
  <si>
    <t>TIMOTHY</t>
  </si>
  <si>
    <t>RANGE</t>
  </si>
  <si>
    <t>SUMMER PASTURE</t>
  </si>
  <si>
    <t>WINTER PASTURE</t>
  </si>
  <si>
    <t>ALTAI WILD RYE</t>
  </si>
  <si>
    <t>RUSSIAN WILD RYE</t>
  </si>
  <si>
    <t>ANNUAL RYE GRASS</t>
  </si>
  <si>
    <t>BROME GRASS</t>
  </si>
  <si>
    <t>COASTAL BERMUDA</t>
  </si>
  <si>
    <t>POTATOES</t>
  </si>
  <si>
    <t>ASPARAGUS</t>
  </si>
  <si>
    <t>BROCCOLI</t>
  </si>
  <si>
    <t>CABBAGE</t>
  </si>
  <si>
    <t>CAULIFLOWER</t>
  </si>
  <si>
    <t>CELERY</t>
  </si>
  <si>
    <t>LETTUCE</t>
  </si>
  <si>
    <t>LEAF LETTUCE</t>
  </si>
  <si>
    <t>SPINACH</t>
  </si>
  <si>
    <t>CARROTS</t>
  </si>
  <si>
    <t>ONIONS</t>
  </si>
  <si>
    <t>SUGARBEETS</t>
  </si>
  <si>
    <t>GREEN BEANS</t>
  </si>
  <si>
    <t>LIMA BEANS</t>
  </si>
  <si>
    <t>CUCUMBERS</t>
  </si>
  <si>
    <t>EGGPLANT</t>
  </si>
  <si>
    <t>CANTALOUPE</t>
  </si>
  <si>
    <t>HONEYDEW MELON</t>
  </si>
  <si>
    <t>WATERMELON</t>
  </si>
  <si>
    <t>PEPPERS</t>
  </si>
  <si>
    <t>STRAWBERRIES</t>
  </si>
  <si>
    <t>TOMATOES</t>
  </si>
  <si>
    <t>SWEET POTATOES</t>
  </si>
  <si>
    <t>SWEET CORN</t>
  </si>
  <si>
    <t>TOBACCO</t>
  </si>
  <si>
    <t>SUGARCANE</t>
  </si>
  <si>
    <t>FESCUE</t>
  </si>
  <si>
    <t>PEARL MILLET</t>
  </si>
  <si>
    <t>PINE TREES</t>
  </si>
  <si>
    <t>MESQUITE TREES</t>
  </si>
  <si>
    <t>APPLE TREES</t>
  </si>
  <si>
    <t>POPLAR TREES</t>
  </si>
  <si>
    <t>BLACK LOCUST TR</t>
  </si>
  <si>
    <t>SWITCHGRASS</t>
  </si>
  <si>
    <t>DRYBEANS</t>
  </si>
  <si>
    <t>FABA BEANS</t>
  </si>
  <si>
    <t>JOHNSONGRASS</t>
  </si>
  <si>
    <t>GIANT FOXTAIL</t>
  </si>
  <si>
    <t>COCKLEBUR</t>
  </si>
  <si>
    <t>VELVETLEAF</t>
  </si>
  <si>
    <t>GREEN FOXTAIL</t>
  </si>
  <si>
    <t>CHEAT GRASS</t>
  </si>
  <si>
    <t>GRAMAGRASS</t>
  </si>
  <si>
    <t>BUFFALO GRASS</t>
  </si>
  <si>
    <t>SGUM</t>
  </si>
  <si>
    <t>SWEETGUM TREE</t>
  </si>
  <si>
    <t>CASS</t>
  </si>
  <si>
    <t>CASAVA</t>
  </si>
  <si>
    <t>COWP</t>
  </si>
  <si>
    <t>COWPEA</t>
  </si>
  <si>
    <t>CHKP</t>
  </si>
  <si>
    <t>CHICK PEA</t>
  </si>
  <si>
    <t>BAHG</t>
  </si>
  <si>
    <t>BAHIA GRASS</t>
  </si>
  <si>
    <t>BUWH</t>
  </si>
  <si>
    <t>BUCKWHEAT</t>
  </si>
  <si>
    <t>PRMI</t>
  </si>
  <si>
    <t>PROSO MILLET</t>
  </si>
  <si>
    <t>SEBK</t>
  </si>
  <si>
    <t>SEA BUCKTHORN</t>
  </si>
  <si>
    <t>POAN</t>
  </si>
  <si>
    <t>PTOM</t>
  </si>
  <si>
    <t>PROCESSING TOMATOES</t>
  </si>
  <si>
    <t>BRSH</t>
  </si>
  <si>
    <t>CRP WEST BRUSH</t>
  </si>
  <si>
    <t>LESP</t>
  </si>
  <si>
    <t>ORCH</t>
  </si>
  <si>
    <t>ORCHARD GRASS</t>
  </si>
  <si>
    <t>LOVE</t>
  </si>
  <si>
    <t>LOVE GRASS</t>
  </si>
  <si>
    <t>ASH</t>
  </si>
  <si>
    <t>ASH TREES</t>
  </si>
  <si>
    <t>OAK</t>
  </si>
  <si>
    <t>OAK TREE</t>
  </si>
  <si>
    <t>SHBG</t>
  </si>
  <si>
    <t>SHERMAN BLUE GRASS</t>
  </si>
  <si>
    <t>KNAF</t>
  </si>
  <si>
    <t>KENAF</t>
  </si>
  <si>
    <t>INDI</t>
  </si>
  <si>
    <t>INDIAN GRASS</t>
  </si>
  <si>
    <t>COFF</t>
  </si>
  <si>
    <t>COFFEE</t>
  </si>
  <si>
    <t>MISC</t>
  </si>
  <si>
    <t>MISCANTHUS</t>
  </si>
  <si>
    <t>OPC</t>
  </si>
  <si>
    <t>Headwaters</t>
  </si>
  <si>
    <t>Manure</t>
  </si>
  <si>
    <t>B-FRESH2</t>
  </si>
  <si>
    <t>RIESEL01</t>
  </si>
  <si>
    <t>RIESEL02</t>
  </si>
  <si>
    <t>RIESEL03</t>
  </si>
  <si>
    <t>DAP</t>
  </si>
  <si>
    <t>DSMGAS</t>
  </si>
  <si>
    <t>GRSG</t>
  </si>
  <si>
    <t>GRAIN SORGHUM</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</si>
  <si>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</si>
  <si>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</si>
  <si>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</si>
  <si>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</si>
  <si>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</si>
  <si>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Root growth restriction by rock or coarse soil fragments, The number to the left of the decimal is the % coarse fragments, and the number to the right of the decimal is the fraction of root growth restriction.  </t>
  </si>
  <si>
    <t xml:space="preserve">   Soil evaporation – depth.  Soil evaporation as a function of soil depth . The # to the left of decimal is depth (mm), and the number to the right is fraction of soil evaporation between soil surface and specified depth.  </t>
  </si>
  <si>
    <t xml:space="preserve">   Potential harvest index.  The # to the left of decimal is % of growing season, and the number to the right is fraction of harvest index (drives potential harvest index development as a function of crop maturity).  </t>
  </si>
  <si>
    <t xml:space="preserve">   Runoff curve number.  This is an exception to normal s-curve procedures.  The # to the left of the decimal is soil water content, and the number to the right is curve number.  Soil water fraction taken from SCRP(25,n) to match CN2 and CN3 (average and wet condition runoff curve numbers)</t>
  </si>
  <si>
    <t xml:space="preserve">   Soil Cover Factor.  Estimates soil cover factor used in simulating soil temperature.   The number to the left of the decimal is the total above ground plant material dead and alive (T/ha) and the number to the right is the soil cover factor (fraction).   </t>
  </si>
  <si>
    <t xml:space="preserve">   Soil settling rainfall.  The # to the left of decimal is rainfall-runoff adjusted for soil texture and depth (mm), and the number to the right of the decimal is soil settling fraction caused by rainfall.   </t>
  </si>
  <si>
    <t xml:space="preserve">   Aeration stress – root growth.  The # to the left of decimal is % of soil water storage volume between critical aeration factor and saturation, and the number to the right is % reduction in root growth caused by aeration stress.  Determines the root growth aeration stress factor as a function of soil water content and the critical aeration factor for the crop.</t>
  </si>
  <si>
    <t xml:space="preserve">   N or P deficiency stress – based on plant N or P content.  The # to the left of decimal is % of difference between plant N or P content ratios (ratio of actual potential N or P content).  The number to the right is the N or P stress factor (=0.0 when N or P ratio = 0.5; = 1.0 when N or P ratio  = 1).  Determines the plant stress caused by N or P deficiency.</t>
  </si>
  <si>
    <t xml:space="preserve">   Pest damage – temp, water, cover.  The # to the left of the decimal is average daily minimum temperature adjusted for soil cover and 30 day antecedent rainfall minus runoff.  The number to the right is crop yield reduction by pests expressed as a fraction of the difference between 1.0 and the minimum pest factor (PST crop parameter).   Calculates the pest damage factor as a function of temperature, considering thresholds for 30-day rainfall and above ground plant material.  One of several parameters used to regulate pest growth.  See also parm 9 and 10, PSTX in the control file, and PST in the crop file.</t>
  </si>
  <si>
    <t xml:space="preserve">   Harvest Index – Plant Water Use.  The number to the left of the decimal is the % of actual to potential plant water use during the growing season.  The # to the right is the fraction of actual to potential harvest index.   Calculates the effect of water stress on harvest index as a function of plant water use.</t>
  </si>
  <si>
    <t xml:space="preserve">   P plant use – Soil P concentration.  The # to the left of the decimal is the soil labile P concentration (PPM) and the number to the right is the P available in (kg/ha).  Governs P use by plants as a function of soil P concentration.</t>
  </si>
  <si>
    <t xml:space="preserve">   N volatilization, as a function of NH3 depth in soil.  The # to the left of the decimal is depth at the center of soil layer (mm) and the number to the right is the N volatilization in (kg/ha).  Governs n volatilization as a function of soil depth.</t>
  </si>
  <si>
    <t xml:space="preserve">   Calculates wind erosion vegetative cover factor as a function of above ground plant material.  X = vegetative equivalent (C1*BIOM+C2*STD+C3*RSD).  Where C1, C2, and C3 are coefficients, BIOM is above ground biomass, STD is standing dead plant residue, and RSD is flat residue.  The # to the left of decimal is vegetative equivalent in (T/ha) and the number to the right is wind erosion cover factor (fraction).</t>
  </si>
  <si>
    <t xml:space="preserve">   Calculates soil temperature factor used in regulating microbial processes.  X = soil temperature(C).  The # to the left of the decimal is soil temperature and the number to the right is factor (fraction).</t>
  </si>
  <si>
    <t xml:space="preserve">   Plant population in water erosion C-factor.  The # to the left is plant population in plants per m2 or plants per ha for trees and the number to the right is the water erosion cover factor (fraction) or the fraction of erosion control.  Estimates plant population effect on USLE C-factor.</t>
  </si>
  <si>
    <t xml:space="preserve">   Snowmelt function.  Increases snow melt as a function of time since the last snowfall.  The number to the left of the decimal is the time (days) since the last snowfall, and the number to the right of the decimal is the rate of melt as a function of time.</t>
  </si>
  <si>
    <t xml:space="preserve">   Component of the plant water stress factor based on soil water content. The number to the left of the decimal is the ratio of root zone soil water content to plant available water storage volume, and the number to the right of the decimal is the fraction of plant stress due to water stress.  If Parm 38 = 1 then plant water stress is strictly a function of ET.</t>
  </si>
  <si>
    <t xml:space="preserve">   Adjusts CN2 as a function of upland slope steepness. The number to the left of the decimal is the upland slope (%), and the number to the right of the decimal is the fraction that the curve number is adjusted.</t>
  </si>
  <si>
    <t xml:space="preserve">   Regulates feedlot dust emission based on moisture content of litter.  The number to the left of the decimal is the water in liter/weight of litter, and the number to the right of the decimal is the fraction of dust emission control</t>
  </si>
  <si>
    <t xml:space="preserve">   Simulates oxygen content of soil as a function of depth.  Used in microbial processes of residue decay.  The number to the left of the decimal is the depth to center of each soil layer (m) and the number to the right of the decimal is the adjustment to the oxygen content.  This parameter works in conjunction with Parm 53.  (1 – Parm 53) x SCRP20</t>
  </si>
  <si>
    <t xml:space="preserve">   Distance factor in spatial rainfall generator.  The number to the left of the decimal is the distance from storm center to subarea centroid (km) and the number to the right of the decimal is the fraction of rainfall received at the storm center given distance X.</t>
  </si>
  <si>
    <t xml:space="preserve">   Plant Water Stress – Soil Water Tension.  Governs plant water stress as a function of soil water tension.</t>
  </si>
  <si>
    <t xml:space="preserve">   Estimates plant ground cover as a function of leaf area.  The number to the left of the decimal is the leaf area, and the number to the right of the decimal is the fraction of ground cover.</t>
  </si>
  <si>
    <t xml:space="preserve">   Estimates plant ground cover as a function of standing live biomass.  The number to the left of the decimal is the standing live biomass (t/ha), and the number to the right of the decimal is the fraction of ground cover.</t>
  </si>
  <si>
    <t xml:space="preserve">   Simulates O2 content of the soil as a function of Carbon and Clay content.  This S-curve number is used in microbial processes of residue decay.</t>
  </si>
  <si>
    <t xml:space="preserve">   Not used</t>
  </si>
  <si>
    <t xml:space="preserve">   Exception to normal S-Curve procedure – sets soil water contents coinciding with CN2 and CN3.  </t>
  </si>
  <si>
    <t xml:space="preserve">   Definition, units and/or range.</t>
  </si>
  <si>
    <t xml:space="preserve">   Crop canopy-PET (Range is from 1 - 2) factor used to adjust crop canopy resistance in the Penman-Monteith PET equation.  (cols. 1-8)</t>
  </si>
  <si>
    <t xml:space="preserve">   Root growth-soil strength (Range is from 1 - 2).  Normally 1.15&lt;parm(2)&lt;1.2.  Set to 1.5 to minimize soil strength constraint on root growth. Setting Parm(2)&gt;2 eliminates all root growth stress.  (cols. 9-16)</t>
  </si>
  <si>
    <t xml:space="preserve">   Water stress-harvest index (Range is from 0 - 1) sets fraction of growing season when water stress starts reducing harvest index.  (cols. 17-24)</t>
  </si>
  <si>
    <t xml:space="preserve">   Water storage N leaching (Range is from 0 - 1) fraction of soil porosity that interacts with percolating water as nitrogen leaching occurs.    (cols. 25-32)       </t>
  </si>
  <si>
    <t xml:space="preserve">   Soil water lower limit (Range is from 0 - 1) lower limit of water content in the top 0.5 m soil depth expressed as a fraction of the wilting point water content.  (cols. 33-40)</t>
  </si>
  <si>
    <t xml:space="preserve">   Winter dormancy (h) (Range is from 0 - 1) causes dormancy in winter grown crops. Growth does not occur when day length is less than annual minimum day length + parm(6).  (cols. 41-48)</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</si>
  <si>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(cols. 49-56)</t>
  </si>
  <si>
    <t xml:space="preserve">   Soluble phosphorus runoff coefficient. (0.1m3/t), (Range is from 10 - 20). P concentration in sediment divided by that of the water.  (cols. 57-64)</t>
  </si>
  <si>
    <t xml:space="preserve">   Pest damage moisture threshold, (mm), (Range is from 25 - 150), previous 30-day rainfall minus runoff.  One of several parameters used to regulate pest growth.  See also parm 10, PSTX in the control file, PST in the crop file and SCRP (9).  (cols. 65-72)</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</si>
  <si>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(cols. 73-80)</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</si>
  <si>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(cols. 1-8)</t>
  </si>
  <si>
    <t xml:space="preserve">   Soil evaporation coefficient, (Range is from 1.5 - 2.5), governs rate of soil evaporation from top 0.2 m of soil.  (cols. 9-16)</t>
  </si>
  <si>
    <t xml:space="preserve">   Wind erodibility coefficient, (Range is from 0 - 3), adjusts wind soil erodibility factor downward as loose material is eroded.  (cols. 17-24)</t>
  </si>
  <si>
    <t xml:space="preserve">   Nitrate leaching ratio, (Range is from 0.1 - 1), Ratio of nitrate concentration in surface runoff to nitrate concentration in percolate.  (cols. 25-32)</t>
  </si>
  <si>
    <t xml:space="preserve">   Runoff CN Residue Adjustment Parameter (Range is from 0.0 - 0.3).  Increases runoff for RSD &lt; 1.0 t/ha;  Decreases for RSD &gt; 1.0 t/ha.  (cols. 33-40)</t>
  </si>
  <si>
    <t xml:space="preserve">   Expands CN retention parameter (Range is from 1.0 - 1.5).  Values &gt; 1.0 expand CN retention and reduce runoff.  (cols. 41-48)</t>
  </si>
  <si>
    <t xml:space="preserve">   Soil evaporation – plant cover factor (Range is from 0.00 - 0.5).  Reduces effect of plant cover as related to LAI in regulating soil evaporation.  (cols. 49-56)</t>
  </si>
  <si>
    <t xml:space="preserve">   Sediment routing exponent (Range is from 1 - 1.5) exponent of water velocity function for estimating potential sediment concentration.  (cols. 57-64)</t>
  </si>
  <si>
    <t xml:space="preserve">   Sediment routing coefficient, (t/m3)( Range is from 0.01 - 0.05) potential sediment concentration when flow velocity = 1.   (m/s).  (cols. 65-72)</t>
  </si>
  <si>
    <t xml:space="preserve">   Runoff curve number initial abstraction (Range is from 0.05 - 0.4)  (cols. 73-80)</t>
  </si>
  <si>
    <t xml:space="preserve">   Soluble Carbon adsorption Coefficient (0.1m3/t) (Range is from 10 - 20).  Carbon concentration in sediment divided by that in water.  (cols. 1-8)</t>
  </si>
  <si>
    <t xml:space="preserve">   Reduces NRCS Runoff CN Retention Parameter for Frozen Soil.  (Range is from 0.05 – 0.5)  Fraction of S (Retention Parameter) Frozen Soil   (cols. 9-16)</t>
  </si>
  <si>
    <t xml:space="preserve">   Hargreaves PET equation coefficient (Range is from 0.0023 - 0.0032), original value = 0.0023, current value = 0.0032  (cols. 17-24)</t>
  </si>
  <si>
    <t xml:space="preserve">   Pesticide leaching ratio (Range is from 0.1 - 1) Ratio of pesticide concentration in surface runoff to pesticide concentration in percolation.  (cols. 25-32)</t>
  </si>
  <si>
    <t xml:space="preserve">   Exponential coefficient used to account for rainfall intensity on curve number </t>
  </si>
  <si>
    <t xml:space="preserve">   Fraction of maturity at spring growth initiation (Range is from 0 - 1) allows fall growing crops to reset heat unit index to a value greater than 0 when passing through the minimum temperature month.  (cols. 41-48)</t>
  </si>
  <si>
    <t xml:space="preserve">   CEC effect on nitrification &amp; volatilization (Range is from 0 - 1) sets lower limit of CEC correction factor in nit/vol function. At 0 CEC should prevent nit/vol process. At 1 CEC has no effect on nit/vol.  (cols. 49-56)</t>
  </si>
  <si>
    <t xml:space="preserve">   Upper Nitrogen Fixation limit (Range is from 0.1 – 20) This value sets the upper daily limit of nitrogen fixation by legumes. (kg/ha/day) (cols. 57-64)</t>
  </si>
  <si>
    <t xml:space="preserve">   Biological mixing efficiency (Range is from 0.1 - 0.5) simulates mixing in top soil by earth worms etc. Parm (31) sets depth for this action.    (cols. 65-72)</t>
  </si>
  <si>
    <t xml:space="preserve">   Soluble phosphorus runoff exponent (Range is from 1 - 1.5) provides nonlinear effect for soluble phosphorus-runoff eq.  (cols. 73-80)</t>
  </si>
  <si>
    <t xml:space="preserve">   Maximum depth for biological mixing, (m), (Range is from 0.1 - 0.3)  (cols. 1-8)</t>
  </si>
  <si>
    <t xml:space="preserve">   Organic P loss exponent, (Range is from 1 - 1.2)  Provides nonlinear effect for organic P loss equation. (cols. 9-16)</t>
  </si>
  <si>
    <t xml:space="preserve">   Coefficient in MUST EQ (Range is from 2.0 – 3.0).  Original value = 2.5.  (cols. 17-24)</t>
  </si>
  <si>
    <t xml:space="preserve">   Hargreaves PET equation exponent (Range is from 0.5 - 0.6) original value=0.5. Modified to 0.6 to increase PET.  (cols. 25-32)</t>
  </si>
  <si>
    <t xml:space="preserve">   Denitrification soil-water threshold (Range is from 0.9 - 1.1), fraction of field capacity soil water storage to trigger denitrification.  (cols. 33-40)</t>
  </si>
  <si>
    <t xml:space="preserve">   Upper Limit of Daily Denitrification rate (Range is from 0.0001 – 0.5)  Maximum fraction of NO3 in a soil layer subject to denitrification.   (cols. 41-48)</t>
  </si>
  <si>
    <t xml:space="preserve">   Exponent in Delivery Ratio for SWAT Output  (Range is from 0.1 – 0.6)  Tranforms APEX small watershed sediment yield to 8-digit basin sediment yield for SWAT input.  Normally 0.5—lower values increase sediment yield to SWAT (cols. 49-56)</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</si>
  <si>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(cols. )  (cols. 57-64)</t>
  </si>
  <si>
    <t xml:space="preserve">   Puddling Saturated Conductivity (mm/h) (Range is from 0.00001 – 0.1)  Simulates puddling in rice paddies by setting second soil layer saturated conductivity to a low value.  (cols. 65-72)</t>
  </si>
  <si>
    <t xml:space="preserve">   Groundwater storage threshold (Range is from 0.001 - 1.) fraction of groundwater storage that initiates return flow.  Return flow will not occur unless the fraction of maximum groundwater storage &gt; Parm 40. (cols. 73-80)</t>
  </si>
  <si>
    <t xml:space="preserve">   Plant root temperature stress exponent (Range is from 0.1 - 2.) exponent of ratio of soil layer temperature to average of plant optimal and base temperatures.  (cols. 1-8)</t>
  </si>
  <si>
    <t xml:space="preserve">   SCS curve number index coefficient (Range is from 0.3 -2.5) regulates the effect of PET in driving the SCS curve number retention parameter.  (cols. 9-16)</t>
  </si>
  <si>
    <t xml:space="preserve">   Plow layer depth (m) used to track soluble phosphorus concentration or weight, organic carbon, and soil water content.  (cols. 17-24)</t>
  </si>
  <si>
    <t xml:space="preserve">   Upper Limit of Curve Number Retention Parameter S(Range is from 1.0 - 2.0)   SUL=PARM(44)*S1.   Allows CN to go below CN1.  (cols. 25-32)</t>
  </si>
  <si>
    <t xml:space="preserve">   Sediment routing travel time coefficient, (Range is from 0.5 - 10.) brings inflow sediment concentration to transport capacity concentration as a function of travel time and mean particle size.  (cols. 33-40)</t>
  </si>
  <si>
    <t xml:space="preserve">   RUSLE C-factor coefficient (Range is from 0.5 - 1.5) coefficient in exponential residue function in residue factor.  (cols. 41-48)</t>
  </si>
  <si>
    <t xml:space="preserve">   RUSLE C-factor coefficient (Range is from 0.5 - 1.5) coefficient in exponential crop height function in biomass factor.  (cols. 49-56)</t>
  </si>
  <si>
    <t xml:space="preserve">   Adjusts climatic stress factor (Range is from 50 - 80) ((Average annual precipitation/Average annual temperature) / Parm 48).  Setting parm 48 to 0.0 gives a Climatic factor = 1 which has no effect on crop yield  (cols. 57-64)</t>
  </si>
  <si>
    <t xml:space="preserve">   Maximum rainfall interception by plant canopy (mm) (Range is from 0.0 - 15.0)  (cols. 65-72)</t>
  </si>
  <si>
    <t xml:space="preserve">   Rainfall interception coefficient, (Range is from 0.05 - 0.3)  (cols. 73-80)</t>
  </si>
  <si>
    <t xml:space="preserve">   Water stored in litter (residue) coefficient (Range is from 0.1 - 0.9).  Fraction of litter weight.   (cols. 1-8)</t>
  </si>
  <si>
    <t xml:space="preserve">   Exponential coefficient in EQUATION expressing tillage effect on residue decay rate (Range is from 5.0 – 15.0)   (cols. 9-16)</t>
  </si>
  <si>
    <t xml:space="preserve">   Coefficient in oxygen EQUATION used in modifying microbial activity with soil depth (Range is from 0.8 - 0.95)  See also SCRP 20.     (cols. 17-24)</t>
  </si>
  <si>
    <t xml:space="preserve">   N enrichment ratio coefficient for routing (Range is from 0.3 - 0.9)  GLEAMS equation  ERTO = min (3.5, Parm 54/CIN Parm 55) (cols. 25-32)</t>
  </si>
  <si>
    <t xml:space="preserve">   N enrichment ratio exponent for routing (Range is from 0.1 - 0.3)   Used for GLEAMS equation.  (cols. 33-40)</t>
  </si>
  <si>
    <t xml:space="preserve">   Fraction destroyed by burn operation (Range is from 0.5 -1.0)   (cols. 41-48)</t>
  </si>
  <si>
    <t xml:space="preserve">   P enrichment ratio coefficient for routing (Range is from 0.05 – 2.0)  GLEAMS equation  ERTP = Parm 57 / (CY) Parm 58) (cols. 49-56)</t>
  </si>
  <si>
    <t xml:space="preserve">   P enrichment ratio exponent for routing (Range is from 0.3 - 0.9)   Used for GLEAMS equation. (cols. 57-64)</t>
  </si>
  <si>
    <t xml:space="preserve">   P upward movement by evaporation coefficient (Range is from 1 - 20)   (cols. 65-72)</t>
  </si>
  <si>
    <t xml:space="preserve">   Maximum number of days a pasture is grazed before rotation (Range is from 1 - 365)   (cols. 73-80)</t>
  </si>
  <si>
    <t xml:space="preserve">   Soil water Upward Flow Limit (Range is from 0.05 – 0.95) Limits water tension ratio used to move water from a lower layer to the one above it.  X1 = XX * min(Parm 61, (T1-T2) / T1)  (cols. 1-8)</t>
  </si>
  <si>
    <t xml:space="preserve">   Manure erosion equation coefficient, (Range is from 0.1 - 0.5) larger values increase manure erosion.   (cols. 9-16)</t>
  </si>
  <si>
    <t xml:space="preserve">   N Enrichment Ratio for Delivery to SWAT, (Range is from 0.8 - 1.2) Enrichment ratio for application to 8-digit sediment yield supplied to SWAT.   (cols. 17-24)</t>
  </si>
  <si>
    <t xml:space="preserve">   Dust distribution coefficient, (Range is from 0.5 - 1.5) affects downwind travel time.   (cols. 25-32)</t>
  </si>
  <si>
    <t xml:space="preserve">   RUSLE2 transport capacity parameter (Range is from 0.001 - 0.1) Regulates deposition as a function of particle size and flow rate.   (cols. 33-40)</t>
  </si>
  <si>
    <t xml:space="preserve">   RUSLE2 threshold transport capacity coefficient (Range is from 1.0-10.0) Adjusts threshold (FLOW RATE * SLOPE STEEPNESS)   (cols. 41-48)</t>
  </si>
  <si>
    <t xml:space="preserve">   Dust distribution dispersion exponent (Range is from 5.0 - 15.0) modifies the effect of the angle between the wind direction and the centroid of downwind subareas.   (cols. 49-56)</t>
  </si>
  <si>
    <t xml:space="preserve">   Manure erosion exponent  (Range is from 0.1 - 1.0) modifies equation based on weight of manure on soil surface.   (cols. 57-64)</t>
  </si>
  <si>
    <t xml:space="preserve">   Coefficient adjusts microbial activity function in the top soil layer, (Range is from 0.1 - 1).   (cols. 65-72)</t>
  </si>
  <si>
    <t xml:space="preserve">   Microbial decay rate coefficient (Range is from 0.5 - 1.5).  Adjusts soil water-temperature-oxygen equation.   (cols. 73-80)</t>
  </si>
  <si>
    <t xml:space="preserve">   Manure erosion coefficient (Range is from 1.0 -1.5).  Modifies erosion estimate based on above ground plant material. Plant material (live and dead) reduces manure erosion.  (cols. 1-8)</t>
  </si>
  <si>
    <t xml:space="preserve">   Volatilization/nitrification partitioning coefficient (Range is from 0.05 - 0.5).  Fraction of process allocated to volatilization. (cols. 9-16)</t>
  </si>
  <si>
    <t xml:space="preserve">   Hydrograph development parameter (Range is from 0.1 - 0.9).  Storage depletion routing exponent used to estimate travel time outflow relationship. (cols. 17-24)</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</si>
  <si>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For example, if Parm 74 is set to 5, it means RSFN will be 5 times greater than DPKN.  If Parm 74 is set to 0.2, then RSFN is only 0.2 times DPKN.  (cols. 25-32)</t>
  </si>
  <si>
    <t xml:space="preserve">   P Enrichment Ratio for Delivery to SWAT   (Range is from 0.05 - 1.5).  Enrichment ratio for application to 8-digit sediment yield supplied to SWAT (cols. 33-40)</t>
  </si>
  <si>
    <t xml:space="preserve">   Standing Dead fall rate coefficient (Range is from 0.0001 – 0.1).  Governs rate of standing dead conversion to flat residue(cols. 41-48)</t>
  </si>
  <si>
    <t xml:space="preserve">   Runoff amount to delay pest application (mm) (Range is from 0.0 – 25.0).  Pesticide is not applied on days with runoff greater than Parm 77. (cols. 49-56)</t>
  </si>
  <si>
    <t xml:space="preserve">   Soil water value to delay tillage (Range is from 0 – 1) Tillage is delayed when PDSW/FCSW&gt;Parm 78.  PDSW = Plow depth soil water content; FCSW = Field capacity soil water content. (cols. 57-64)</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</si>
  <si>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(cols. 65-72)</t>
  </si>
  <si>
    <t xml:space="preserve">   Upper Limit of Nitrification-Volatilization (Range is from 0.0 – 0.5)  Fraction of NH3 present. (cols. 73-80)</t>
  </si>
  <si>
    <t xml:space="preserve">   Technology Coefficient (Range is from 0.0 – 0.01)  Linear adjustment to harvest index—base year = 2000 (cols. 1-8)</t>
  </si>
  <si>
    <t xml:space="preserve">   Not used (cols. 9-16)</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</si>
  <si>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</si>
  <si>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</si>
  <si>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</si>
  <si>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Nitrogen and Salt Upward movement by evaporation coefficient (Range is from 0.001 – 20.0) (cols. 41-48)  Regulates the upward movement of N and salt by evaporation.  Increasing Parm 86 increases upward movement.</t>
  </si>
  <si>
    <t xml:space="preserve">   Water table recession coefficient  (Range is from 0.001 – 1.0)  Small values slow the water table recession.  (cols. 49-56)</t>
  </si>
  <si>
    <t xml:space="preserve">   Limits daily water table movement  (Range is from 0.001 – 1.0)  Fraction of difference between WTBL and WTMN or WTMX.  (cols. 57-64)</t>
  </si>
  <si>
    <t xml:space="preserve">   Water table recession exponent  (Range is from 0.1 – 0.9)  Exponent of day of year/365 (cols. 65-72)</t>
  </si>
  <si>
    <t xml:space="preserve">   Subsurface flow factor (Range is from 1.0 – 100.0)  Traditional value is 2.0.  Larger numbers allocate more flow to SSF and QRF.  (cols. 73-80)</t>
  </si>
  <si>
    <t xml:space="preserve">   Flood Evaporation Limit (Range is from 0.001 – 1)  Allows for limiting of evaporation of flood waters during flooding. Regulates evaporation from channel and floodplain.  Small values reduce channel and floodplain evaporation(cols 1-8)</t>
  </si>
  <si>
    <t xml:space="preserve">   Runoff Volume Adjustment for Direct Link (NVCN = 0) (Range is from 0.1 to 2.0)  Inversely related to runoff.  Used like Parm 42 in CN index method (NVCN = 4).  If  Parm 92 = 1 (neutral); &gt;1 (decreases runoff); &lt;1 (increases runoff).  Typical setting is 1.0. (cols 9-16)</t>
  </si>
  <si>
    <t xml:space="preserve">   Water Erosion Threshold (Range is from 0 – 10).  (t/ha) This parameter sets a threshold which enables the model to count the number of water erosion events that are greater than the set threshold. (cols. 17-24)</t>
  </si>
  <si>
    <t xml:space="preserve">   Wind Erosion Threshold (Range is from 0 – 10).  (t/ha) This parameter sets a threshold which enables the model to count the number of wind erosion events that are greater than the set threshold. (cols. 25-32)</t>
  </si>
  <si>
    <t xml:space="preserve">   Exponent of Crop Stress Temperature function  (Range is from 0.8 – 2.0)  Setting this parameter to 1 causes no effect.</t>
  </si>
  <si>
    <t xml:space="preserve">   Soluble Phosphorus Leaching KD value  (Range is from 1.0 – 15.0) This value is used in the Langemeier phosphorus leaching equations.  Setting this parameter to 1 causes no effect.</t>
  </si>
  <si>
    <t xml:space="preserve">   Cost of Irrigation Water ($/mm) (cols. 1-8)</t>
  </si>
  <si>
    <t xml:space="preserve">   Cost of Lime ($/tonne) (cols. 9-16)</t>
  </si>
  <si>
    <t xml:space="preserve">   Cost of Fuel ($/liter) (cols. 17-24)</t>
  </si>
  <si>
    <t xml:space="preserve">   Cost of Labor ($/hour) (cols. 25-32)</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</si>
  <si>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</si>
  <si>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</si>
  <si>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</si>
  <si>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</si>
  <si>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</si>
  <si>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</si>
  <si>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K Fertilizer Application</t>
  </si>
  <si>
    <t>Automatic Commercial P Fertilizer Application</t>
  </si>
  <si>
    <t xml:space="preserve">Automatic Commercial N ertilizer Application.   </t>
  </si>
  <si>
    <t>IKAT</t>
  </si>
  <si>
    <t xml:space="preserve">Automatic Commercial K ertilizer Application.   </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</si>
  <si>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</si>
  <si>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</si>
  <si>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</si>
  <si>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</si>
  <si>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</si>
  <si>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</si>
  <si>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</si>
  <si>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</si>
  <si>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</si>
  <si>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</si>
  <si>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</si>
  <si>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</si>
  <si>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</si>
  <si>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</si>
  <si>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</si>
  <si>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</si>
  <si>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</si>
  <si>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</si>
  <si>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</si>
  <si>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</si>
  <si>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</si>
  <si>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</si>
  <si>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</si>
  <si>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</si>
  <si>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</si>
  <si>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</si>
  <si>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</si>
  <si>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</si>
  <si>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</si>
  <si>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</si>
  <si>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</si>
  <si>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</si>
  <si>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</si>
  <si>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</si>
  <si>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</si>
  <si>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</si>
  <si>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</si>
  <si>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</si>
  <si>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</si>
  <si>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</si>
  <si>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</si>
  <si>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TAB #19</t>
  </si>
  <si>
    <r>
      <rPr>
        <b/>
        <sz val="12"/>
        <color theme="1"/>
        <rFont val="Calibri"/>
        <family val="2"/>
        <scheme val="minor"/>
      </rPr>
      <t>SIT</t>
    </r>
    <r>
      <rPr>
        <sz val="12"/>
        <color theme="1"/>
        <rFont val="Calibri"/>
        <family val="2"/>
        <scheme val="minor"/>
      </rPr>
      <t>_FILE.SIT</t>
    </r>
  </si>
  <si>
    <t>A study may involve several sites (fields, farms, or watersheds), which can be listed in SITECOM.DAT (or user chosen name).</t>
  </si>
  <si>
    <r>
      <t>APEX_</t>
    </r>
    <r>
      <rPr>
        <b/>
        <sz val="12"/>
        <color theme="1"/>
        <rFont val="Calibri"/>
        <family val="2"/>
        <scheme val="minor"/>
      </rPr>
      <t>CROP</t>
    </r>
    <r>
      <rPr>
        <sz val="12"/>
        <color theme="1"/>
        <rFont val="Calibri"/>
        <family val="2"/>
        <scheme val="minor"/>
      </rPr>
      <t>.CRP</t>
    </r>
  </si>
  <si>
    <r>
      <t>APEX_</t>
    </r>
    <r>
      <rPr>
        <b/>
        <sz val="12"/>
        <color theme="1"/>
        <rFont val="Calibri"/>
        <family val="2"/>
        <scheme val="minor"/>
      </rPr>
      <t>FERT</t>
    </r>
    <r>
      <rPr>
        <sz val="12"/>
        <color theme="1"/>
        <rFont val="Calibri"/>
        <family val="2"/>
        <scheme val="minor"/>
      </rPr>
      <t>.FER</t>
    </r>
  </si>
  <si>
    <r>
      <t>APEX_</t>
    </r>
    <r>
      <rPr>
        <b/>
        <sz val="12"/>
        <color theme="1"/>
        <rFont val="Calibri"/>
        <family val="2"/>
        <scheme val="minor"/>
      </rPr>
      <t>PEST</t>
    </r>
    <r>
      <rPr>
        <sz val="12"/>
        <color theme="1"/>
        <rFont val="Calibri"/>
        <family val="2"/>
        <scheme val="minor"/>
      </rPr>
      <t>.PES</t>
    </r>
  </si>
  <si>
    <r>
      <rPr>
        <b/>
        <sz val="12"/>
        <color theme="1"/>
        <rFont val="Calibri"/>
        <family val="2"/>
        <scheme val="minor"/>
      </rPr>
      <t>PARM</t>
    </r>
    <r>
      <rPr>
        <sz val="12"/>
        <color theme="1"/>
        <rFont val="Calibri"/>
        <family val="2"/>
        <scheme val="minor"/>
      </rPr>
      <t>_FILE.PAR</t>
    </r>
  </si>
  <si>
    <r>
      <t>APEX_</t>
    </r>
    <r>
      <rPr>
        <b/>
        <sz val="12"/>
        <color theme="1"/>
        <rFont val="Calibri"/>
        <family val="2"/>
        <scheme val="minor"/>
      </rPr>
      <t>TILL</t>
    </r>
    <r>
      <rPr>
        <sz val="12"/>
        <color theme="1"/>
        <rFont val="Calibri"/>
        <family val="2"/>
        <scheme val="minor"/>
      </rPr>
      <t>.TIL</t>
    </r>
  </si>
  <si>
    <t>Includes input data for all operation schedules. (Also a valid extension .OPC)</t>
  </si>
  <si>
    <t>Main | Home - APEX Editor  v.2.1.δ for APEX0806</t>
  </si>
  <si>
    <t>Dimension variables for various arrays.  Allows the user to set the arrays according to their needs and ensure the model runs most efficiently for the given data.</t>
  </si>
  <si>
    <t>FILE NAME REFERENCE (APEXFILE.DAT)</t>
  </si>
  <si>
    <t xml:space="preserve">TILL FILE  (TILL*.DAT)  </t>
  </si>
  <si>
    <t xml:space="preserve">CROPS FILE (CROP*.DAT)  </t>
  </si>
  <si>
    <t xml:space="preserve">FERTILIZERS FILE  (FERT*.DAT)  </t>
  </si>
  <si>
    <t xml:space="preserve">PESTICIDES FILE (PEST*.DAT)  </t>
  </si>
  <si>
    <t xml:space="preserve">PARAMETERS FILE (PARM*.DAT)  </t>
  </si>
  <si>
    <t xml:space="preserve">APEX SITE FILES (SITE*.SIT) </t>
  </si>
  <si>
    <t>`</t>
  </si>
  <si>
    <t>Elevation and/or Comment</t>
  </si>
  <si>
    <t>CULTI-PACKER PULVERIZER</t>
  </si>
  <si>
    <t>LAND PLANE-LEVELER</t>
  </si>
  <si>
    <t>LISTER (MIDDLE-BUSTER)</t>
  </si>
  <si>
    <t>SAND-FIGHTER</t>
  </si>
  <si>
    <t>ROTARY HOE</t>
  </si>
  <si>
    <t>ROTO-TILLER</t>
  </si>
  <si>
    <t>DKCHMTIL</t>
  </si>
  <si>
    <t>FURROW DIKER</t>
  </si>
  <si>
    <t>COTTON MODULE BUILDER</t>
  </si>
  <si>
    <t>COTTON ROOD MACHINE</t>
  </si>
  <si>
    <t>BALER, PTO LARGE</t>
  </si>
  <si>
    <t>BALER, PTO SMALL</t>
  </si>
  <si>
    <t>MOWER, DRUM-DISC</t>
  </si>
  <si>
    <t>RAKE, SIDE DELIVERY</t>
  </si>
  <si>
    <t>RAKE, WHEEL</t>
  </si>
  <si>
    <t>WINDROWER-SWATHER, PTO</t>
  </si>
  <si>
    <t>STACK MOVER</t>
  </si>
  <si>
    <t>STACKER AUTOMATIC</t>
  </si>
  <si>
    <t>TRUCK PICKUP  1/2 TON</t>
  </si>
  <si>
    <t>TRUCK PICKUP  3/4 TON</t>
  </si>
  <si>
    <t>MOWER AUTO LAWN</t>
  </si>
  <si>
    <t>MOWER LAWN</t>
  </si>
  <si>
    <t>DITCHER (VEE OR ROTARY)</t>
  </si>
  <si>
    <t>FRONTEND LOADER</t>
  </si>
  <si>
    <t>ROCK PICKER</t>
  </si>
  <si>
    <t>RODENT KILLER</t>
  </si>
  <si>
    <t>GATED PIPE</t>
  </si>
  <si>
    <t>PLASTIC LAYER 1 ROW</t>
  </si>
  <si>
    <t>TRANSLOADER, SUGARCANE</t>
  </si>
  <si>
    <t>BURNING UNIT</t>
  </si>
  <si>
    <t>PUDDLE RICE PADDY</t>
  </si>
  <si>
    <t>ANIMAL MANURE DUMP</t>
  </si>
  <si>
    <t>MANURE SCRAPER</t>
  </si>
  <si>
    <t>AERIAL APP-FERT</t>
  </si>
  <si>
    <t>AERIAL CHEM APPLICATION</t>
  </si>
  <si>
    <t>AERIAL FERT APPLICATION</t>
  </si>
  <si>
    <t>AERIAL SEEDING</t>
  </si>
  <si>
    <t>AL DRIP IRRIGATION</t>
  </si>
  <si>
    <t>BALE LOADER</t>
  </si>
  <si>
    <t>BEET HARVESTER</t>
  </si>
  <si>
    <t>BEET PLANTER 8 ROW</t>
  </si>
  <si>
    <t>BEET PULLER</t>
  </si>
  <si>
    <t>CANE HARVESTER 2 ROW</t>
  </si>
  <si>
    <t>CANE WAGON 10TON</t>
  </si>
  <si>
    <t>COMBINE SELF-PROP 4WD</t>
  </si>
  <si>
    <t>DEEP RIPPER- SUBSOILER</t>
  </si>
  <si>
    <t>DEFOLIATE</t>
  </si>
  <si>
    <t>DISK BORDER MAKER</t>
  </si>
  <si>
    <t>PEANUT COMBINE (PTO)</t>
  </si>
  <si>
    <t>PEANUT DIGGER-SHAKER</t>
  </si>
  <si>
    <t>PEANUT RESHAKER-COND</t>
  </si>
  <si>
    <t>PEANUT SHAKER-INVERTER</t>
  </si>
  <si>
    <t>PEANUT VINE CUTTER</t>
  </si>
  <si>
    <t>PEANUT WAGON</t>
  </si>
  <si>
    <r>
      <t>APEX_</t>
    </r>
    <r>
      <rPr>
        <b/>
        <sz val="12"/>
        <color theme="1"/>
        <rFont val="Calibri"/>
        <family val="2"/>
        <scheme val="minor"/>
      </rPr>
      <t>MAIN</t>
    </r>
    <r>
      <rPr>
        <sz val="12"/>
        <color theme="1"/>
        <rFont val="Calibri"/>
        <family val="2"/>
        <scheme val="minor"/>
      </rPr>
      <t>.HOME</t>
    </r>
  </si>
  <si>
    <t xml:space="preserve">   Number of  Years for Simulation Duration (cols. 1-4)</t>
  </si>
  <si>
    <t xml:space="preserve">   Beginning Year of Simulation (cols. 5-8)</t>
  </si>
  <si>
    <t xml:space="preserve">   Beginning Month of Simulation  (cols. 9-12)</t>
  </si>
  <si>
    <t xml:space="preserve">   Beginning Day of Simulation (cols. 13-16)</t>
  </si>
  <si>
    <t xml:space="preserve">   Print Code for Type of Output (cols. 17-20)</t>
  </si>
  <si>
    <t xml:space="preserve">   Input Code for Weather Variables (cols. 21-24)</t>
  </si>
  <si>
    <t xml:space="preserve">   Number of Times Random Number Generator Cycles Before Simulations Starts (cols. 25-28)</t>
  </si>
  <si>
    <t xml:space="preserve">   Day Weather Generator Stops Generating Daily Weather (cols. 29-32)</t>
  </si>
  <si>
    <t xml:space="preserve">   Leap Year Considered (cols. 33-36) (Range: 0-1)</t>
  </si>
  <si>
    <t xml:space="preserve">   Potential Evapotranspiration Equation Code (cols. 37-40)</t>
  </si>
  <si>
    <t xml:space="preserve">   Stochastic CN Estimator Code (cols. 41-44)</t>
  </si>
  <si>
    <t xml:space="preserve">   Peak Rate Estimate Code (cols. 45-48)  </t>
  </si>
  <si>
    <t xml:space="preserve">   Static Soil Code (cols. 49-52)</t>
  </si>
  <si>
    <t xml:space="preserve">   Automatic Heat Unit Scheduling (cols. 53-56)</t>
  </si>
  <si>
    <t xml:space="preserve">   Non-varying CN-CN2 Used  (cols. 57-60)  (Range: 0-4)</t>
  </si>
  <si>
    <t xml:space="preserve">   Runoff (Q) Estimation Methodology (cols. 61-64)  (Range: 0-4)</t>
  </si>
  <si>
    <t xml:space="preserve">   Pesticide Output in Mass and Concentration (cols. 65-68)  (Range: 0-1)</t>
  </si>
  <si>
    <t xml:space="preserve">   Enrichment Ratio Method (cols. 69-72)</t>
  </si>
  <si>
    <t xml:space="preserve">   Soluble Phosphorus Runoff Estimate Equation (cols. 73-76)  (Range: 0-2)</t>
  </si>
  <si>
    <t xml:space="preserve">   N and P plant uptake concentration code (cols. 77-80)  (Range: 0-1)</t>
  </si>
  <si>
    <t xml:space="preserve">   </t>
  </si>
  <si>
    <t xml:space="preserve">   Manure application code (cols. 1-4)  (Range: 0-3)</t>
  </si>
  <si>
    <t xml:space="preserve">   Lagoon pumping (cols. 5-8)  (Range: 0-365)</t>
  </si>
  <si>
    <t xml:space="preserve">   Solid manure scraping (cols. 9-12)  (Range: 0-365)</t>
  </si>
  <si>
    <t xml:space="preserve">   0    RUSLE slope length / steepness factor</t>
  </si>
  <si>
    <t xml:space="preserve">   Air Quality Analysis (cols. 17-20)  (Range: 0-1)</t>
  </si>
  <si>
    <t xml:space="preserve">   Flood Routing (cols. 21-24)  (Range: 0-2)</t>
  </si>
  <si>
    <t xml:space="preserve">   Atmospheric CO2 (cols. 25-28)  (Range: 0-2)</t>
  </si>
  <si>
    <t xml:space="preserve">   Field Capacity/Wilting Point Estimation (cols. 29-32)  (Range: 0-5)</t>
  </si>
  <si>
    <t xml:space="preserve">   Number of times generator seeds are initialized for a site (cols. 33-36)  (Range: 1-100)</t>
  </si>
  <si>
    <t xml:space="preserve">   Data Directory (cols.37-40)  (Range: 0-1)</t>
  </si>
  <si>
    <t xml:space="preserve">   Minimum Interval between auto mow  (cols.41-44)  </t>
  </si>
  <si>
    <t xml:space="preserve">   O2 – depth function (cols. 45-48) (Range: 0-1)</t>
  </si>
  <si>
    <t xml:space="preserve">   Denitrification subprogram (cols. 49-52) (Range: 0-1)</t>
  </si>
  <si>
    <t xml:space="preserve">   Latitude source (cols. 53-56) (Range: 0-1)</t>
  </si>
  <si>
    <t xml:space="preserve">   Auto-Phosphorus Switch (cols. 57-60) (Range: 0-1)</t>
  </si>
  <si>
    <t xml:space="preserve">   Grazing Mode (cols. 61-64) (Range: 0-2)</t>
  </si>
  <si>
    <t xml:space="preserve">   Duration of antecedent period for rainfall and PET accumulation to drive water table. (cols. 65-68) (Range:  )</t>
  </si>
  <si>
    <t xml:space="preserve">   Auto-Potasium Switch (cols. 69-72) (Range: 0-1)</t>
  </si>
  <si>
    <t xml:space="preserve">   Real time day of year (cols. 73-76) (Range: 0-365)</t>
  </si>
  <si>
    <t xml:space="preserve">   Enter subarea number (NBSA) to print monthly .OUT for 1 subarea (cols. 77-80)  (Range: 1-1000)</t>
  </si>
  <si>
    <t xml:space="preserve">   Average concentration of nitrogen in rainfall  (cols. 1-8)</t>
  </si>
  <si>
    <t xml:space="preserve">   Carbon dioxide concentration in atmosphere (cols. 9-16)</t>
  </si>
  <si>
    <t xml:space="preserve">   Concentration of NO3-N in irrigation water in ppm (cols. 17-24)  (Range: 0-1000)</t>
  </si>
  <si>
    <t xml:space="preserve">   Pest damage scaling factor (cols. 25-32)  (Range: 0-10)</t>
  </si>
  <si>
    <t xml:space="preserve">   Number years of maximum monthly 0.5 hour rainfall available.  (cols. 33-40)</t>
  </si>
  <si>
    <t xml:space="preserve">   COEF (0-1) governing wet-dry probabilities given days of rain.  (cols. 41-48)</t>
  </si>
  <si>
    <t xml:space="preserve">   Parameter used to modify exponential rainfall amount distribution (cols. 49-56)</t>
  </si>
  <si>
    <t xml:space="preserve">   Channel Capacity Flow Rate  (cols. 57-64)</t>
  </si>
  <si>
    <t xml:space="preserve">   Exponent in watershed area flow rate equation. (cols. 65-72)  (Range: 0.4-0.6)</t>
  </si>
  <si>
    <t xml:space="preserve">   Average upland slope (m/m) in watershed (cols. 73-80)  (Range: 0.001-0.7)</t>
  </si>
  <si>
    <t xml:space="preserve">   Channel bottom width/depth in m/m; Channel flow rate (QG) &gt; 0. (cols. 1-8)  (Range: 1-20)</t>
  </si>
  <si>
    <t xml:space="preserve">   Floodplain width/channel width in m/m (cols. 9-16)  (Range: 2-50)</t>
  </si>
  <si>
    <t xml:space="preserve">   Floodplain saturated hydraulic conductivity in mm/h (cols. 17-24)       (Range: 0.0001-10)</t>
  </si>
  <si>
    <t xml:space="preserve">   Maximum ground water storage in mm (cols. 25-32) (Range: 5-200)</t>
  </si>
  <si>
    <t xml:space="preserve">   Ground water residence time in days (cols. 33-40) (Range: 0-365)</t>
  </si>
  <si>
    <t xml:space="preserve">   Return Flow / (Return Flow + Deep Percolation) (cols. 41-48) (Range: 0-1)  Setting this value closer to 1.0 means more flow will be partitioned to return flow.</t>
  </si>
  <si>
    <t xml:space="preserve">   Saturated Conductivity adjustment factor (cols. 49-56)</t>
  </si>
  <si>
    <t xml:space="preserve">   Field length (if wind erosion is to be considered) in kilometers(cols. 57-64)</t>
  </si>
  <si>
    <t xml:space="preserve">   Field width (if wind erosion is to be considered) in kilometers (cols. 65-72)</t>
  </si>
  <si>
    <t xml:space="preserve">   Clockwise angle of field length from north (if wind erosion is to be considered) (cols. 73-80)</t>
  </si>
  <si>
    <t xml:space="preserve">   Power Parameter of Modified Exponential Distribution of Wind Speed (if wind erosion is to be considered) (cols. 1-8)</t>
  </si>
  <si>
    <t xml:space="preserve">   Soil Particle Diameter(if wind erosion is to be considered) (cols. 9-16)</t>
  </si>
  <si>
    <t xml:space="preserve">   Wind Erosion Adjustment Factor (cols. 17-24)</t>
  </si>
  <si>
    <t xml:space="preserve">   Grazing limit  (cols. 25-32)</t>
  </si>
  <si>
    <t xml:space="preserve">   Number of years of cultivation at start of simulation (cols. 33-40)</t>
  </si>
  <si>
    <t xml:space="preserve">   Linear coefficient of change in rainfall from east to west (PI/PO/KM)     (cols. 41-48) (Range: 0-1)</t>
  </si>
  <si>
    <t xml:space="preserve">   Linear coefficient of change in rainfall from south to north (PI/PO/KM) (cols. 49-56) (Range: 0-1)</t>
  </si>
  <si>
    <t xml:space="preserve">   Time interval for flood routing (hours) (cols. 57-64) (Range: 0.5-12)</t>
  </si>
  <si>
    <t xml:space="preserve">   Routing Threshold (mm) – VSC routing used when QVOL&gt;QTH             (cols. 65-72) (Range: 0-200000)</t>
  </si>
  <si>
    <t xml:space="preserve">   VSC Routing used when reach storage &gt; STND (cols. 73-80)                (Range: 0-200000)</t>
  </si>
  <si>
    <t xml:space="preserve">   Equation for Water Erosion   (cols. 1-8) (Range: 0-7)</t>
  </si>
  <si>
    <t xml:space="preserve">   Fraction of subareas controlled by ponds (cols. 9-16) (Range: 0-1)</t>
  </si>
  <si>
    <t xml:space="preserve">   USLE Crop Management Channel Factor  (cols. 17-24)</t>
  </si>
  <si>
    <t xml:space="preserve">   Salt Concentration in Irrigation Water (cols. 25-32) ppm</t>
  </si>
  <si>
    <t xml:space="preserve">   Fraction inflow partitioned to verticle crack or pipe flow (cols. 33-40) (Range: 0-10)</t>
  </si>
  <si>
    <t xml:space="preserve">   Fraction inflow partitioned to horizontal crack or pipe flow (cols. 41-48) (Range: 0-0.9)</t>
  </si>
  <si>
    <t xml:space="preserve">   MUSI input according to equation (cols. 49-56) (Range: 0-10)</t>
  </si>
  <si>
    <t xml:space="preserve">   MUSI input according to equation (cols. 57-64) (Range: 0-0.9)</t>
  </si>
  <si>
    <t xml:space="preserve">   MUSI input according to equation (cols. 65-72) (Range: 0-0.9)</t>
  </si>
  <si>
    <t xml:space="preserve">   MUSI input according to equation (cols. 73-80) (Range: 0-1.2)</t>
  </si>
  <si>
    <t xml:space="preserve">   A list of site files that can be selected to create runs.  The input data for each of the site files is contained in the filename.sit files.</t>
  </si>
  <si>
    <t xml:space="preserve">   A list of subareas that can be selected to create runs.  The input data for each of the subarea files is contained in the filename.sub files.</t>
  </si>
  <si>
    <t xml:space="preserve">   A list of monthly weather stations, ordered by weather station number which can be used in creating runs.  This file also gives the latitude, longitude, state and location of the weather station.</t>
  </si>
  <si>
    <t xml:space="preserve">   A list of wind stations, ordered by wind weather station number, which can be used in creating runs.  This file also gives the latitude, longitude, state and location of the wind station.</t>
  </si>
  <si>
    <t xml:space="preserve">   Crop parameter file.  This file is a list of crops and the associated crop parameters needed by APEX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</si>
  <si>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</si>
  <si>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</si>
  <si>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</si>
  <si>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that can be selected to create runs.  The input data for each of the soil files is contained in the filename.sol files.</t>
  </si>
  <si>
    <t xml:space="preserve">   List of available operation schedules which can be used to create runs.  The input data for each of the operation files is contained in the filename.ops files.</t>
  </si>
  <si>
    <t xml:space="preserve">   Data for TR55 runoff estimation</t>
  </si>
  <si>
    <t xml:space="preserve">   Equation parameters and coefficients</t>
  </si>
  <si>
    <t xml:space="preserve">   Provides for multiple runs at the same site by including an option for selecting consecutive weather seeds and water erosion without reloading the inputs.</t>
  </si>
  <si>
    <t xml:space="preserve">   Includes the control data for printing select output variables in the sections of the APEX0806.out file and other summary files.</t>
  </si>
  <si>
    <t xml:space="preserve">   Includes parameters for simulating herds of animals and grazing.</t>
  </si>
  <si>
    <t xml:space="preserve">   A list of daily weather stations and their corresponding latitude and longitude values ordered by weather station number which can be used in creating runs.</t>
  </si>
  <si>
    <t xml:space="preserve">   A list of point source files.</t>
  </si>
  <si>
    <t xml:space="preserve">   A list of less-than-daily interval (hourly, quarter hourly, etc.) weather stations.</t>
  </si>
  <si>
    <t xml:space="preserve">   Run name and/or #number (provides a unique id for each run so that output files are not written over)</t>
  </si>
  <si>
    <t xml:space="preserve">   Site number; must be one of the sites listed in the SITECOM.dat file.</t>
  </si>
  <si>
    <t xml:space="preserve">   Monthly weather station number; must be one of the stations in the WPM1US.dat file; if left blank, APEX will use the latitude and longitude from ISIT to choose a station with a latitude and longitude closest to the latitude and longitude identified in the ISIT.</t>
  </si>
  <si>
    <t xml:space="preserve">   Wind Station number; must be one of the stations in the WINDUS.dat file; if left blank, APEX will use the lat and long from ISIT to choose a station.</t>
  </si>
  <si>
    <t xml:space="preserve">   Subarea number; must be one of the subarea data files listed in the SUBACOM.dat file.</t>
  </si>
  <si>
    <t xml:space="preserve">   0 for normal run; &gt; 0 for runs using .SOT files</t>
  </si>
  <si>
    <t xml:space="preserve">   Within storm rainfall station number from RFDTLST.DAT</t>
  </si>
  <si>
    <t xml:space="preserve">  Maximum # of pesticides (cols. 1-8)</t>
  </si>
  <si>
    <t xml:space="preserve">  Maximum # years in crop rotation (cols. 9-16)</t>
  </si>
  <si>
    <t xml:space="preserve">  Maximum # of tillage operations (cols. 17-24)</t>
  </si>
  <si>
    <t xml:space="preserve">  Maximum # of crops used (cols. 25-32)</t>
  </si>
  <si>
    <t xml:space="preserve">  Maximum # animals herds (cols. 33-40)</t>
  </si>
  <si>
    <t xml:space="preserve">  Maximum # buy/sell livestock transactions  (cols. 41-48)</t>
  </si>
  <si>
    <t xml:space="preserve">  Maximum # fertilizer  (cols. 49-56)</t>
  </si>
  <si>
    <t xml:space="preserve">  Owners</t>
  </si>
  <si>
    <t xml:space="preserve">  Maximum # point sources (cols. 65-72)</t>
  </si>
  <si>
    <t xml:space="preserve">  Maximum # of hydrograph points (cols. 73-80)</t>
  </si>
  <si>
    <t xml:space="preserve">  Maximum # of days for storm hydrograph base  (cols. 81-88)</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</si>
  <si>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</si>
  <si>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</si>
  <si>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</si>
  <si>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</si>
  <si>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</si>
  <si>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</si>
  <si>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</si>
  <si>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</si>
  <si>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</si>
  <si>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</si>
  <si>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</si>
  <si>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</si>
  <si>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</si>
  <si>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</si>
  <si>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SNO  </t>
  </si>
  <si>
    <t xml:space="preserve">STDO  </t>
  </si>
  <si>
    <t xml:space="preserve">YCT  </t>
  </si>
  <si>
    <t xml:space="preserve">XCT  </t>
  </si>
  <si>
    <t xml:space="preserve">AZM  </t>
  </si>
  <si>
    <t xml:space="preserve">FL  </t>
  </si>
  <si>
    <t xml:space="preserve">FW  </t>
  </si>
  <si>
    <t xml:space="preserve">ANGL  </t>
  </si>
  <si>
    <t xml:space="preserve">WSA  </t>
  </si>
  <si>
    <t xml:space="preserve">CHL    </t>
  </si>
  <si>
    <t xml:space="preserve">CHD  </t>
  </si>
  <si>
    <t xml:space="preserve">CHS  </t>
  </si>
  <si>
    <t xml:space="preserve">CHN  </t>
  </si>
  <si>
    <t xml:space="preserve">SLP   </t>
  </si>
  <si>
    <t xml:space="preserve">SPLG  </t>
  </si>
  <si>
    <t xml:space="preserve">UPN  </t>
  </si>
  <si>
    <t xml:space="preserve">FFPQ  </t>
  </si>
  <si>
    <t xml:space="preserve">URBF  </t>
  </si>
  <si>
    <t xml:space="preserve">RCHL  </t>
  </si>
  <si>
    <t xml:space="preserve">RCHD  </t>
  </si>
  <si>
    <t xml:space="preserve">RCBW  </t>
  </si>
  <si>
    <t xml:space="preserve">RCTW  </t>
  </si>
  <si>
    <t xml:space="preserve">RCHS  </t>
  </si>
  <si>
    <t xml:space="preserve">RCHN  </t>
  </si>
  <si>
    <t xml:space="preserve">RCHC  </t>
  </si>
  <si>
    <t xml:space="preserve">RCHK  </t>
  </si>
  <si>
    <t xml:space="preserve">RFPW  </t>
  </si>
  <si>
    <t xml:space="preserve">RFPL  </t>
  </si>
  <si>
    <t xml:space="preserve">SAT1  </t>
  </si>
  <si>
    <t xml:space="preserve">FPS1  </t>
  </si>
  <si>
    <t xml:space="preserve">RSEE  </t>
  </si>
  <si>
    <t xml:space="preserve">RSAE  </t>
  </si>
  <si>
    <t xml:space="preserve">RSVE  </t>
  </si>
  <si>
    <t xml:space="preserve">RSEP  </t>
  </si>
  <si>
    <t xml:space="preserve">RSAP  </t>
  </si>
  <si>
    <t xml:space="preserve">RSVP  </t>
  </si>
  <si>
    <t xml:space="preserve">RSV  </t>
  </si>
  <si>
    <t xml:space="preserve">RSRR  </t>
  </si>
  <si>
    <t xml:space="preserve">RSYS  </t>
  </si>
  <si>
    <t xml:space="preserve">RSYN  </t>
  </si>
  <si>
    <t xml:space="preserve">RSHC  </t>
  </si>
  <si>
    <t xml:space="preserve">RSDP  </t>
  </si>
  <si>
    <t xml:space="preserve">RSBD  </t>
  </si>
  <si>
    <t xml:space="preserve">PCOF  </t>
  </si>
  <si>
    <t xml:space="preserve">BCOF  </t>
  </si>
  <si>
    <t xml:space="preserve">BFFL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</si>
  <si>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</si>
  <si>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</si>
  <si>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</si>
  <si>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</si>
  <si>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</si>
  <si>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</si>
  <si>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</si>
  <si>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</si>
  <si>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</si>
  <si>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</si>
  <si>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</si>
  <si>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</si>
  <si>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IDF6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</si>
  <si>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</si>
  <si>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</si>
  <si>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</si>
  <si>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</si>
  <si>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</si>
  <si>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</si>
  <si>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</si>
  <si>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</si>
  <si>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</si>
  <si>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</si>
  <si>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</si>
  <si>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</si>
  <si>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</si>
  <si>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</si>
  <si>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</si>
  <si>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</si>
  <si>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</si>
  <si>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</si>
  <si>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</si>
  <si>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</si>
  <si>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</si>
  <si>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</si>
  <si>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</si>
  <si>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</si>
  <si>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</si>
  <si>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</si>
  <si>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</si>
  <si>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</si>
  <si>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</si>
  <si>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</si>
  <si>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</si>
  <si>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</si>
  <si>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</si>
  <si>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</si>
  <si>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</si>
  <si>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</si>
  <si>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</si>
  <si>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</si>
  <si>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</si>
  <si>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</si>
  <si>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</si>
  <si>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Latitude of watershed in decimal degrees used to estimate day length (S-, N+). (Range: -90 to 90)(cols. 1-8)</t>
  </si>
  <si>
    <t xml:space="preserve">  Longitude of watershed in decimal degrees (Range:-180 to 180)(cols. 9-16)                     </t>
  </si>
  <si>
    <t xml:space="preserve">  Average watershed elevation (m) (Range: -200 to 8000)(cols. 17-24)</t>
  </si>
  <si>
    <t xml:space="preserve">  Peak runoff rate – rainfall energy adjustment factor for fine tuning the energy factor water erosion. (Range: 0-1)(cols. 25-32)</t>
  </si>
  <si>
    <t xml:space="preserve">  CO2 Concentration in the atmosphere.Non-zero value overrides the CO2 in APEXCONT.DAT (ppm) (Range: 0-1000)(cols. 33-40)</t>
  </si>
  <si>
    <t xml:space="preserve">  Concentration of NO3 in irrigation water. Non-zero value overrides the CQN input in the APEXCONT.DAT.   (Range: 0-1000)(ppm)  (cols. 41-48)</t>
  </si>
  <si>
    <t xml:space="preserve">  Average concentration of Nitrogen in rainfall (ppm) (Range: 0.5-1.5)(cols. 49-56)    </t>
  </si>
  <si>
    <t xml:space="preserve">  Manure application rate to supply P uptake rate (kg/ha/yr) (Range: 0-1000)(cols. 57-64) </t>
  </si>
  <si>
    <t xml:space="preserve">  Manure application rate to supply N uptake rate in kg/ha/yr  (cols. 65-72) (Range: 0-1000)</t>
  </si>
  <si>
    <t xml:space="preserve">  Factor to adjust auto irrigation volume (cols. 73-80)</t>
  </si>
  <si>
    <t xml:space="preserve">  Leave Blank</t>
  </si>
  <si>
    <t xml:space="preserve">  SWAT Basin Channel Length in kilometers (cols. 65-72)</t>
  </si>
  <si>
    <t xml:space="preserve">  SWAT Basin Channel Slope in m/m (cols. 73-80)</t>
  </si>
  <si>
    <t xml:space="preserve">  Weather parameter number for spatial weather generation.</t>
  </si>
  <si>
    <t xml:space="preserve">  Fraction of watershed area (WSA) represented by weather station number selected above (IWPM). For spatial weather generation (Range: 0-1)</t>
  </si>
  <si>
    <t>APEX Editor  v.3.0.δ</t>
  </si>
  <si>
    <t>SITE.DAT</t>
  </si>
  <si>
    <t>SUBA.DAT</t>
  </si>
  <si>
    <t>WPM1.DAT</t>
  </si>
  <si>
    <t>WIND.DAT</t>
  </si>
  <si>
    <t>CROP.DAT</t>
  </si>
  <si>
    <t>TILL.DAT</t>
  </si>
  <si>
    <t>PEST.DAT</t>
  </si>
  <si>
    <t>FERT.DAT</t>
  </si>
  <si>
    <t>SOIL.DAT</t>
  </si>
  <si>
    <t>OPSC.DAT</t>
  </si>
  <si>
    <t>TR55.DAT</t>
  </si>
  <si>
    <t>PARMS.DAT</t>
  </si>
  <si>
    <t>MLRN2110.DAT</t>
  </si>
  <si>
    <t>HERD.DAT</t>
  </si>
  <si>
    <t>FPMV</t>
  </si>
  <si>
    <t>WDLST.DAT</t>
  </si>
  <si>
    <t>FPSOD</t>
  </si>
  <si>
    <t>FRFDT</t>
  </si>
  <si>
    <t>ICP</t>
  </si>
  <si>
    <t>NTV</t>
  </si>
  <si>
    <t xml:space="preserve">   0 For NCNMI_PHOENIX; &gt; 0 For NCNMI_CENTURY</t>
  </si>
  <si>
    <t xml:space="preserve">   0 For original APEX NITVOL EQS; &gt; 0 For Izaurralde revised NITVOL Eqs</t>
  </si>
  <si>
    <t xml:space="preserve">   ISAP = NBSA to print monthly .OUT For 1 Subarea</t>
  </si>
  <si>
    <t>UREA</t>
  </si>
  <si>
    <t>fert1.dat</t>
  </si>
  <si>
    <t>fert1.dat.</t>
  </si>
  <si>
    <t>2, 4-D 4L</t>
  </si>
  <si>
    <t>2, 4, 5-T Acid</t>
  </si>
  <si>
    <t>AATREX 4L</t>
  </si>
  <si>
    <t>ACCLAIM</t>
  </si>
  <si>
    <t>ACTELLIC</t>
  </si>
  <si>
    <t>Alanap-L</t>
  </si>
  <si>
    <t>Aliette WDG</t>
  </si>
  <si>
    <t>AMDRO</t>
  </si>
  <si>
    <t>AMIBEN 10G</t>
  </si>
  <si>
    <t>AMID-THIN</t>
  </si>
  <si>
    <t>AMITROL-T</t>
  </si>
  <si>
    <t>ARSENAL 2EC</t>
  </si>
  <si>
    <t>ASANA XL</t>
  </si>
  <si>
    <t>ASSET 2.5 Gal</t>
  </si>
  <si>
    <t>ASSET Gal</t>
  </si>
  <si>
    <t>ASSURE</t>
  </si>
  <si>
    <t>AVENGE</t>
  </si>
  <si>
    <t>BALAN EC</t>
  </si>
  <si>
    <t>BANOL</t>
  </si>
  <si>
    <t>BANVEL</t>
  </si>
  <si>
    <t>BASAGRAN</t>
  </si>
  <si>
    <t>BAYGON EC</t>
  </si>
  <si>
    <t>BAYLETON 1%</t>
  </si>
  <si>
    <t>BAYTHROID II</t>
  </si>
  <si>
    <t>BENLATE 50WP 2#</t>
  </si>
  <si>
    <t>BETANEX</t>
  </si>
  <si>
    <t>Bidrin 8.00EC</t>
  </si>
  <si>
    <t>BLADEX 4L</t>
  </si>
  <si>
    <t>BOLERO 8 EC</t>
  </si>
  <si>
    <t>BOLSTAR 6</t>
  </si>
  <si>
    <t>MCPA 4.00L</t>
  </si>
  <si>
    <t>BOTRAN</t>
  </si>
  <si>
    <t>BRAVO 720</t>
  </si>
  <si>
    <t>BROOT 15G</t>
  </si>
  <si>
    <t>BUCTRIL</t>
  </si>
  <si>
    <t>BUTYRAC 200</t>
  </si>
  <si>
    <t>CAPAROL 4L</t>
  </si>
  <si>
    <t>CARBAMATE WDG</t>
  </si>
  <si>
    <t>CASORON 50W</t>
  </si>
  <si>
    <t>CARZOL</t>
  </si>
  <si>
    <t>COMITE</t>
  </si>
  <si>
    <t>COMMAND 3 ME</t>
  </si>
  <si>
    <t>Cotoran 4L</t>
  </si>
  <si>
    <t>COUNTER 15G</t>
  </si>
  <si>
    <t>CURACRON 8E</t>
  </si>
  <si>
    <t>CYGON 2E</t>
  </si>
  <si>
    <t>CYTEX</t>
  </si>
  <si>
    <t>CYTHION</t>
  </si>
  <si>
    <t>DACAMINE 4D</t>
  </si>
  <si>
    <t>DACTHAL FLOWABL</t>
  </si>
  <si>
    <t>DACTHAL 75W 1 L</t>
  </si>
  <si>
    <t>DACTHAL 75W 4 L</t>
  </si>
  <si>
    <t>DACTHAL 75W 24</t>
  </si>
  <si>
    <t>DEF 6</t>
  </si>
  <si>
    <t>Dessocant L-10</t>
  </si>
  <si>
    <t>DEVRINOL 2E</t>
  </si>
  <si>
    <t>DIBROM 8E</t>
  </si>
  <si>
    <t>DIMILIN 2F</t>
  </si>
  <si>
    <t>Dinitro Phenol</t>
  </si>
  <si>
    <t>Dinitro Salts</t>
  </si>
  <si>
    <t>DIQUAT</t>
  </si>
  <si>
    <t>DI-SYSTON 8</t>
  </si>
  <si>
    <t>DITHANE F45</t>
  </si>
  <si>
    <t>DROPP 50W</t>
  </si>
  <si>
    <t>DSMA SLURRY</t>
  </si>
  <si>
    <t>DUAL</t>
  </si>
  <si>
    <t>DYFONATE 4E</t>
  </si>
  <si>
    <t>DYLOX 5% BAIT</t>
  </si>
  <si>
    <t>ERADICANE 6.7E</t>
  </si>
  <si>
    <t>EVIK 80W</t>
  </si>
  <si>
    <t>FAR-GO</t>
  </si>
  <si>
    <t>FUNGINEX 1.6EC</t>
  </si>
  <si>
    <t>Furadan 4F</t>
  </si>
  <si>
    <t>Fusilade 1.00L</t>
  </si>
  <si>
    <t>GLEAN</t>
  </si>
  <si>
    <t>GOAL 1.6</t>
  </si>
  <si>
    <t>GUTHION 3F</t>
  </si>
  <si>
    <t>Harmony Extra</t>
  </si>
  <si>
    <t>HARVADE</t>
  </si>
  <si>
    <t>Hoelon 3E</t>
  </si>
  <si>
    <t>HYVAR XL 2.5 ga</t>
  </si>
  <si>
    <t>HYVAR XL 5 gal</t>
  </si>
  <si>
    <t>IMIDAN 70WSB</t>
  </si>
  <si>
    <t>ISOTOX</t>
  </si>
  <si>
    <t>KARATE</t>
  </si>
  <si>
    <t>Karathane LC</t>
  </si>
  <si>
    <t>KELTHANE 50 MF</t>
  </si>
  <si>
    <t>KERB WSP T&amp;O</t>
  </si>
  <si>
    <t>Krenite S</t>
  </si>
  <si>
    <t>LANNATE L</t>
  </si>
  <si>
    <t>LARVIN</t>
  </si>
  <si>
    <t>LASSO EC</t>
  </si>
  <si>
    <t>LONDAX DF</t>
  </si>
  <si>
    <t>LOROX L</t>
  </si>
  <si>
    <t>LORSBAN 30 FL L</t>
  </si>
  <si>
    <t>Manzate 200</t>
  </si>
  <si>
    <t>MAVRIK AF</t>
  </si>
  <si>
    <t>METHYL PARATHIO</t>
  </si>
  <si>
    <t>MITAC EC</t>
  </si>
  <si>
    <t>MOCAP 6EC</t>
  </si>
  <si>
    <t>MONITOR 4</t>
  </si>
  <si>
    <t>MORESTAN</t>
  </si>
  <si>
    <t>NEMACUR 3E T &amp;</t>
  </si>
  <si>
    <t>NEMACUR 3E VEG</t>
  </si>
  <si>
    <t>NEMACUR 3SC Cit</t>
  </si>
  <si>
    <t>NORTRON SC</t>
  </si>
  <si>
    <t>FACET 75DF</t>
  </si>
  <si>
    <t>OFTANOL 5G</t>
  </si>
  <si>
    <t>ORDRAM 8E</t>
  </si>
  <si>
    <t>Orthene 75S</t>
  </si>
  <si>
    <t>OUST</t>
  </si>
  <si>
    <t>PAARLAN EC</t>
  </si>
  <si>
    <t>PENNCAP M</t>
  </si>
  <si>
    <t>PHOSDRIN 4EC</t>
  </si>
  <si>
    <t>PIX</t>
  </si>
  <si>
    <t>POAST</t>
  </si>
  <si>
    <t>POUNCE 3.2</t>
  </si>
  <si>
    <t>PRAMITOL 25E</t>
  </si>
  <si>
    <t>PREFAR 6E</t>
  </si>
  <si>
    <t>PRIME PLUS</t>
  </si>
  <si>
    <t>PRINCEP 4L</t>
  </si>
  <si>
    <t>Prowl 3.3 EC</t>
  </si>
  <si>
    <t>PURSUIT</t>
  </si>
  <si>
    <t>PYDRIN 2.4</t>
  </si>
  <si>
    <t>RAMROD 20G</t>
  </si>
  <si>
    <t>REFLEX</t>
  </si>
  <si>
    <t>RO-NEET 6E</t>
  </si>
  <si>
    <t>RONSTAR G</t>
  </si>
  <si>
    <t>Roundup Ultra</t>
  </si>
  <si>
    <t>Royal Slo Gro</t>
  </si>
  <si>
    <t>RUBIGAN A.S.</t>
  </si>
  <si>
    <t>SCEPTER</t>
  </si>
  <si>
    <t>SENCOR 4F</t>
  </si>
  <si>
    <t>SEVIN 4L</t>
  </si>
  <si>
    <t>2, 4 ,5-TP</t>
  </si>
  <si>
    <t>SINBAR 80WP</t>
  </si>
  <si>
    <t>SONALAN</t>
  </si>
  <si>
    <t>SONAR AS</t>
  </si>
  <si>
    <t>SPECTRACIDE</t>
  </si>
  <si>
    <t>SPIKE 80WSP</t>
  </si>
  <si>
    <t>SPROUT NIP</t>
  </si>
  <si>
    <t>Stam 4E</t>
  </si>
  <si>
    <t>SUTAN PLUS</t>
  </si>
  <si>
    <t>SWAT</t>
  </si>
  <si>
    <t>TACKLE</t>
  </si>
  <si>
    <t>TALSTAR .2GR</t>
  </si>
  <si>
    <t>TANDEM</t>
  </si>
  <si>
    <t>TATTOO C</t>
  </si>
  <si>
    <t>TELONE II 250 G</t>
  </si>
  <si>
    <t>TELONE II 54 Ga</t>
  </si>
  <si>
    <t>TEMIK 15G 30 LB</t>
  </si>
  <si>
    <t>TEMIK 15G 45 LB</t>
  </si>
  <si>
    <t>TEMIK 15G CA</t>
  </si>
  <si>
    <t>TEMIK LOCK 'N L</t>
  </si>
  <si>
    <t>Terraclor 10%</t>
  </si>
  <si>
    <t>Terraneb SP</t>
  </si>
  <si>
    <t>TERRAZOLE 35WP</t>
  </si>
  <si>
    <t>THIODAN 50 WSB</t>
  </si>
  <si>
    <t>THIRAM 65W</t>
  </si>
  <si>
    <t>THISTROL</t>
  </si>
  <si>
    <t>TILLAM 6E</t>
  </si>
  <si>
    <t>TILT</t>
  </si>
  <si>
    <t>TOPSIN M WSB (7</t>
  </si>
  <si>
    <t>TORDON 22K 1 Ga</t>
  </si>
  <si>
    <t>TORDON 22K 30 G</t>
  </si>
  <si>
    <t>Treflan 4.00EC</t>
  </si>
  <si>
    <t>TUPERSAN</t>
  </si>
  <si>
    <t>VELPAR L</t>
  </si>
  <si>
    <t>VENDEX 4L</t>
  </si>
  <si>
    <t>VERNAM 7E</t>
  </si>
  <si>
    <t>VYDATE CLV</t>
  </si>
  <si>
    <t>WEEDAR 64</t>
  </si>
  <si>
    <t>WEEDONE 638</t>
  </si>
  <si>
    <t>PREP</t>
  </si>
  <si>
    <t>Accent</t>
  </si>
  <si>
    <t>Beacon</t>
  </si>
  <si>
    <t>AZTEC 2.1 50 LB</t>
  </si>
  <si>
    <t>ATRAZINE</t>
  </si>
  <si>
    <t>GRAMOXONE EXTRA</t>
  </si>
  <si>
    <t>ORTHENE 90WSP 2</t>
  </si>
  <si>
    <t>Peak</t>
  </si>
  <si>
    <t>PHORATE 20G</t>
  </si>
  <si>
    <t>Staple</t>
  </si>
  <si>
    <t>Provado</t>
  </si>
  <si>
    <t>Ginstar (Thiodi</t>
  </si>
  <si>
    <t>Ginstar (Diuron</t>
  </si>
  <si>
    <t>Exceed (Primisu</t>
  </si>
  <si>
    <t>Bicep II (Atraz</t>
  </si>
  <si>
    <t>Bicep II (Metol</t>
  </si>
  <si>
    <t>Fusion (Fenoxap</t>
  </si>
  <si>
    <t>Fusion (Fluazif</t>
  </si>
  <si>
    <t>Dipel DF</t>
  </si>
  <si>
    <t>Lariat (Alachlo</t>
  </si>
  <si>
    <t>Lariat (Atrazin</t>
  </si>
  <si>
    <t>Lasso (Alachlor</t>
  </si>
  <si>
    <t>Capture 1.15G (</t>
  </si>
  <si>
    <t>Dual Magnum</t>
  </si>
  <si>
    <t>Cadre</t>
  </si>
  <si>
    <t>Strongarm 84WP</t>
  </si>
  <si>
    <t>Ultra Blazer</t>
  </si>
  <si>
    <t>Storm (acifluor</t>
  </si>
  <si>
    <t>Storm (bentazon</t>
  </si>
  <si>
    <t>Abound</t>
  </si>
  <si>
    <t>Montero (flutol</t>
  </si>
  <si>
    <t>Montero (propic</t>
  </si>
  <si>
    <t>Stratego (trifl</t>
  </si>
  <si>
    <t>Stratego (propi</t>
  </si>
  <si>
    <t>SONALAN HFP</t>
  </si>
  <si>
    <t>FRONTIER 6.0 ST</t>
  </si>
  <si>
    <t>Blazer</t>
  </si>
  <si>
    <t>TOUGH 3.75 EC</t>
  </si>
  <si>
    <t>2, 4-DB</t>
  </si>
  <si>
    <t>POAST PLUS</t>
  </si>
  <si>
    <t>SELECT 2 EC</t>
  </si>
  <si>
    <t>Chlo-O-Pic (Chl</t>
  </si>
  <si>
    <t>TELONE C-35, C-</t>
  </si>
  <si>
    <t>SEVIN 80SP</t>
  </si>
  <si>
    <t>DANITOL 1 GAL</t>
  </si>
  <si>
    <t>OMITE 30W 2.5 L</t>
  </si>
  <si>
    <t>Di-Syston 15G</t>
  </si>
  <si>
    <t>LORSBAN 15G</t>
  </si>
  <si>
    <t>MOCAP 10G</t>
  </si>
  <si>
    <t>LINE 43</t>
  </si>
  <si>
    <t>LINE 42</t>
  </si>
  <si>
    <t>XKN5</t>
  </si>
  <si>
    <t>XKN3</t>
  </si>
  <si>
    <t>XKN1</t>
  </si>
  <si>
    <t>CBVT</t>
  </si>
  <si>
    <t xml:space="preserve">   Regulates flow between soluble and exchangeable k pools</t>
  </si>
  <si>
    <t xml:space="preserve">   Regulates flow between exchangeable and fixed k pools </t>
  </si>
  <si>
    <t xml:space="preserve">   Century slow humus transformation rate(d^-1)(0.00041_0.00068) original value = 0.000548</t>
  </si>
  <si>
    <t xml:space="preserve">   Century passive humus transformation rate(d^-1)(0.0000082 - 0.000015) original value = 0.000012  </t>
  </si>
  <si>
    <t xml:space="preserve">   CRLNC =  Lower nc ratio of biomass - point at which CR = 0 and transformations of structural litter and metabolic litter are unimpeded by nc ratio of biomass</t>
  </si>
  <si>
    <t xml:space="preserve">   CRUNC = Upper nc ratio of biomass - point at which CR = 1 and transformations of structural litter and metabolic litter areunimpeded by nc ratio of biomass</t>
  </si>
  <si>
    <t xml:space="preserve">   WKA = Specific base rate for ammonification (d-1)</t>
  </si>
  <si>
    <t xml:space="preserve">   WNCMIN = BMNC at which immobilization is a maximum; BMNC at which ammonification ceases</t>
  </si>
  <si>
    <t xml:space="preserve">   WNCMAX = BMNC at which immobilization ceases; BMNC at which ammonification is a maximum</t>
  </si>
  <si>
    <t xml:space="preserve">   VMU = Maximum rate of uptake of n during immobilization (gn (gc-1) d-1)</t>
  </si>
  <si>
    <t xml:space="preserve">   WKMNH3 = Half saturation constant for ammonia immobilization (mg n l-1)</t>
  </si>
  <si>
    <t xml:space="preserve">   WKMNO2 = Half saturation constant for nitrite immobilization (mg n l-1)</t>
  </si>
  <si>
    <t xml:space="preserve">   WKMNO3 = Half saturation constant for nitrate immobilization (mg n l-1)</t>
  </si>
  <si>
    <t>TRACTOR 2WD  40 HP  GAS</t>
  </si>
  <si>
    <t>TRACTOR 2WD  55 HP  LP</t>
  </si>
  <si>
    <t>TRACTOR 2WD  55 HP  GAS</t>
  </si>
  <si>
    <t>TRACTOR 2WD  85 HP  LP</t>
  </si>
  <si>
    <t>TRACTOR 2WD  85 HP  GAS</t>
  </si>
  <si>
    <t>TRACTOR 2WD 100 HP  LP</t>
  </si>
  <si>
    <t>HORSE OR MULE, DRAFT</t>
  </si>
  <si>
    <t>4W ASST  40 HP DIESEL</t>
  </si>
  <si>
    <t>4W ASST  55 HP DIESEL</t>
  </si>
  <si>
    <t>4W ASST  85 HP DIESEL</t>
  </si>
  <si>
    <t>4W ASST 100 HP DIESEL</t>
  </si>
  <si>
    <t>4W ASST 135 HP DIESEL</t>
  </si>
  <si>
    <t>4W ASST 175 HP DIESEL</t>
  </si>
  <si>
    <t>4W ASST 205 HP DIESEL</t>
  </si>
  <si>
    <t>4W ASST 225 HP DIESEL</t>
  </si>
  <si>
    <t>4W ASST 290 HP DIESEL</t>
  </si>
  <si>
    <t>CRAWLER  40 HP DIESEL</t>
  </si>
  <si>
    <t>CRAWLER  55 HP DIESEL</t>
  </si>
  <si>
    <t>CRAWLER  85 HP DIESEL</t>
  </si>
  <si>
    <t>CRAWLER 100 HP DIESEL</t>
  </si>
  <si>
    <t>CRAWLER 135 HP DIESEL</t>
  </si>
  <si>
    <t>CRAWLER 160 HP DIESEL</t>
  </si>
  <si>
    <t>CRAWLER 175 HP DIESEL</t>
  </si>
  <si>
    <t>CRAWLER 205 HP DIESEL</t>
  </si>
  <si>
    <t>CRAWLER 225 HP DIESEL</t>
  </si>
  <si>
    <t>CRAWLER 290 HP DIESEL</t>
  </si>
  <si>
    <t>DRILL NO-TILL 24 FT</t>
  </si>
  <si>
    <t>POTATO PLANTER</t>
  </si>
  <si>
    <t>TRANSPLANTER 4-ROW 12FT</t>
  </si>
  <si>
    <t>PLANTER REGULAR 12 ROW</t>
  </si>
  <si>
    <t>PLANTER NO-TILL 6 ROW</t>
  </si>
  <si>
    <t>PLANTER RIDGE TILL 6 ROW</t>
  </si>
  <si>
    <t>BROADCAST SEEDER</t>
  </si>
  <si>
    <t>ROW CULTIVATOR GE15FT</t>
  </si>
  <si>
    <t>FIELD CULTIVATOR 36FT</t>
  </si>
  <si>
    <t>HARROW 10 BAR TINE 36 FT</t>
  </si>
  <si>
    <t>SEEDBED ROLLER</t>
  </si>
  <si>
    <t>CHISEL PLOW LE15FT</t>
  </si>
  <si>
    <t>COULTER-CHISEL PLOW</t>
  </si>
  <si>
    <t>DISK PLOW GE23FT</t>
  </si>
  <si>
    <t>MOLDBOARD PLOW REG 4-6B</t>
  </si>
  <si>
    <t>SUBSOIL CHISEL PLOW</t>
  </si>
  <si>
    <t>RICE ROLLER</t>
  </si>
  <si>
    <t>DISK CHISEL (MULCH TILLER</t>
  </si>
  <si>
    <t>TANDEM DISK PLW GE19FT</t>
  </si>
  <si>
    <t>TANDEM DISK REG GE19FT</t>
  </si>
  <si>
    <t>BLADE 10 FT</t>
  </si>
  <si>
    <t>MANURE SPREADER</t>
  </si>
  <si>
    <t>SELF-PROP FERT SPREADER</t>
  </si>
  <si>
    <t>CHEM APPL ATT TO IMPL</t>
  </si>
  <si>
    <t>CHEM APPL LG SELF-PROP</t>
  </si>
  <si>
    <t>CHEM APPL (RENTED) 60 FT</t>
  </si>
  <si>
    <t>COMBINE SELF-PROP 2WD</t>
  </si>
  <si>
    <t>COMBINE SELF-PROP TRACK</t>
  </si>
  <si>
    <t>CORN PICKER</t>
  </si>
  <si>
    <t>COTTON PICKER (MTD)</t>
  </si>
  <si>
    <t>COTTON PICKER SELF-PROP</t>
  </si>
  <si>
    <t>COTTON STRIPPER (MTD)</t>
  </si>
  <si>
    <t>COTTON TRAILER</t>
  </si>
  <si>
    <t>SILAGE HARVESTER</t>
  </si>
  <si>
    <t>BALER, MOTOR MTD</t>
  </si>
  <si>
    <t>BALER, SELF-PROPELLED</t>
  </si>
  <si>
    <t>MOWER COND, PTO</t>
  </si>
  <si>
    <t>MOWER COND, SELF-PROP</t>
  </si>
  <si>
    <t>MOWER, SICKLE</t>
  </si>
  <si>
    <t>WINDROWER-SWTH SELF-PROP</t>
  </si>
  <si>
    <t>SHREDDER, FLAIL GT8FT</t>
  </si>
  <si>
    <t>SHREDDER, ROTARY GT8FT</t>
  </si>
  <si>
    <t>BEET TOPPER 12 HP</t>
  </si>
  <si>
    <t>RICE COMBINE</t>
  </si>
  <si>
    <t>PIPE WAGON</t>
  </si>
  <si>
    <t>UTILITY TRAILER 20 FT</t>
  </si>
  <si>
    <t>TRAILER 40 FT</t>
  </si>
  <si>
    <t>COMBINE SELF-PROP HILLSD</t>
  </si>
  <si>
    <t>COTTON CHOPPER</t>
  </si>
  <si>
    <t>GRAIN/HAY WAGON</t>
  </si>
  <si>
    <t>D7E BULLDOZER WITH BLADE</t>
  </si>
  <si>
    <t>POTATO HARVESTER</t>
  </si>
  <si>
    <t>SP CANE LOADER</t>
  </si>
  <si>
    <t>VEGETABLE HARVESTER</t>
  </si>
  <si>
    <t>MECH PLANTER SUGARCANE</t>
  </si>
  <si>
    <t>THIN</t>
  </si>
  <si>
    <t>STOP DRN</t>
  </si>
  <si>
    <t>CENTER PIVOT SPRINKLER</t>
  </si>
  <si>
    <t>IRRIGATION 100HP MOTOR</t>
  </si>
  <si>
    <t>FURROW IRRIGATION</t>
  </si>
  <si>
    <t>WY GRND WATER WELL</t>
  </si>
  <si>
    <t>WY CONCRETE DITCH</t>
  </si>
  <si>
    <t>WY GATED PIPE</t>
  </si>
  <si>
    <t>C:HAUL 6</t>
  </si>
  <si>
    <t>C:PEST 5</t>
  </si>
  <si>
    <t>C:THIN 3</t>
  </si>
  <si>
    <t>C:HARV 6</t>
  </si>
  <si>
    <t>C:FERT 5</t>
  </si>
  <si>
    <t>C:LABOR6</t>
  </si>
  <si>
    <t>C:DRYIN6</t>
  </si>
  <si>
    <t>C:STACK6</t>
  </si>
  <si>
    <t>C:CULT 6</t>
  </si>
  <si>
    <t>C:SUBS 6</t>
  </si>
  <si>
    <t>C:DISC 6</t>
  </si>
  <si>
    <t>C:BORDR6</t>
  </si>
  <si>
    <t>FERTTRUC</t>
  </si>
  <si>
    <t>C:BKBOR6</t>
  </si>
  <si>
    <t>C:Gin 62</t>
  </si>
  <si>
    <t>C:BAG 63</t>
  </si>
  <si>
    <t>C:SCOUT6</t>
  </si>
  <si>
    <t>C:HARVT6</t>
  </si>
  <si>
    <t xml:space="preserve">   Root mass weighting factor (0.00 - 1.00). When PRMT(97)=0.00 root mass adjusted based on yesterday's value; when PRMT(97)=1.00 root mass based on today's value</t>
  </si>
  <si>
    <t xml:space="preserve">   NO3 reduction</t>
  </si>
  <si>
    <t xml:space="preserve">   NO2 reduction</t>
  </si>
  <si>
    <t xml:space="preserve">   N2O reduction</t>
  </si>
  <si>
    <t xml:space="preserve">   Needs description</t>
  </si>
  <si>
    <t>PRNT.DAT</t>
  </si>
  <si>
    <t>PSO.DAT</t>
  </si>
  <si>
    <t>OUTPUT</t>
  </si>
  <si>
    <t>SUB1.SUB</t>
  </si>
  <si>
    <t>Soil number from soil list (SOIL.DAT)</t>
  </si>
  <si>
    <t>Operation schedule from operation schedule list (OPSC.DAT)</t>
  </si>
  <si>
    <t>Unit D (D) (SCL)</t>
  </si>
  <si>
    <t>1.OPS</t>
  </si>
  <si>
    <t>11Y Barley_Dryland_Conventional Till</t>
  </si>
  <si>
    <t>2.OPS</t>
  </si>
  <si>
    <t>11Y Barley_Dryland_No Till</t>
  </si>
  <si>
    <t>3.OPS</t>
  </si>
  <si>
    <t>11Y Barley_Dryland_Reduced Till</t>
  </si>
  <si>
    <t>4.OPS</t>
  </si>
  <si>
    <t>11Y Corn_Dryland_Conventional Till</t>
  </si>
  <si>
    <t>5.OPS</t>
  </si>
  <si>
    <t>11Y Corn_Dryland_No Till</t>
  </si>
  <si>
    <t>6.OPS</t>
  </si>
  <si>
    <t>11Y Corn_Dryland_Reduced Till</t>
  </si>
  <si>
    <t>7.OPS</t>
  </si>
  <si>
    <t>11Y Corn_Sprinkler Irrigation_Conventional Till</t>
  </si>
  <si>
    <t>8.OPS</t>
  </si>
  <si>
    <t>11Y Corn_Sprinkler Irrigation_No Till</t>
  </si>
  <si>
    <t>9.OPS</t>
  </si>
  <si>
    <t>11Y Corn_Sprinkler Irrigation_Reduced Till</t>
  </si>
  <si>
    <t>10.OPS</t>
  </si>
  <si>
    <t>11Y Corn Silage_Dryland_Conventional Till</t>
  </si>
  <si>
    <t>11.OPS</t>
  </si>
  <si>
    <t>11Y Corn Silage_Dryland_No Till</t>
  </si>
  <si>
    <t>12.OPS</t>
  </si>
  <si>
    <t>11Y Corn Silage_Dryland_Reduced Till</t>
  </si>
  <si>
    <t>13.OPS</t>
  </si>
  <si>
    <t>33Y Corn Silage-Fallow-Winter Wheat_Dryland_Conventional Till</t>
  </si>
  <si>
    <t>14.OPS</t>
  </si>
  <si>
    <t>33Y Corn-Fallow-Winter Wheat_Dryland_Reduced Till</t>
  </si>
  <si>
    <t>15.OPS</t>
  </si>
  <si>
    <t>22Y Corn-Grain Sorghum_Dryland_Conventional Till</t>
  </si>
  <si>
    <t>16.OPS</t>
  </si>
  <si>
    <t>22Y Corn-Grain Sorghum_Dryland_No Till</t>
  </si>
  <si>
    <t>17.OPS</t>
  </si>
  <si>
    <t>22Y Corn-Grain Sorghum_Dryland_Reduced Till</t>
  </si>
  <si>
    <t>18.OPS</t>
  </si>
  <si>
    <t>11Y Grain Sorghum_Dryland_Conventional Till</t>
  </si>
  <si>
    <t>19.OPS</t>
  </si>
  <si>
    <t>11Y Grain Sorghum_Dryland_No Till</t>
  </si>
  <si>
    <t>20.OPS</t>
  </si>
  <si>
    <t>11Y Grain Sorghum_Dryland_Reduced Till</t>
  </si>
  <si>
    <t>21.OPS</t>
  </si>
  <si>
    <t>11Y Grain Sorghum_Sprinkler Irrigation_Conventional Till</t>
  </si>
  <si>
    <t>22.OPS</t>
  </si>
  <si>
    <t>11Y Grain Sorghum_Sprinkler Irrigation_No Till</t>
  </si>
  <si>
    <t>23.OPS</t>
  </si>
  <si>
    <t>11Y Grain Sorghum_Sprinkler Irrigation_Reduced Till</t>
  </si>
  <si>
    <t>24.OPS</t>
  </si>
  <si>
    <t>33Y Grain Sorghum-Fallow-Winter Wheat_Dryland_Conventional Till</t>
  </si>
  <si>
    <t>25.OPS</t>
  </si>
  <si>
    <t>33Y Grain Sorghum-Fallow-Winter Wheat_Dryland_Reduced Till</t>
  </si>
  <si>
    <t>26.OPS</t>
  </si>
  <si>
    <t>22Y Grain Sorghum-Cotton Picker_Dryland_Conventional Till</t>
  </si>
  <si>
    <t>27.OPS</t>
  </si>
  <si>
    <t>22Y Grain Sorghum-Cotton Picker_Dryland_No Till</t>
  </si>
  <si>
    <t>28.OPS</t>
  </si>
  <si>
    <t>22Y Grain Sorghum-Cotton Picker_Dryland_Reduced Till</t>
  </si>
  <si>
    <t>29.OPS</t>
  </si>
  <si>
    <t>22Y Grain Sorghum-Cotton Picker_Sprinkler Irrigation_Conventional Till</t>
  </si>
  <si>
    <t>30.OPS</t>
  </si>
  <si>
    <t>22Y Grain Sorghum-Cotton Picker_Sprinkler Irrigation_No Till</t>
  </si>
  <si>
    <t>31.OPS</t>
  </si>
  <si>
    <t>22Y Grain Sorghum-Cotton Picker_Sprinkler Irrigation_Reduced Till</t>
  </si>
  <si>
    <t>32.OPS</t>
  </si>
  <si>
    <t>22Y Grain Sorghum-Cotton Stripper_Dryland_Conventional Till</t>
  </si>
  <si>
    <t>33.OPS</t>
  </si>
  <si>
    <t>22Y Grain Sorghum-Cotton Stripper_Dryland_No Till</t>
  </si>
  <si>
    <t>34.OPS</t>
  </si>
  <si>
    <t>22Y Grain Sorghum-Cotton Stripper_Dryland_Reduced Till</t>
  </si>
  <si>
    <t>35.OPS</t>
  </si>
  <si>
    <t>22Y Grain Sorghum-Cotton Stripper_Sprinkler Irrigation_Conventional Till</t>
  </si>
  <si>
    <t>36.OPS</t>
  </si>
  <si>
    <t>22Y Grain Sorghum-Cotton Stripper_Sprinkler Irrigation_No Till</t>
  </si>
  <si>
    <t>37.OPS</t>
  </si>
  <si>
    <t>22Y Grain Sorghum-Cotton Stripper_Sprinkler Irrigation_Reduced Till</t>
  </si>
  <si>
    <t>38.OPS</t>
  </si>
  <si>
    <t>11Y Oats_Dryland_Conventional Till</t>
  </si>
  <si>
    <t>39.OPS</t>
  </si>
  <si>
    <t>11Y Oats_Dryland_No Till</t>
  </si>
  <si>
    <t>40.OPS</t>
  </si>
  <si>
    <t>11Y Oats_Dryland_Reduced Till</t>
  </si>
  <si>
    <t>41.OPS</t>
  </si>
  <si>
    <t>11Y Oats_Sprinkler Irrigation_Conventional Till</t>
  </si>
  <si>
    <t>42.OPS</t>
  </si>
  <si>
    <t>11Y Oats_Sprinkler Irrigation_No Till</t>
  </si>
  <si>
    <t>43.OPS</t>
  </si>
  <si>
    <t>11Y Oats_Sprinkler Irrigation_Reduced Till</t>
  </si>
  <si>
    <t>44.OPS</t>
  </si>
  <si>
    <t>11Y Peanuts_Dryland_Conventional Till</t>
  </si>
  <si>
    <t>45.OPS</t>
  </si>
  <si>
    <t>11Y Peanuts_Sprinkler Irrigation_Conventional Till</t>
  </si>
  <si>
    <t>46.OPS</t>
  </si>
  <si>
    <t>11Y Cotton Picker_Dryland_Conventional Till</t>
  </si>
  <si>
    <t>47.OPS</t>
  </si>
  <si>
    <t>11Y Cotton Picker_Dryland_No Till</t>
  </si>
  <si>
    <t>48.OPS</t>
  </si>
  <si>
    <t>11Y Cotton Picker_Dryland_Reduced Till</t>
  </si>
  <si>
    <t>49.OPS</t>
  </si>
  <si>
    <t>11Y Cotton Picker_Furrow Irrigation_Conventional Till</t>
  </si>
  <si>
    <t>50.OPS</t>
  </si>
  <si>
    <t>11Y Cotton Picker_Sprinkler Irrigation_Conventional Till</t>
  </si>
  <si>
    <t>51.OPS</t>
  </si>
  <si>
    <t>11Y Cotton Picker_Sprinkler Irrigation_No Till</t>
  </si>
  <si>
    <t>52.OPS</t>
  </si>
  <si>
    <t>11Y Cotton Picker_Sprinkler Irrigation_Reduced Till</t>
  </si>
  <si>
    <t>53.OPS</t>
  </si>
  <si>
    <t>22Y Cotton Picker-Corn_Dryland_Conventional Till</t>
  </si>
  <si>
    <t>54.OPS</t>
  </si>
  <si>
    <t>22Y Cotton Picker-Corn_Dryland_No Till</t>
  </si>
  <si>
    <t>55.OPS</t>
  </si>
  <si>
    <t>22Y Cotton Picker-Corn_Dryland_Reduced Till</t>
  </si>
  <si>
    <t>56.OPS</t>
  </si>
  <si>
    <t>22Y Cotton Picker-Grain Sorghum_Dryland_Conventional Till</t>
  </si>
  <si>
    <t>57.OPS</t>
  </si>
  <si>
    <t>22Y Cotton Picker-Grain Sorghum_Dryland_No Till</t>
  </si>
  <si>
    <t>58.OPS</t>
  </si>
  <si>
    <t>22Y Cotton Picker-Grain Sorghum_Dryland_Reduced Till</t>
  </si>
  <si>
    <t>59.OPS</t>
  </si>
  <si>
    <t>22Y Cotton Picker-Grain Sorghum_Sprinkler Irrigation_Conventional Till</t>
  </si>
  <si>
    <t>60.OPS</t>
  </si>
  <si>
    <t>22Y Cotton Picker-Grain Sorghum_Sprinkler Irrigation_No Till</t>
  </si>
  <si>
    <t>61.OPS</t>
  </si>
  <si>
    <t>22Y Cotton Picker-Grain Sorghum_Sprinkler Irrigation_Reduced Till</t>
  </si>
  <si>
    <t>62.OPS</t>
  </si>
  <si>
    <t>11Y Potatoes_Dryland_Conventional Till</t>
  </si>
  <si>
    <t>63.OPS</t>
  </si>
  <si>
    <t>11Y Rice_Flood Irrigation_Conventional Till</t>
  </si>
  <si>
    <t>64.OPS</t>
  </si>
  <si>
    <t>11Y Soybeans_Dryland_Conventional Till</t>
  </si>
  <si>
    <t>65.OPS</t>
  </si>
  <si>
    <t>11Y Soybeans_Dryland_No Till</t>
  </si>
  <si>
    <t>66.OPS</t>
  </si>
  <si>
    <t>11Y Soybeans_Dryland_Reduced Till</t>
  </si>
  <si>
    <t>67.OPS</t>
  </si>
  <si>
    <t>11Y Soybeans_Sprinkler Irrigation_Conventional Till</t>
  </si>
  <si>
    <t>68.OPS</t>
  </si>
  <si>
    <t>11Y Soybeans_Sprinkler Irrigation_No Till</t>
  </si>
  <si>
    <t>69.OPS</t>
  </si>
  <si>
    <t>11Y Soybeans_Sprinkler Irrigation_Reduced Till</t>
  </si>
  <si>
    <t>70.OPS</t>
  </si>
  <si>
    <t>11Y Cotton Stripper_Dryland_Conventional Till</t>
  </si>
  <si>
    <t>71.OPS</t>
  </si>
  <si>
    <t>11Y Cotton Stripper_Dryland_No Till</t>
  </si>
  <si>
    <t>72.OPS</t>
  </si>
  <si>
    <t>11Y Cotton Stripper_Dryland_Reduced Till</t>
  </si>
  <si>
    <t>73.OPS</t>
  </si>
  <si>
    <t>11Y Cotton Stripper_Furrow Irrigation_Conventional Till</t>
  </si>
  <si>
    <t>74.OPS</t>
  </si>
  <si>
    <t>11Y Cotton Stripper_Sprinkler Irrigation_Conventional Till</t>
  </si>
  <si>
    <t>75.OPS</t>
  </si>
  <si>
    <t>11Y Cotton Stripper_Sprinkler Irrigation_No Till</t>
  </si>
  <si>
    <t>76.OPS</t>
  </si>
  <si>
    <t>11Y Cotton Stripper_Sprinkler Irrigation_Reduced Till</t>
  </si>
  <si>
    <t>77.OPS</t>
  </si>
  <si>
    <t>22Y Cotton Stripper-Corn_Dryland_Conventional Till</t>
  </si>
  <si>
    <t>78.OPS</t>
  </si>
  <si>
    <t>22Y Cotton Stripper-Corn_Dryland_No Till</t>
  </si>
  <si>
    <t>79.OPS</t>
  </si>
  <si>
    <t>22Y Cotton Stripper-Corn_Dryland_Reduced Till</t>
  </si>
  <si>
    <t>80.OPS</t>
  </si>
  <si>
    <t>22Y Cotton Stripper-Grain Sorghum_Dryland_Conventional Till</t>
  </si>
  <si>
    <t>81.OPS</t>
  </si>
  <si>
    <t>22Y Cotton Stripper-Grain Sorghum_Dryland_No Till</t>
  </si>
  <si>
    <t>82.OPS</t>
  </si>
  <si>
    <t>22Y Cotton Stripper-Grain Sorghum_Dryland_Reduced Till</t>
  </si>
  <si>
    <t>83.OPS</t>
  </si>
  <si>
    <t>22Y Cotton Stripper-Grain Sorghum_Sprinkler Irrigation_Conventional Till</t>
  </si>
  <si>
    <t>84.OPS</t>
  </si>
  <si>
    <t>22Y Cotton Stripper-Grain Sorghum_Sprinkler Irrigation_No Till</t>
  </si>
  <si>
    <t>85.OPS</t>
  </si>
  <si>
    <t>22Y Cotton Stripper-Grain Sorghum_Sprinkler Irrigation_Reduced Till</t>
  </si>
  <si>
    <t>86.OPS</t>
  </si>
  <si>
    <t>11Y Sunflowers_Dryland_Conventional Till</t>
  </si>
  <si>
    <t>87.OPS</t>
  </si>
  <si>
    <t>11Y Winter Wheat_Dryland_Conventional Till</t>
  </si>
  <si>
    <t>88.OPS</t>
  </si>
  <si>
    <t>11Y Winter Wheat_Dryland_No Till</t>
  </si>
  <si>
    <t>89.OPS</t>
  </si>
  <si>
    <t>11Y Winter Wheat_Dryland_Reduced Till</t>
  </si>
  <si>
    <t>90.OPS</t>
  </si>
  <si>
    <t>11Y Winter Wheat_Flood Irrigation_Conventional Till</t>
  </si>
  <si>
    <t>91.OPS</t>
  </si>
  <si>
    <t>11Y Winter Wheat_Flood Irrigation_No Till</t>
  </si>
  <si>
    <t>92.OPS</t>
  </si>
  <si>
    <t>11Y Winter Wheat_Flood Irrigation_Reduced Till</t>
  </si>
  <si>
    <t>93.OPS</t>
  </si>
  <si>
    <t>11Y Winter Wheat_Furrow Irrigation_No Till</t>
  </si>
  <si>
    <t>94.OPS</t>
  </si>
  <si>
    <t>11Y Winter Wheat_Furrow Irrigation_Reduced Till</t>
  </si>
  <si>
    <t>95.OPS</t>
  </si>
  <si>
    <t>11Y Winter Wheat_Sprinkler Irrigation_Conventional Till</t>
  </si>
  <si>
    <t>96.OPS</t>
  </si>
  <si>
    <t>11Y Winter Wheat_Sprinkler Irrigation_No Till</t>
  </si>
  <si>
    <t>97.OPS</t>
  </si>
  <si>
    <t>11Y Winter Wheat_Sprinkler Irrigation_Reduced Till</t>
  </si>
  <si>
    <t>98.OPS</t>
  </si>
  <si>
    <t>22Y Winter Wheat-Grain Sorghum_Dryland_Conventional Till</t>
  </si>
  <si>
    <t>99.OPS</t>
  </si>
  <si>
    <t>22Y Winter Wheat-Grain Sorghum_Dryland_No Till</t>
  </si>
  <si>
    <t>100.OPS</t>
  </si>
  <si>
    <t>22Y Winter Wheat-Grain Sorghum_Dryland_Reduced Till</t>
  </si>
  <si>
    <t>101.OPS</t>
  </si>
  <si>
    <t>22Y Winter Wheat-Grain Sorghum_Sprinkler Irrigation_Conventional Till</t>
  </si>
  <si>
    <t>102.OPS</t>
  </si>
  <si>
    <t>22Y Winter Wheat-Grain Sorghum_Sprinkler Irrigation_No Till</t>
  </si>
  <si>
    <t>103.OPS</t>
  </si>
  <si>
    <t>22Y Winter Wheat-Grain Sorghum_Sprinkler Irrigation_Reduced Till</t>
  </si>
  <si>
    <t>104.OPS</t>
  </si>
  <si>
    <t>22Y Winter Wheat-Oats_Dryland_Conventional Till</t>
  </si>
  <si>
    <t>105.OPS</t>
  </si>
  <si>
    <t>22Y Winter Wheat-Oats_Dryland_No Till</t>
  </si>
  <si>
    <t>106.OPS</t>
  </si>
  <si>
    <t>22Y Winter Wheat-Oats_Dryland_Reduced Till</t>
  </si>
  <si>
    <t>107.OPS</t>
  </si>
  <si>
    <t>22Y Winter Wheat-Cotton Picker_Dryland_Conventional Till</t>
  </si>
  <si>
    <t>108.OPS</t>
  </si>
  <si>
    <t>22Y Winter Wheat-Cotton Picker_Dryland_No Till</t>
  </si>
  <si>
    <t>109.OPS</t>
  </si>
  <si>
    <t>22Y Winter Wheat-Cotton Picker_Dryland_Reduced Till</t>
  </si>
  <si>
    <t>110.OPS</t>
  </si>
  <si>
    <t>22Y Winter Wheat-Cotton Picker_Furrow Irrigation_Conventional Till</t>
  </si>
  <si>
    <t>111.OPS</t>
  </si>
  <si>
    <t>22Y Winter Wheat-Cotton Picker_Sprinkler Irrigation_Conventional Till</t>
  </si>
  <si>
    <t>112.OPS</t>
  </si>
  <si>
    <t>22Y Winter Wheat-Cotton Picker_Sprinkler Irrigation_No Till</t>
  </si>
  <si>
    <t>113.OPS</t>
  </si>
  <si>
    <t>22Y Winter Wheat-Cotton Picker_Sprinkler Irrigation_Reduced Till</t>
  </si>
  <si>
    <t>114.OPS</t>
  </si>
  <si>
    <t>33Y Winter Wheat-Cotton Picker-Grain Sorghum_Dryland_Conventional Till</t>
  </si>
  <si>
    <t>115.OPS</t>
  </si>
  <si>
    <t>33Y Winter Wheat-Cotton Picker-Grain Sorghum_Dryland_No Till</t>
  </si>
  <si>
    <t>116.OPS</t>
  </si>
  <si>
    <t>33Y Winter Wheat-Cotton Picker-Grain Sorghum_Dryland_Reduced Till</t>
  </si>
  <si>
    <t>117.OPS</t>
  </si>
  <si>
    <t>33Y Winter Wheat-Cotton Picker-Grain Sorghum_Sprinkler Irrigation_Conventional Till</t>
  </si>
  <si>
    <t>118.OPS</t>
  </si>
  <si>
    <t>33Y Winter Wheat-Cotton Picker-Grain Sorghum_Sprinkler Irrigation_No Till</t>
  </si>
  <si>
    <t>119.OPS</t>
  </si>
  <si>
    <t>33Y Winter Wheat-Cotton Picker-Grain Sorghum_Sprinkler Irrigation_Reduced Till</t>
  </si>
  <si>
    <t>120.OPS</t>
  </si>
  <si>
    <t>22Y Winter Wheat-Cotton Stripper_Dryland_Conventional Till</t>
  </si>
  <si>
    <t>121.OPS</t>
  </si>
  <si>
    <t>22Y Winter Wheat-Cotton Stripper_Dryland_No Till</t>
  </si>
  <si>
    <t>122.OPS</t>
  </si>
  <si>
    <t>22Y Winter Wheat-Cotton Stripper_Dryland_Reduced Till</t>
  </si>
  <si>
    <t>123.OPS</t>
  </si>
  <si>
    <t>22Y Winter Wheat-Cotton Stripper_Furrow Irrigation_Conventional Till</t>
  </si>
  <si>
    <t>124.OPS</t>
  </si>
  <si>
    <t>22Y Winter Wheat-Cotton Stripper_Sprinkler Irrigation_Conventional Till</t>
  </si>
  <si>
    <t>125.OPS</t>
  </si>
  <si>
    <t>22Y Winter Wheat-Cotton Stripper_Sprinkler Irrigation_No Till</t>
  </si>
  <si>
    <t>126.OPS</t>
  </si>
  <si>
    <t>22Y Winter Wheat-Cotton Stripper_Sprinkler Irrigation_Reduced Till</t>
  </si>
  <si>
    <t>127.OPS</t>
  </si>
  <si>
    <t>33Y Winter Wheat-Cotton Stripper-Grain Sorghum_Dryland_Conventional Till</t>
  </si>
  <si>
    <t>128.OPS</t>
  </si>
  <si>
    <t>33Y Winter Wheat-Cotton Stripper-Grain Sorghum_Dryland_No Till</t>
  </si>
  <si>
    <t>129.OPS</t>
  </si>
  <si>
    <t>33Y Winter Wheat-Cotton Stripper-Grain Sorghum_Dryland_Reduced Till</t>
  </si>
  <si>
    <t>130.OPS</t>
  </si>
  <si>
    <t>33Y Winter Wheat-Cotton Stripper-Grain Sorghum_Sprinkler Irrigation_Conventional Till</t>
  </si>
  <si>
    <t>131.OPS</t>
  </si>
  <si>
    <t>33Y Winter Wheat-Cotton Stripper-Grain Sorghum_Sprinkler Irrigation_No Till</t>
  </si>
  <si>
    <t>132.OPS</t>
  </si>
  <si>
    <t>33Y Winter Wheat-Cotton Stripper-Grain Sorghum_Sprinkler Irrigation_Reduced Till</t>
  </si>
  <si>
    <t>133.OPS</t>
  </si>
  <si>
    <t>11Y Winter Wheat Grz Out_Dryland_No Till</t>
  </si>
  <si>
    <t>134.OPS</t>
  </si>
  <si>
    <t>11Y Fallow_Dryland_Conventional Till</t>
  </si>
  <si>
    <t>135.OPS</t>
  </si>
  <si>
    <t>11Y Fallow_Dryland_Reduced Till</t>
  </si>
  <si>
    <t>136.OPS</t>
  </si>
  <si>
    <t>11Y Fallow_Lagoon Irrigation_Reduced Till</t>
  </si>
  <si>
    <t>137.OPS</t>
  </si>
  <si>
    <t>11Y Pine Trees_Dryland_Reduced Till</t>
  </si>
  <si>
    <t>138.OPS</t>
  </si>
  <si>
    <t>11Y Sorghum Hay_Dryland_No Till</t>
  </si>
  <si>
    <t>139.OPS</t>
  </si>
  <si>
    <t>11Y Big Bluestem Gr_Dryland_No Till</t>
  </si>
  <si>
    <t>140.OPS</t>
  </si>
  <si>
    <t>11Y Big Bluestem Gr/Pine Trees_Dryland_No Till</t>
  </si>
  <si>
    <t>141.OPS</t>
  </si>
  <si>
    <t>11Y Range_Dryland_No Till</t>
  </si>
  <si>
    <t>142.OPS</t>
  </si>
  <si>
    <t>11Y Shrub_Dryland_No Till</t>
  </si>
  <si>
    <t>143.OPS</t>
  </si>
  <si>
    <t>11Y Range/Pine Trees_Dryland_No Till</t>
  </si>
  <si>
    <t>144.OPS</t>
  </si>
  <si>
    <t>11Y Range1_Dryland_No Till</t>
  </si>
  <si>
    <t>TRACTOR 2WD  40 HP  LP</t>
  </si>
  <si>
    <t>TRACTOR 2WD  40 HP DIESEL</t>
  </si>
  <si>
    <t>TRACTOR 2WD  55 HP DIESEL</t>
  </si>
  <si>
    <t>TRACTOR 2WD  85 HP DIESEL</t>
  </si>
  <si>
    <t>TRACTOR 2WD 100 HP DIESEL</t>
  </si>
  <si>
    <t>TRACTOR 2WD 135 HP DIESEL</t>
  </si>
  <si>
    <t>TRACTOR 2WD 160 HP DIESEL</t>
  </si>
  <si>
    <t>TRACTOR 2WD 175 HP DIESEL</t>
  </si>
  <si>
    <t>TRACTOR 2WD 205 HP DIESEL</t>
  </si>
  <si>
    <t>TRACTOR 2WD 225 HP DIESEL</t>
  </si>
  <si>
    <t>TRACTOR 2WD 290 HP DIESEL</t>
  </si>
  <si>
    <t>TRACTOR 4WD  40 HP DIESEL</t>
  </si>
  <si>
    <t>TRACTOR 4WD  55 HP DIESEL</t>
  </si>
  <si>
    <t>TRACTOR 4WD  85 HP DIESEL</t>
  </si>
  <si>
    <t>TRACTOR 4WD 100 HP DIESEL</t>
  </si>
  <si>
    <t>TRACTOR 4WD 135 HP DIESEL</t>
  </si>
  <si>
    <t>TRACTOR 4WD 160 HP DIESEL</t>
  </si>
  <si>
    <t>TRACTOR 4WD 175 HP DIESEL</t>
  </si>
  <si>
    <t>TRACTOR 4WD 205 HP DIESEL</t>
  </si>
  <si>
    <t>TRACTOR 4WD 225 HP DIESEL</t>
  </si>
  <si>
    <t>TRACTOR 4WD 290 HP DIESEL</t>
  </si>
  <si>
    <t>DRLLDD36</t>
  </si>
  <si>
    <t>DRILL,DOUBLE DISK 7" 36FT</t>
  </si>
  <si>
    <t>PLTRAN2R</t>
  </si>
  <si>
    <t>TRANSPLANTER 2 ROW</t>
  </si>
  <si>
    <t>PRSEED2R</t>
  </si>
  <si>
    <t>PRECISION SEEDER 2-ROW</t>
  </si>
  <si>
    <t>PLSLED3R</t>
  </si>
  <si>
    <t>PLANTER AND SLED 3 ROW</t>
  </si>
  <si>
    <t>DRAIRDEL</t>
  </si>
  <si>
    <t>DRILL, AIR DELIVER</t>
  </si>
  <si>
    <t>DRILLLST</t>
  </si>
  <si>
    <t>DRILL, LISTER</t>
  </si>
  <si>
    <t>DRNOTMNT</t>
  </si>
  <si>
    <t>DRILL, NO-TILL, MIN-TILL</t>
  </si>
  <si>
    <t>DRILL,PLAIN,DISCGRAIN GT1</t>
  </si>
  <si>
    <t>DRPLDL14</t>
  </si>
  <si>
    <t>DRILL,PLAIN,DISCGRAIN LE1</t>
  </si>
  <si>
    <t>DRPRDHOE</t>
  </si>
  <si>
    <t>DRILL,PRESS,DISC OR HOE</t>
  </si>
  <si>
    <t>PLJR2ROW</t>
  </si>
  <si>
    <t>PLANTER JR 2 ROW</t>
  </si>
  <si>
    <t>PLRG10RW</t>
  </si>
  <si>
    <t>PLANTER REGULAR 10 ROW</t>
  </si>
  <si>
    <t>PLAIRDEL</t>
  </si>
  <si>
    <t>PLANTER AIR-DELIVERY 6ROW</t>
  </si>
  <si>
    <t>PLREG4RW</t>
  </si>
  <si>
    <t>PLANTER REGULAR 4 ROW</t>
  </si>
  <si>
    <t>PLREG6RW</t>
  </si>
  <si>
    <t>PLANTER REGULAR 6 ROW</t>
  </si>
  <si>
    <t>PLREG8RW</t>
  </si>
  <si>
    <t>PLANTER REGULAR 8 ROW</t>
  </si>
  <si>
    <t>BEDSHAPP</t>
  </si>
  <si>
    <t>BED-SHAPER PLANTER</t>
  </si>
  <si>
    <t>PLGARLIC</t>
  </si>
  <si>
    <t>GARLIC PLANTER</t>
  </si>
  <si>
    <t>PLSTANHY</t>
  </si>
  <si>
    <t>STANHAY PLANTER</t>
  </si>
  <si>
    <t>PLPNEUMT</t>
  </si>
  <si>
    <t>PNEUMATIC CORN PLANTER</t>
  </si>
  <si>
    <t>DUCKFTC</t>
  </si>
  <si>
    <t>DUCKFOOT CULTIVATOR</t>
  </si>
  <si>
    <t>FLDCGE15</t>
  </si>
  <si>
    <t>FIELD CULTIVATOR GE15FT</t>
  </si>
  <si>
    <t>FLDCLT15</t>
  </si>
  <si>
    <t>FIELD CULTIVATOR LT15FT</t>
  </si>
  <si>
    <t>FUROWOUT</t>
  </si>
  <si>
    <t>FURROW-OUT CULTIVATOR</t>
  </si>
  <si>
    <t>MARKER</t>
  </si>
  <si>
    <t>MARKER (CULTIVATOR)</t>
  </si>
  <si>
    <t>ROLLGE15</t>
  </si>
  <si>
    <t>ROLLING CULTIVATOR GE15FT</t>
  </si>
  <si>
    <t>ROLLLT15</t>
  </si>
  <si>
    <t>ROLLING CULTIVATOR LT15FT</t>
  </si>
  <si>
    <t>ROWCLT15</t>
  </si>
  <si>
    <t>ROW CULTIVATOR LT15FT</t>
  </si>
  <si>
    <t>DISCOVAT</t>
  </si>
  <si>
    <t>DISCOVATOR</t>
  </si>
  <si>
    <t>LEVELER</t>
  </si>
  <si>
    <t>CMULGE18</t>
  </si>
  <si>
    <t>CULTI-MULCH ROLLER GE18FT</t>
  </si>
  <si>
    <t>CMULLT18</t>
  </si>
  <si>
    <t>CULTI-MULCH ROLLER LT18FT</t>
  </si>
  <si>
    <t>LANDALL</t>
  </si>
  <si>
    <t>LANDALL, DO-ALL</t>
  </si>
  <si>
    <t>LASRPLAN</t>
  </si>
  <si>
    <t>LASER PLANER</t>
  </si>
  <si>
    <t>LEVPLDIS</t>
  </si>
  <si>
    <t>LEVEE-PLOW-DISC</t>
  </si>
  <si>
    <t>FLOAT</t>
  </si>
  <si>
    <t>FLDCDSCR</t>
  </si>
  <si>
    <t>FIELD COND (SCRATCHER)</t>
  </si>
  <si>
    <t>LISTRBED</t>
  </si>
  <si>
    <t>LISTER-BEDDER PLANTER</t>
  </si>
  <si>
    <t>ROLLGROV</t>
  </si>
  <si>
    <t>ROLLER GROOVER</t>
  </si>
  <si>
    <t>ROLPKRAT</t>
  </si>
  <si>
    <t>ROLLER PACKER ATTACHMENT</t>
  </si>
  <si>
    <t>ROLPKRFT</t>
  </si>
  <si>
    <t>ROLLER PACKER FLAT ROLLER</t>
  </si>
  <si>
    <t>CRUSTBST</t>
  </si>
  <si>
    <t>CRUST BUSTER</t>
  </si>
  <si>
    <t>ROLLHRRW</t>
  </si>
  <si>
    <t>ROLLER HARROW 15 FT</t>
  </si>
  <si>
    <t>TRIPLE K</t>
  </si>
  <si>
    <t>CULT1ROW</t>
  </si>
  <si>
    <t>CULTIVATOR 1 ROW</t>
  </si>
  <si>
    <t>FINHGE15</t>
  </si>
  <si>
    <t>FINISHING HARROW GE15FT</t>
  </si>
  <si>
    <t>FINHLT15</t>
  </si>
  <si>
    <t>FINISHING HARROW LT15FT</t>
  </si>
  <si>
    <t>FLEX-TINE HARROW CL GE20F</t>
  </si>
  <si>
    <t>FLEXLT20</t>
  </si>
  <si>
    <t>FLEX-TINE HARROW CL LT20F</t>
  </si>
  <si>
    <t>SPIKETTH</t>
  </si>
  <si>
    <t>POWERED SPIKE TOOTH HARRO</t>
  </si>
  <si>
    <t>SPIKE TOOTH HARROW GT25FT</t>
  </si>
  <si>
    <t>SPIKLE25</t>
  </si>
  <si>
    <t>SPIKE TOOTH HARROW LE25FT</t>
  </si>
  <si>
    <t>SPRINGTOOTH HARROW GE15FT</t>
  </si>
  <si>
    <t>SPTHLT15</t>
  </si>
  <si>
    <t>SPRINGTOOTH HARROW LT15FT</t>
  </si>
  <si>
    <t>SOILFINS</t>
  </si>
  <si>
    <t>SOIL FINISHER</t>
  </si>
  <si>
    <t>CULTFERT</t>
  </si>
  <si>
    <t>CULTI-FERT 1 ROW</t>
  </si>
  <si>
    <t>DISK2ROW</t>
  </si>
  <si>
    <t>DISK 2 ROW</t>
  </si>
  <si>
    <t>COULT1RW</t>
  </si>
  <si>
    <t>COULTER 1 ROW</t>
  </si>
  <si>
    <t>ROTMOWER</t>
  </si>
  <si>
    <t>ROTARY MOWER</t>
  </si>
  <si>
    <t>ROTERRA</t>
  </si>
  <si>
    <t>ROTBEDDR</t>
  </si>
  <si>
    <t>ROTOVATOR-BEDDER</t>
  </si>
  <si>
    <t>ROWBUCK</t>
  </si>
  <si>
    <t>RIPPER10</t>
  </si>
  <si>
    <t>RIPPER 10 FT</t>
  </si>
  <si>
    <t>MIDBST1R</t>
  </si>
  <si>
    <t>MIDDLE BUSTER 1 ROW</t>
  </si>
  <si>
    <t>RODWEEDR</t>
  </si>
  <si>
    <t>ROD WEEDER</t>
  </si>
  <si>
    <t>RUBWHWPL</t>
  </si>
  <si>
    <t>RUBBER-WHEEL WEED PULLER</t>
  </si>
  <si>
    <t>MULTIWDR</t>
  </si>
  <si>
    <t>MULTI-WEEDER</t>
  </si>
  <si>
    <t>MLDBGE10</t>
  </si>
  <si>
    <t>MOLDBOARD PLOW REG GE10B</t>
  </si>
  <si>
    <t>CHPLGT21</t>
  </si>
  <si>
    <t>CHISEL PLOW GT21FT</t>
  </si>
  <si>
    <t>CHPLGT15</t>
  </si>
  <si>
    <t>CHISEL PLOW GT15FT</t>
  </si>
  <si>
    <t>DKPLLT23</t>
  </si>
  <si>
    <t>DISK PLOW LT23FT</t>
  </si>
  <si>
    <t>MLBDRGE7</t>
  </si>
  <si>
    <t>MOLDBOARD PLOW REG GE7B</t>
  </si>
  <si>
    <t>MLBDRLE3</t>
  </si>
  <si>
    <t>MOLDBOARD PLOW REG LE3B</t>
  </si>
  <si>
    <t>MOLDBOARD PLOW 2-WAY 4-6B</t>
  </si>
  <si>
    <t>MLDB2GE7</t>
  </si>
  <si>
    <t>MOLDBOARD PLOW 2-WAY GE7B</t>
  </si>
  <si>
    <t>MLDB2LE3</t>
  </si>
  <si>
    <t>MOLDBOARD PLOW 2-WAY LE3B</t>
  </si>
  <si>
    <t>SMCHGT15</t>
  </si>
  <si>
    <t>STUBBLE-MULCH PLOW GT15FT</t>
  </si>
  <si>
    <t>SMCHLE15</t>
  </si>
  <si>
    <t>STUBBLE-MULCH PLOW LE15FT</t>
  </si>
  <si>
    <t>ROWCOND1</t>
  </si>
  <si>
    <t>ROW CONDITIONER 1 ROW</t>
  </si>
  <si>
    <t>HIPFERT1</t>
  </si>
  <si>
    <t>HIPPER-FERT 1 ROW</t>
  </si>
  <si>
    <t>HIPPER1R</t>
  </si>
  <si>
    <t>HIPPER 1 ROW</t>
  </si>
  <si>
    <t>PARAPLOW</t>
  </si>
  <si>
    <t>SBEDHIPR</t>
  </si>
  <si>
    <t>SUBSOILER-BEDDER HIP-RIP</t>
  </si>
  <si>
    <t>VRIPPER</t>
  </si>
  <si>
    <t>V-RIPPER</t>
  </si>
  <si>
    <t>UNCAP6RW</t>
  </si>
  <si>
    <t>UNCAPPER 6 ROW</t>
  </si>
  <si>
    <t>BEDROL4R</t>
  </si>
  <si>
    <t>BED ROLLER 4 ROW</t>
  </si>
  <si>
    <t>BEDDER D</t>
  </si>
  <si>
    <t>BEDDER (DISK)</t>
  </si>
  <si>
    <t>BEDDHIPR</t>
  </si>
  <si>
    <t>BEDDER DISK-HIPPER</t>
  </si>
  <si>
    <t>BEDDKROW</t>
  </si>
  <si>
    <t>BEDDER DISK-ROW</t>
  </si>
  <si>
    <t>BEDDER S</t>
  </si>
  <si>
    <t>BEDDER SHAPER</t>
  </si>
  <si>
    <t>OFFSET DIS/HEAVDUTY GE19F</t>
  </si>
  <si>
    <t>OFFHLE13</t>
  </si>
  <si>
    <t>OFFSET DIS/HEAVDUTY LE13F</t>
  </si>
  <si>
    <t>OFFH1418</t>
  </si>
  <si>
    <t>OFFSET DIS/HEAVDUTY14-18F</t>
  </si>
  <si>
    <t>OFFLGE19</t>
  </si>
  <si>
    <t>OFFSET DIS/LGHTDUTY GE19F</t>
  </si>
  <si>
    <t>OFFLLE13</t>
  </si>
  <si>
    <t>OFFSET DIS/LGHTDUTY LE13F</t>
  </si>
  <si>
    <t>OFFL1418</t>
  </si>
  <si>
    <t>OFFSET DIS/LGHTDUTY14-18F</t>
  </si>
  <si>
    <t>ONE-WAYT</t>
  </si>
  <si>
    <t>ONE-WAY (DISK TILLER)</t>
  </si>
  <si>
    <t>TANPLE13</t>
  </si>
  <si>
    <t>TANDEM DISK, PLW LE13FT</t>
  </si>
  <si>
    <t>TANP1418</t>
  </si>
  <si>
    <t>TANDEM DISK PLW 14-18FT</t>
  </si>
  <si>
    <t>TANRLE13</t>
  </si>
  <si>
    <t>TANDEM DISK REG LE13FT</t>
  </si>
  <si>
    <t>TANR1418</t>
  </si>
  <si>
    <t>TANDEM DISK REG 14-18FT</t>
  </si>
  <si>
    <t>SINGLDIS</t>
  </si>
  <si>
    <t>SINGLE DISK</t>
  </si>
  <si>
    <t>PWRMULCH</t>
  </si>
  <si>
    <t>POWER MULCHER</t>
  </si>
  <si>
    <t>BEETCULT</t>
  </si>
  <si>
    <t>BEET CULTIVATOR 8 ROW</t>
  </si>
  <si>
    <t>ANHYD FERT APP TRACTOR MT</t>
  </si>
  <si>
    <t>ANHYD FERT APP TRAILER MT</t>
  </si>
  <si>
    <t>DRY FERT SPRDR TRAILER MT</t>
  </si>
  <si>
    <t>DRYFTRAC</t>
  </si>
  <si>
    <t>DRY FERT APPL TRACTOR MTD</t>
  </si>
  <si>
    <t>FERTIMPL</t>
  </si>
  <si>
    <t>FERT APPL ATT TO IMPL</t>
  </si>
  <si>
    <t>LQDFTRAC</t>
  </si>
  <si>
    <t>LQUD FERT APPL TRACTOR MT</t>
  </si>
  <si>
    <t>LQUD FERT APPL TRAILER MT</t>
  </si>
  <si>
    <t>TRKFTRLR</t>
  </si>
  <si>
    <t>TRCK FERTSPRDR TRAILER MT</t>
  </si>
  <si>
    <t>FERTAPPL</t>
  </si>
  <si>
    <t>FERTILIZER APPLICATOR</t>
  </si>
  <si>
    <t>AIRSPRAY</t>
  </si>
  <si>
    <t>AERIAL SPRAY</t>
  </si>
  <si>
    <t>FERT APPL SHANK 36FT RENT</t>
  </si>
  <si>
    <t>CHEMSMSP</t>
  </si>
  <si>
    <t>CHEM APPL SM SELF-PROP</t>
  </si>
  <si>
    <t>CHEMSMTK</t>
  </si>
  <si>
    <t>CHEM APPL SMTRUCK SKID MT</t>
  </si>
  <si>
    <t>CHEM APPL GE30FT TRLR MTD</t>
  </si>
  <si>
    <t>CGE30TRC</t>
  </si>
  <si>
    <t>CHEM APPL GE30FT TRACT MT</t>
  </si>
  <si>
    <t>CLT30TLR</t>
  </si>
  <si>
    <t>CHEM APPL LT30FT TRLR MTD</t>
  </si>
  <si>
    <t>CLT30TRC</t>
  </si>
  <si>
    <t>CHEM APPL LT30FT TRACT MT</t>
  </si>
  <si>
    <t>BOOMSPRY</t>
  </si>
  <si>
    <t>BOOM SPRAYER</t>
  </si>
  <si>
    <t>DEFOLBET</t>
  </si>
  <si>
    <t>BEET DEFOLIATOR</t>
  </si>
  <si>
    <t>AMISHARV</t>
  </si>
  <si>
    <t>AMISH HARVESTER</t>
  </si>
  <si>
    <t>CBPTOMTR</t>
  </si>
  <si>
    <t>COMBINE, PTO MOTOR MTD</t>
  </si>
  <si>
    <t>CBRWHDMT</t>
  </si>
  <si>
    <t>COMBINE ROW HD PTO/MTR MT</t>
  </si>
  <si>
    <t>CRHDSP2W</t>
  </si>
  <si>
    <t>COMBINE ROW HD SP  2WD</t>
  </si>
  <si>
    <t>CRHDSP4W</t>
  </si>
  <si>
    <t>COMBINE ROW HD SP  4WD</t>
  </si>
  <si>
    <t>CRHDSPTK</t>
  </si>
  <si>
    <t>COMBINE ROW HD SP TRACK</t>
  </si>
  <si>
    <t>CRHDSPHL</t>
  </si>
  <si>
    <t>COMBINE ROW HD SP HILLSD</t>
  </si>
  <si>
    <t>CSPHILLS</t>
  </si>
  <si>
    <t>CTTNSPUL</t>
  </si>
  <si>
    <t>COTTON STRIPPER PULL-TYPE</t>
  </si>
  <si>
    <t>COTTON STRIPPER SELF-PROP</t>
  </si>
  <si>
    <t>BALEWPTO</t>
  </si>
  <si>
    <t>BALE WAGON, PTO</t>
  </si>
  <si>
    <t>BALEWSP</t>
  </si>
  <si>
    <t>BALE WAGON, SELF-PROP</t>
  </si>
  <si>
    <t>MOWERFLA</t>
  </si>
  <si>
    <t>MOWER, FLAIL</t>
  </si>
  <si>
    <t>RAKEDUMP</t>
  </si>
  <si>
    <t>RAKE, DUMP</t>
  </si>
  <si>
    <t>SWATHROL</t>
  </si>
  <si>
    <t>SWATH ROLLER</t>
  </si>
  <si>
    <t>SHREDLE8</t>
  </si>
  <si>
    <t>SHREDDER, FLAIL LE8FT</t>
  </si>
  <si>
    <t>SHRDRLE8</t>
  </si>
  <si>
    <t>SHREDDER, ROTARY LE8FT</t>
  </si>
  <si>
    <t>STLKSHRD</t>
  </si>
  <si>
    <t>STALK SHREDDER</t>
  </si>
  <si>
    <t>BUSH HOG</t>
  </si>
  <si>
    <t>TRLR10FT</t>
  </si>
  <si>
    <t>UTILITY TRAILER 10 FT</t>
  </si>
  <si>
    <t>TRUCK SEMI W TRAILER-DIES</t>
  </si>
  <si>
    <t>TRCKDI2T</t>
  </si>
  <si>
    <t>TRUCK SGL AXLE-DIESEL 2TO</t>
  </si>
  <si>
    <t>TRUCK TNDM AXLE-DIES 4TON</t>
  </si>
  <si>
    <t>MTRCYCLE</t>
  </si>
  <si>
    <t>ATV/MOTORCYCLE</t>
  </si>
  <si>
    <t>STRWSAVE</t>
  </si>
  <si>
    <t>CHAFF-STRAW SAVER</t>
  </si>
  <si>
    <t>CORRUGAT</t>
  </si>
  <si>
    <t>CORRUGATOR</t>
  </si>
  <si>
    <t>CTTNGLEN</t>
  </si>
  <si>
    <t>COTTON GLEANER</t>
  </si>
  <si>
    <t>DTCHCLSR</t>
  </si>
  <si>
    <t>DITCH CLOSER</t>
  </si>
  <si>
    <t>WDKILLER</t>
  </si>
  <si>
    <t>ELECTRIC WEED KILLER</t>
  </si>
  <si>
    <t>GRAVWGN</t>
  </si>
  <si>
    <t>GRAVITY WAGON</t>
  </si>
  <si>
    <t>HYWAGON</t>
  </si>
  <si>
    <t>HAY WAGON</t>
  </si>
  <si>
    <t>MLCHTRD</t>
  </si>
  <si>
    <t>MULCH TREADER</t>
  </si>
  <si>
    <t>NADA</t>
  </si>
  <si>
    <t>NO ATTACHMENT</t>
  </si>
  <si>
    <t>THRESHER</t>
  </si>
  <si>
    <t>OFF-FIELD THRESHER</t>
  </si>
  <si>
    <t>QTRDRAIN</t>
  </si>
  <si>
    <t>QUARTER DRAIN MACHINE</t>
  </si>
  <si>
    <t>RAIL</t>
  </si>
  <si>
    <t>RAIL, PIPE, LOG, PLANK</t>
  </si>
  <si>
    <t>REARBLD</t>
  </si>
  <si>
    <t>REAR MOUNTED BLADE</t>
  </si>
  <si>
    <t>ROCKRAKE</t>
  </si>
  <si>
    <t>ROCK WINDROWER OR RAKE</t>
  </si>
  <si>
    <t>HPUNCH1R</t>
  </si>
  <si>
    <t>HOLE PUNCHER 1 ROW</t>
  </si>
  <si>
    <t>SHRED1RW</t>
  </si>
  <si>
    <t>SHREDDER 1 ROW</t>
  </si>
  <si>
    <t>DITCHER</t>
  </si>
  <si>
    <t>CLTIWD36</t>
  </si>
  <si>
    <t>CULTIWEEDER 36 FT</t>
  </si>
  <si>
    <t>PACKER40</t>
  </si>
  <si>
    <t>PACKER   40 FT</t>
  </si>
  <si>
    <t>RODWEEDER/10 BAR HAR 36FT</t>
  </si>
  <si>
    <t>STAKEDRV</t>
  </si>
  <si>
    <t>STAKE DRIVER &amp; COMPRESSOR</t>
  </si>
  <si>
    <t>STAKDRIV</t>
  </si>
  <si>
    <t>STAKE DRIVER</t>
  </si>
  <si>
    <t>CANEHRV1</t>
  </si>
  <si>
    <t>CANE HARVESTER 1 ROW</t>
  </si>
  <si>
    <t>DITCHSUG</t>
  </si>
  <si>
    <t>DITCHER, SUGARCANE</t>
  </si>
  <si>
    <t>DTCHSDSG</t>
  </si>
  <si>
    <t>DITCHER SIDE, SUGARCANE</t>
  </si>
  <si>
    <t>CANEWG5</t>
  </si>
  <si>
    <t>CANE WAGON 5TON</t>
  </si>
  <si>
    <t>GARLDIGG</t>
  </si>
  <si>
    <t>GARLIC DIGGER</t>
  </si>
  <si>
    <t>GARLCHOP</t>
  </si>
  <si>
    <t>GARLIC CHOPPER</t>
  </si>
  <si>
    <t>POTAVINS</t>
  </si>
  <si>
    <t>POTATO VINE SPLITTER</t>
  </si>
  <si>
    <t>POTAWIND</t>
  </si>
  <si>
    <t>POTATO WINDROWER</t>
  </si>
  <si>
    <t>POTAROLL</t>
  </si>
  <si>
    <t>POTATO ROLLER</t>
  </si>
  <si>
    <t>CANECHOP</t>
  </si>
  <si>
    <t>CANE CHOPPER</t>
  </si>
  <si>
    <t>CANECHFT</t>
  </si>
  <si>
    <t>CHOPPER+FERT RIG</t>
  </si>
  <si>
    <t>COND6ROW</t>
  </si>
  <si>
    <t>CONDITIONER 6 ROW</t>
  </si>
  <si>
    <t>SHAVERCN</t>
  </si>
  <si>
    <t>SUGARCANE SHAVER</t>
  </si>
  <si>
    <t>DRNCLEAN</t>
  </si>
  <si>
    <t>DRAIN CLEANER</t>
  </si>
  <si>
    <t>FLTRLL18</t>
  </si>
  <si>
    <t>FLAT ROLLER 18 FT</t>
  </si>
  <si>
    <t>FLTROLL6</t>
  </si>
  <si>
    <t>FLAT ROLLER 6 FT</t>
  </si>
  <si>
    <t>CANELOAD</t>
  </si>
  <si>
    <t>MTD CANE LOADER</t>
  </si>
  <si>
    <t>LILLCULT</t>
  </si>
  <si>
    <t>LILLISTON CULTIVATOR</t>
  </si>
  <si>
    <t>RWOPEN18</t>
  </si>
  <si>
    <t>ROW OPENER 18 FT</t>
  </si>
  <si>
    <t>ROWOPEN6</t>
  </si>
  <si>
    <t>ROW OPENER 6 FT</t>
  </si>
  <si>
    <t>COVER PL</t>
  </si>
  <si>
    <t>PLASTIC COVER</t>
  </si>
  <si>
    <t>RMV COV</t>
  </si>
  <si>
    <t>REMOVE PLASTIC COVER</t>
  </si>
  <si>
    <t>STOP PUDDLE RICE PADDY</t>
  </si>
  <si>
    <t>GRAZE START</t>
  </si>
  <si>
    <t>(Added)</t>
  </si>
  <si>
    <t>GRAZE STOP</t>
  </si>
  <si>
    <t>PADDY BUILDER</t>
  </si>
  <si>
    <t>REMOVE DIKE</t>
  </si>
  <si>
    <t>IRR12IN</t>
  </si>
  <si>
    <t>IRR12 AC IN</t>
  </si>
  <si>
    <t>IRR10IN</t>
  </si>
  <si>
    <t>IRR10 AC IN</t>
  </si>
  <si>
    <t>IRR8IN</t>
  </si>
  <si>
    <t>IRR8 AC IN</t>
  </si>
  <si>
    <t>IRR6IN</t>
  </si>
  <si>
    <t>IRR6 AC IN</t>
  </si>
  <si>
    <t>IRR5IN</t>
  </si>
  <si>
    <t>IRR5 AC IN</t>
  </si>
  <si>
    <t>IRR4IN</t>
  </si>
  <si>
    <t>IRR4 AC IN</t>
  </si>
  <si>
    <t>NMFL12AI</t>
  </si>
  <si>
    <t>NMFLOOD IRR 12 AI</t>
  </si>
  <si>
    <t>NMFL8AI</t>
  </si>
  <si>
    <t>NMFLOOD IRR 8AI</t>
  </si>
  <si>
    <t>NMFL6AI</t>
  </si>
  <si>
    <t>NMFLOOD IRR 6AI</t>
  </si>
  <si>
    <t>NMFL4AI</t>
  </si>
  <si>
    <t>NMFLOOD 4AI</t>
  </si>
  <si>
    <t>NMFL2AI</t>
  </si>
  <si>
    <t>NMFLOOD IRR 2 AI</t>
  </si>
  <si>
    <t>NMSP2.5I</t>
  </si>
  <si>
    <t>NMSPRINKLER 2.5 AI</t>
  </si>
  <si>
    <t>NMSP2AI</t>
  </si>
  <si>
    <t>NMSPRINKLER 2 AI</t>
  </si>
  <si>
    <t>NMSP1AI</t>
  </si>
  <si>
    <t>NMSPRINKLER 1 AI</t>
  </si>
  <si>
    <t>UTWH AHI</t>
  </si>
  <si>
    <t>UT WHEELINEAHI</t>
  </si>
  <si>
    <t>UTWH BAI</t>
  </si>
  <si>
    <t>UT WHEELINEBAI</t>
  </si>
  <si>
    <t>UTFL CGI</t>
  </si>
  <si>
    <t>UT FLOOD CGI</t>
  </si>
  <si>
    <t>UTSP CSI</t>
  </si>
  <si>
    <t>UT SIPHON CSI</t>
  </si>
  <si>
    <t>UTWH OAI</t>
  </si>
  <si>
    <t>UT WHEELINE OAI</t>
  </si>
  <si>
    <t>UTSP WWI</t>
  </si>
  <si>
    <t>UT SIPHON WWI</t>
  </si>
  <si>
    <t>TXFLOOD</t>
  </si>
  <si>
    <t>TX FLOOD</t>
  </si>
  <si>
    <t>WY CT PV</t>
  </si>
  <si>
    <t>WY CENTER PIVOT</t>
  </si>
  <si>
    <t>WY CP SG</t>
  </si>
  <si>
    <t>WY SUGARBEETS</t>
  </si>
  <si>
    <t>WY CD SG</t>
  </si>
  <si>
    <t>WY GP SG</t>
  </si>
  <si>
    <t>WY WW SG</t>
  </si>
  <si>
    <t>HAULING</t>
  </si>
  <si>
    <t>AERIAL APP-INSECT</t>
  </si>
  <si>
    <t>C:PEST56</t>
  </si>
  <si>
    <t>PESTICIDE AIR APP</t>
  </si>
  <si>
    <t>COMBINE</t>
  </si>
  <si>
    <t>C:PEST57</t>
  </si>
  <si>
    <t>PESTICIDE APP</t>
  </si>
  <si>
    <t>FERTILIZER APP</t>
  </si>
  <si>
    <t>FERT AIR APP</t>
  </si>
  <si>
    <t>FERT APP</t>
  </si>
  <si>
    <t>AERIAL APP PES</t>
  </si>
  <si>
    <t>C:DEFOL6</t>
  </si>
  <si>
    <t>DEFOLIANT</t>
  </si>
  <si>
    <t>C:THIN 6</t>
  </si>
  <si>
    <t>LABOR</t>
  </si>
  <si>
    <t>LABOR-HOEING</t>
  </si>
  <si>
    <t>DRYING</t>
  </si>
  <si>
    <t>STACKING</t>
  </si>
  <si>
    <t>CULTIVATE</t>
  </si>
  <si>
    <t>C:WEED 6</t>
  </si>
  <si>
    <t>SUBSOIL</t>
  </si>
  <si>
    <t>DISC</t>
  </si>
  <si>
    <t>BUILD BORDER</t>
  </si>
  <si>
    <t>FERTTRUCK</t>
  </si>
  <si>
    <t>C:LIST 6</t>
  </si>
  <si>
    <t>LIST</t>
  </si>
  <si>
    <t>C:PL&amp;SH6</t>
  </si>
  <si>
    <t>PLANT &amp; SHAPE</t>
  </si>
  <si>
    <t>BREAK BORDERS</t>
  </si>
  <si>
    <t>HARVEST</t>
  </si>
  <si>
    <t>C:Dry 63</t>
  </si>
  <si>
    <t>C:Gin 63</t>
  </si>
  <si>
    <t>Bagging &amp; Ties</t>
  </si>
  <si>
    <t>C:CWATE6</t>
  </si>
  <si>
    <t>CANAL WATER</t>
  </si>
  <si>
    <t>C:SURV 6</t>
  </si>
  <si>
    <t>SURVEY &amp; MARK</t>
  </si>
  <si>
    <t>C:WINDR6</t>
  </si>
  <si>
    <t>WINDROW</t>
  </si>
  <si>
    <t>SCOUTING</t>
  </si>
  <si>
    <t>C:SHARV6</t>
  </si>
  <si>
    <t>STRAWBERRY HARVEST</t>
  </si>
  <si>
    <t>C:SMULC6</t>
  </si>
  <si>
    <t>SBERRY WINTER MULCH</t>
  </si>
  <si>
    <t>C:SMURM6</t>
  </si>
  <si>
    <t>SBERRY MULCH REMOVAL</t>
  </si>
  <si>
    <t>TOBACCO HARVEST</t>
  </si>
  <si>
    <t>ROWCGE12</t>
  </si>
  <si>
    <t>ROW CULTIVATOR GE20FT</t>
  </si>
  <si>
    <t>COMBINE ROW HD SP 2WD 12</t>
  </si>
  <si>
    <t>PLANT12R</t>
  </si>
  <si>
    <t>PLANTER, 12 ROW</t>
  </si>
  <si>
    <t>Planter, 20 inch</t>
  </si>
  <si>
    <t>Planter, 13 inch</t>
  </si>
  <si>
    <t>Planter, 27 inch</t>
  </si>
  <si>
    <t>Planter, 40 inch</t>
  </si>
  <si>
    <t>Planter, 32 inch</t>
  </si>
  <si>
    <t>IRRCUST</t>
  </si>
  <si>
    <t>IRRIGATION, CENTER PI</t>
  </si>
  <si>
    <t>C:PEST 6</t>
  </si>
  <si>
    <t>Planter, Fallow</t>
  </si>
  <si>
    <t>C:Dry 66</t>
  </si>
  <si>
    <t>Planter, 38 inch</t>
  </si>
  <si>
    <t>Planter, 30 inch</t>
  </si>
  <si>
    <t>HAVSHAND</t>
  </si>
  <si>
    <t>HARVEST HAND</t>
  </si>
  <si>
    <t>FERTHAND</t>
  </si>
  <si>
    <t>FERTILIZER HAND</t>
  </si>
  <si>
    <t>CHEMHAND</t>
  </si>
  <si>
    <t>CHEMICAL HAND</t>
  </si>
  <si>
    <t>SOWING</t>
  </si>
  <si>
    <t>SOWING HAND</t>
  </si>
  <si>
    <t>HOEING</t>
  </si>
  <si>
    <t>HOEING HAND</t>
  </si>
  <si>
    <t>BDRIP12</t>
  </si>
  <si>
    <t>Irrigation, Drip, Bur</t>
  </si>
  <si>
    <t>BDRIP8</t>
  </si>
  <si>
    <t>SPINHARV</t>
  </si>
  <si>
    <t>Harvester, Spinach</t>
  </si>
  <si>
    <t>ONIONHAR</t>
  </si>
  <si>
    <t>Harvester, Onion</t>
  </si>
  <si>
    <t>PLANT10</t>
  </si>
  <si>
    <t>Planter, 10 inch</t>
  </si>
  <si>
    <t>Harvester, Sugarcane</t>
  </si>
  <si>
    <t>PLTR100</t>
  </si>
  <si>
    <t>PLTRAN4R1</t>
  </si>
  <si>
    <t>CULT100</t>
  </si>
  <si>
    <t>CULTFERT1</t>
  </si>
  <si>
    <t>C:HA100</t>
  </si>
  <si>
    <t>C:HARV 6231</t>
  </si>
  <si>
    <t>DRYF100</t>
  </si>
  <si>
    <t>DRYFTRLR1</t>
  </si>
  <si>
    <t>DRPR100</t>
  </si>
  <si>
    <t>DRPRDHOE1</t>
  </si>
  <si>
    <t>BALE100</t>
  </si>
  <si>
    <t>BALEPTOL1</t>
  </si>
  <si>
    <t>PLTR101</t>
  </si>
  <si>
    <t>PLTRAN4R2</t>
  </si>
  <si>
    <t>TRCK100</t>
  </si>
  <si>
    <t>TRCK1/2T1</t>
  </si>
  <si>
    <t>LQDF100</t>
  </si>
  <si>
    <t>LQDFTRAC1</t>
  </si>
  <si>
    <t>C:HA101</t>
  </si>
  <si>
    <t>C:HARV 6232</t>
  </si>
  <si>
    <t>CRAW100</t>
  </si>
  <si>
    <t>CRAW85DS1</t>
  </si>
  <si>
    <t>BALE101</t>
  </si>
  <si>
    <t>BALEPTOL2</t>
  </si>
  <si>
    <t>DRNO100</t>
  </si>
  <si>
    <t>DRNOTMNT1</t>
  </si>
  <si>
    <t>TR21100</t>
  </si>
  <si>
    <t>TR2175DS1</t>
  </si>
  <si>
    <t>TRCK101</t>
  </si>
  <si>
    <t>TRCK1/2T2</t>
  </si>
  <si>
    <t>LQDF101</t>
  </si>
  <si>
    <t>LQDFTRAC2</t>
  </si>
  <si>
    <t>CLEA100</t>
  </si>
  <si>
    <t>CLEARCUT1</t>
  </si>
  <si>
    <t>DRNO101</t>
  </si>
  <si>
    <t>DRNOTMNT2</t>
  </si>
  <si>
    <t>TR21101</t>
  </si>
  <si>
    <t>TR2175DS2</t>
  </si>
  <si>
    <t>DRPL100</t>
  </si>
  <si>
    <t>DRPLDG141</t>
  </si>
  <si>
    <t>C:HA102</t>
  </si>
  <si>
    <t>C:HARV 6233</t>
  </si>
  <si>
    <t>TRCK102</t>
  </si>
  <si>
    <t>TRCK1/2T3</t>
  </si>
  <si>
    <t>DRPL101</t>
  </si>
  <si>
    <t>DRPLDG142</t>
  </si>
  <si>
    <t>BRDC100</t>
  </si>
  <si>
    <t>BRDCSEED1</t>
  </si>
  <si>
    <t>C:HA103</t>
  </si>
  <si>
    <t>C:HARV 6234</t>
  </si>
  <si>
    <t>CLEA101</t>
  </si>
  <si>
    <t>CLEARCUT2</t>
  </si>
  <si>
    <t>TR21102</t>
  </si>
  <si>
    <t>TR2175DS3</t>
  </si>
  <si>
    <t>TRCK103</t>
  </si>
  <si>
    <t>TRCK1/2T4</t>
  </si>
  <si>
    <t>DRNO102</t>
  </si>
  <si>
    <t>DRNOTMNT3</t>
  </si>
  <si>
    <t>LQDF102</t>
  </si>
  <si>
    <t>LQDFTRAC3</t>
  </si>
  <si>
    <t>CLEA102</t>
  </si>
  <si>
    <t>CLEARCUT3</t>
  </si>
  <si>
    <t>TR21103</t>
  </si>
  <si>
    <t>TR2175DS4</t>
  </si>
  <si>
    <t>DRPL102</t>
  </si>
  <si>
    <t>DRPLDG143</t>
  </si>
  <si>
    <t>DRPR101</t>
  </si>
  <si>
    <t>DRPRDHOE2</t>
  </si>
  <si>
    <t>C:HA104</t>
  </si>
  <si>
    <t>C:HARV 6235</t>
  </si>
  <si>
    <t>CLEA103</t>
  </si>
  <si>
    <t>CLEARCUT4</t>
  </si>
  <si>
    <t>TR21104</t>
  </si>
  <si>
    <t>TR2160DS1</t>
  </si>
  <si>
    <t>TR2175DS5</t>
  </si>
  <si>
    <t>LIMEAP</t>
  </si>
  <si>
    <t>AERAPPF</t>
  </si>
  <si>
    <t>PEST 5</t>
  </si>
  <si>
    <t>CLEARCUT5</t>
  </si>
  <si>
    <t>DISC 6</t>
  </si>
  <si>
    <t>MOWPAS</t>
  </si>
  <si>
    <t>STOPDRN</t>
  </si>
  <si>
    <t>DRN OPEN</t>
  </si>
  <si>
    <t>OPENDRN</t>
  </si>
  <si>
    <t>UNPADDY</t>
  </si>
  <si>
    <t>TX0016.DLY</t>
  </si>
  <si>
    <t>TX0120.DLY</t>
  </si>
  <si>
    <t>TX0268.DLY</t>
  </si>
  <si>
    <t>TX0313.DLY</t>
  </si>
  <si>
    <t>TX0337.DLY</t>
  </si>
  <si>
    <t>TX0404.DLY</t>
  </si>
  <si>
    <t>TX0428.DLY</t>
  </si>
  <si>
    <t>TX0518.DLY</t>
  </si>
  <si>
    <t>TX0639.DLY</t>
  </si>
  <si>
    <t>TX0665.DLY</t>
  </si>
  <si>
    <t>TX0691.DLY</t>
  </si>
  <si>
    <t>TX0832.DLY</t>
  </si>
  <si>
    <t>TX0902.DLY</t>
  </si>
  <si>
    <t>TX0923.DLY</t>
  </si>
  <si>
    <t>TX0984.DLY</t>
  </si>
  <si>
    <t>TX1017.DLY</t>
  </si>
  <si>
    <t>TX1042.DLY</t>
  </si>
  <si>
    <t>TX1048.DLY</t>
  </si>
  <si>
    <t>TX1063.DLY</t>
  </si>
  <si>
    <t>TX1138.DLY</t>
  </si>
  <si>
    <t>TX1246.DLY</t>
  </si>
  <si>
    <t>TX1250.DLY</t>
  </si>
  <si>
    <t>TX1348.DLY</t>
  </si>
  <si>
    <t>TX1429.DLY</t>
  </si>
  <si>
    <t>TX1596.DLY</t>
  </si>
  <si>
    <t>TX1772.DLY</t>
  </si>
  <si>
    <t>TX1800.DLY</t>
  </si>
  <si>
    <t>TX1875.DLY</t>
  </si>
  <si>
    <t>TX1889.DLY</t>
  </si>
  <si>
    <t>TX1911.DLY</t>
  </si>
  <si>
    <t>TX2019.DLY</t>
  </si>
  <si>
    <t>TX2242.DLY</t>
  </si>
  <si>
    <t>TX2244.DLY</t>
  </si>
  <si>
    <t>TX2394.DLY</t>
  </si>
  <si>
    <t>TX2404.DLY</t>
  </si>
  <si>
    <t>TX2585.DLY</t>
  </si>
  <si>
    <t>TX2598.DLY</t>
  </si>
  <si>
    <t>TX2715.DLY</t>
  </si>
  <si>
    <t>TX2820.DLY</t>
  </si>
  <si>
    <t>TX2902.DLY</t>
  </si>
  <si>
    <t>TX3005.DLY</t>
  </si>
  <si>
    <t>TX3047.DLY</t>
  </si>
  <si>
    <t>TX3133.DLY</t>
  </si>
  <si>
    <t>TX3183.DLY</t>
  </si>
  <si>
    <t>TX3321.DLY</t>
  </si>
  <si>
    <t>TX3415.DLY</t>
  </si>
  <si>
    <t>TX3485.DLY</t>
  </si>
  <si>
    <t>TX3506.DLY</t>
  </si>
  <si>
    <t>TX3591.DLY</t>
  </si>
  <si>
    <t>W</t>
  </si>
  <si>
    <t>TX3614.DLY</t>
  </si>
  <si>
    <t>TX3622.DLY</t>
  </si>
  <si>
    <t>TX3668.DLY</t>
  </si>
  <si>
    <t>TX3691.DLY</t>
  </si>
  <si>
    <t>TX3734.DLY</t>
  </si>
  <si>
    <t>TX3873.DLY</t>
  </si>
  <si>
    <t>TX3992.DLY</t>
  </si>
  <si>
    <t>TX4093.DLY</t>
  </si>
  <si>
    <t>TX4137.DLY</t>
  </si>
  <si>
    <t>TX4182.DLY</t>
  </si>
  <si>
    <t>TX4278.DLY</t>
  </si>
  <si>
    <t>TX4517.DLY</t>
  </si>
  <si>
    <t>TX4605.DLY</t>
  </si>
  <si>
    <t>TX4705.DLY</t>
  </si>
  <si>
    <t>TX4903.DLY</t>
  </si>
  <si>
    <t>TX5018.DLY</t>
  </si>
  <si>
    <t>TX5193.DLY</t>
  </si>
  <si>
    <t>TX5429.DLY</t>
  </si>
  <si>
    <t>TX5477.DLY</t>
  </si>
  <si>
    <t>TX5611.DLY</t>
  </si>
  <si>
    <t>TX5650.DLY</t>
  </si>
  <si>
    <t>TX5757.DLY</t>
  </si>
  <si>
    <t>TX5869.DLY</t>
  </si>
  <si>
    <t>TX5958.DLY</t>
  </si>
  <si>
    <t>TX6210.DLY</t>
  </si>
  <si>
    <t>TX6276.DLY</t>
  </si>
  <si>
    <t>TX6368.DLY</t>
  </si>
  <si>
    <t>TX6636.DLY</t>
  </si>
  <si>
    <t>TX8415.DLY</t>
  </si>
  <si>
    <t>TX4792.DLY</t>
  </si>
  <si>
    <t>TX8646.DLY</t>
  </si>
  <si>
    <t>TX8910.DLY</t>
  </si>
  <si>
    <t>TX9715.DLY</t>
  </si>
  <si>
    <t>TX8446.DLY</t>
  </si>
  <si>
    <t>TX7327.DLY</t>
  </si>
  <si>
    <t>TX5094.DLY</t>
  </si>
  <si>
    <t>TX5766.DLY</t>
  </si>
  <si>
    <t>TX7300.DLY</t>
  </si>
  <si>
    <t>TX3420.DLY</t>
  </si>
  <si>
    <t>TX7028.DLY</t>
  </si>
  <si>
    <t>TX7633.DLY</t>
  </si>
  <si>
    <t>TX9522.DLY</t>
  </si>
  <si>
    <t>TX8623.DLY</t>
  </si>
  <si>
    <t>TX8274.DLY</t>
  </si>
  <si>
    <t>TX3884.DLY</t>
  </si>
  <si>
    <t>TX7983.DLY</t>
  </si>
  <si>
    <t>TX6794.DLY</t>
  </si>
  <si>
    <t>TX9417.DLY</t>
  </si>
  <si>
    <t>TX9419.DLY</t>
  </si>
  <si>
    <t>TX9532.DLY</t>
  </si>
  <si>
    <t>TX1043.DLY</t>
  </si>
  <si>
    <t>TX9014.DLY</t>
  </si>
  <si>
    <t>TX9016.DLY</t>
  </si>
  <si>
    <t>TX9491.DLY</t>
  </si>
  <si>
    <t>TX3507.DLY</t>
  </si>
  <si>
    <t>TX3686.DLY</t>
  </si>
  <si>
    <t>TX8861.DLY</t>
  </si>
  <si>
    <t>TX8862.DLY</t>
  </si>
  <si>
    <t>TX0996.DLY</t>
  </si>
  <si>
    <t>A48309.DLY</t>
  </si>
  <si>
    <t>A80001.DLY</t>
  </si>
  <si>
    <t>Tacuarembo</t>
  </si>
  <si>
    <t>TX_ABILENE_RGNL_AP</t>
  </si>
  <si>
    <t>TX_ALBANY</t>
  </si>
  <si>
    <t>TX_ANSON_3ESE</t>
  </si>
  <si>
    <t>TX_ARCHER_CITY_1E</t>
  </si>
  <si>
    <t>TX_ARLINGTON</t>
  </si>
  <si>
    <t>TX_ATHENS</t>
  </si>
  <si>
    <t>TX_AUSTIN-CAMP_MABR</t>
  </si>
  <si>
    <t>TX_BARDWELL_DAM</t>
  </si>
  <si>
    <t>TX_BEEVILLE_5_NE</t>
  </si>
  <si>
    <t>TX_BELTON_DAM</t>
  </si>
  <si>
    <t>TX_BENBROOK_DAM</t>
  </si>
  <si>
    <t>TX_BLANCO</t>
  </si>
  <si>
    <t>TX_BOERNE</t>
  </si>
  <si>
    <t>TX_BONHAM_3NNE</t>
  </si>
  <si>
    <t>TX_BOWIE</t>
  </si>
  <si>
    <t>TX_BRADY</t>
  </si>
  <si>
    <t>TX_BRECKENRIDGE</t>
  </si>
  <si>
    <t>TX_BRENHAM</t>
  </si>
  <si>
    <t>TX_BRIDGEPORT</t>
  </si>
  <si>
    <t>TX_BROWNWOOD_2ENE</t>
  </si>
  <si>
    <t>TX_BURLESON</t>
  </si>
  <si>
    <t>TX_BURNET</t>
  </si>
  <si>
    <t>TX_CAMERON</t>
  </si>
  <si>
    <t>TX_CANYON_DAM</t>
  </si>
  <si>
    <t>TX_CENTERVILLE</t>
  </si>
  <si>
    <t>TX_CLARKSVILLE_2NE</t>
  </si>
  <si>
    <t>TX_CLEBURNE</t>
  </si>
  <si>
    <t>TX_COLEMAN</t>
  </si>
  <si>
    <t>TX_CLG_STN_EASTERWD</t>
  </si>
  <si>
    <t>TX_COLUMBUS</t>
  </si>
  <si>
    <t>TX_CORSICANA</t>
  </si>
  <si>
    <t>TX_DAL-FTW_WSCMO_AP</t>
  </si>
  <si>
    <t>TX_DALLAS_FAA_AP</t>
  </si>
  <si>
    <t>TX_DENISON_DAM</t>
  </si>
  <si>
    <t>TX_DENTON_2_SE</t>
  </si>
  <si>
    <t>TX_DRIPPING_SPRINGS</t>
  </si>
  <si>
    <t>TX_DUBLIN_2SE</t>
  </si>
  <si>
    <t>TX_EASTLAND</t>
  </si>
  <si>
    <t>TX_ELGIN</t>
  </si>
  <si>
    <t>TX_EMORY</t>
  </si>
  <si>
    <t>TX_EVANT_1SSW</t>
  </si>
  <si>
    <t>TX_FAIRFIELD_3W</t>
  </si>
  <si>
    <t>TX_FERRIS</t>
  </si>
  <si>
    <t>TX_FLATONIA_4SE</t>
  </si>
  <si>
    <t>TX_FRANKLIN</t>
  </si>
  <si>
    <t>TX_GAINESVILLE</t>
  </si>
  <si>
    <t>TX_GATESVILLE</t>
  </si>
  <si>
    <t>TX_GEORGETOWN</t>
  </si>
  <si>
    <t>TX_GLEN_ROSE_2_W</t>
  </si>
  <si>
    <t>TX_GOLDTHWAITE_1_WS</t>
  </si>
  <si>
    <t>TX_GONZALES_1N</t>
  </si>
  <si>
    <t>TX_GRAHAM</t>
  </si>
  <si>
    <t>TX_GRAPEVINE_DAM</t>
  </si>
  <si>
    <t>TX_GREENVILLE_KGVL</t>
  </si>
  <si>
    <t>TX_HALLETTSVILLE_2</t>
  </si>
  <si>
    <t>TX_HASKELL</t>
  </si>
  <si>
    <t>TX_HENRIETTA</t>
  </si>
  <si>
    <t>TX_HICO</t>
  </si>
  <si>
    <t>TX_HILLSBORO</t>
  </si>
  <si>
    <t>TX_HORDS_CREEK_DAM</t>
  </si>
  <si>
    <t>TX_JACKSBORO</t>
  </si>
  <si>
    <t>TX_JOHNSON_CITY</t>
  </si>
  <si>
    <t>TX_KAUFMAN_3_SE</t>
  </si>
  <si>
    <t>TX_LA_GRANGE</t>
  </si>
  <si>
    <t>TX_LAMPASAS</t>
  </si>
  <si>
    <t>TX_LEXINGTON</t>
  </si>
  <si>
    <t>TX_LULING</t>
  </si>
  <si>
    <t>TX_MADISONVILLE</t>
  </si>
  <si>
    <t>TX_MARLIN_3_NE</t>
  </si>
  <si>
    <t>TX_MASON</t>
  </si>
  <si>
    <t>TX_MCGREGOR</t>
  </si>
  <si>
    <t>TX_MEXIA</t>
  </si>
  <si>
    <t>TX_MINERAL_WELLS_AP</t>
  </si>
  <si>
    <t>TX_NAVARRO_MILLS_DA</t>
  </si>
  <si>
    <t>TX_NEW_BRAUNFELS</t>
  </si>
  <si>
    <t>TX_NIXON</t>
  </si>
  <si>
    <t>TX_OLNEY</t>
  </si>
  <si>
    <t>TX_SMITHVILLE</t>
  </si>
  <si>
    <t>TX_KILLEEN_3_S</t>
  </si>
  <si>
    <t>TX_STILLHOUSE_HOLLO</t>
  </si>
  <si>
    <t>TX_TEMPLE</t>
  </si>
  <si>
    <t>TX_WHITNEY_DAM</t>
  </si>
  <si>
    <t>TX_SOMERVILLE_DAM</t>
  </si>
  <si>
    <t>TX_PUTNAM</t>
  </si>
  <si>
    <t>TX_LAVON_DAM</t>
  </si>
  <si>
    <t>TX_MCKINNEY</t>
  </si>
  <si>
    <t>TX_PROCTOR_RSVR</t>
  </si>
  <si>
    <t>TX_GAINESVILLE_5_EN</t>
  </si>
  <si>
    <t>TX_PILOT_POINT_ISL</t>
  </si>
  <si>
    <t>TX_RISING_STAR_1S</t>
  </si>
  <si>
    <t>TX_WAXAHACHIE</t>
  </si>
  <si>
    <t>TX_STEPHENVILLE_1_N</t>
  </si>
  <si>
    <t>TX_SHERMAN</t>
  </si>
  <si>
    <t>TX_HAMILTON_2E</t>
  </si>
  <si>
    <t>TX_SAN_MARCOS</t>
  </si>
  <si>
    <t>TX_PARIS</t>
  </si>
  <si>
    <t>TX_WACO_DAM</t>
  </si>
  <si>
    <t>TX_WACO_RGNL_AP</t>
  </si>
  <si>
    <t>TX_WEATHERFORD</t>
  </si>
  <si>
    <t>TX_BRECKENRIDGE_2_W</t>
  </si>
  <si>
    <t>TX_THROCKMORTON</t>
  </si>
  <si>
    <t>TX_THROCKMORTON_7_N</t>
  </si>
  <si>
    <t>TX_WASHINGTON_SP</t>
  </si>
  <si>
    <t>TX_GEORGETOWN_LAKE</t>
  </si>
  <si>
    <t>TX_GRANGER_DAM</t>
  </si>
  <si>
    <t>TX_TAYLOR</t>
  </si>
  <si>
    <t>TX_TAYLOR_1NW</t>
  </si>
  <si>
    <t>TX_BOYD</t>
  </si>
  <si>
    <t>Riesel_ARS_Station</t>
  </si>
  <si>
    <t>TACUAREMBO</t>
  </si>
  <si>
    <t>RIESEL_ARS_STATION</t>
  </si>
  <si>
    <t>1.WP1</t>
  </si>
  <si>
    <t>2.WP1</t>
  </si>
  <si>
    <t>3.WP1</t>
  </si>
  <si>
    <t>4.WP1</t>
  </si>
  <si>
    <t>5.WP1</t>
  </si>
  <si>
    <t>6.WP1</t>
  </si>
  <si>
    <t>7.WP1</t>
  </si>
  <si>
    <t>8.WP1</t>
  </si>
  <si>
    <t>9.WP1</t>
  </si>
  <si>
    <t>10.WP1</t>
  </si>
  <si>
    <t>11.WP1</t>
  </si>
  <si>
    <t>12.WP1</t>
  </si>
  <si>
    <t>13.WP1</t>
  </si>
  <si>
    <t>14.WP1</t>
  </si>
  <si>
    <t>15.WP1</t>
  </si>
  <si>
    <t>16.WP1</t>
  </si>
  <si>
    <t>17.WP1</t>
  </si>
  <si>
    <t>18.WP1</t>
  </si>
  <si>
    <t>19.WP1</t>
  </si>
  <si>
    <t>20.WP1</t>
  </si>
  <si>
    <t>21.WP1</t>
  </si>
  <si>
    <t>22.WP1</t>
  </si>
  <si>
    <t>23.WP1</t>
  </si>
  <si>
    <t>24.WP1</t>
  </si>
  <si>
    <t>25.WP1</t>
  </si>
  <si>
    <t>26.WP1</t>
  </si>
  <si>
    <t>27.WP1</t>
  </si>
  <si>
    <t>28.WP1</t>
  </si>
  <si>
    <t>29.WP1</t>
  </si>
  <si>
    <t>30.WP1</t>
  </si>
  <si>
    <t>31.WP1</t>
  </si>
  <si>
    <t>32.WP1</t>
  </si>
  <si>
    <t>33.WP1</t>
  </si>
  <si>
    <t>34.WP1</t>
  </si>
  <si>
    <t>35.WP1</t>
  </si>
  <si>
    <t>36.WP1</t>
  </si>
  <si>
    <t>37.WP1</t>
  </si>
  <si>
    <t>38.WP1</t>
  </si>
  <si>
    <t>39.WP1</t>
  </si>
  <si>
    <t>40.WP1</t>
  </si>
  <si>
    <t>41.WP1</t>
  </si>
  <si>
    <t>42.WP1</t>
  </si>
  <si>
    <t>43.WP1</t>
  </si>
  <si>
    <t>44.WP1</t>
  </si>
  <si>
    <t>45.WP1</t>
  </si>
  <si>
    <t>46.WP1</t>
  </si>
  <si>
    <t>47.WP1</t>
  </si>
  <si>
    <t>48.WP1</t>
  </si>
  <si>
    <t>49.WP1</t>
  </si>
  <si>
    <t>50.WP1</t>
  </si>
  <si>
    <t>51.WP1</t>
  </si>
  <si>
    <t>52.WP1</t>
  </si>
  <si>
    <t>53.WP1</t>
  </si>
  <si>
    <t>54.WP1</t>
  </si>
  <si>
    <t>55.WP1</t>
  </si>
  <si>
    <t>56.WP1</t>
  </si>
  <si>
    <t>57.WP1</t>
  </si>
  <si>
    <t>58.WP1</t>
  </si>
  <si>
    <t>59.WP1</t>
  </si>
  <si>
    <t>60.WP1</t>
  </si>
  <si>
    <t>61.WP1</t>
  </si>
  <si>
    <t>62.WP1</t>
  </si>
  <si>
    <t>63.WP1</t>
  </si>
  <si>
    <t>64.WP1</t>
  </si>
  <si>
    <t>65.WP1</t>
  </si>
  <si>
    <t>66.WP1</t>
  </si>
  <si>
    <t>67.WP1</t>
  </si>
  <si>
    <t>68.WP1</t>
  </si>
  <si>
    <t>69.WP1</t>
  </si>
  <si>
    <t>70.WP1</t>
  </si>
  <si>
    <t>71.WP1</t>
  </si>
  <si>
    <t>72.WP1</t>
  </si>
  <si>
    <t>73.WP1</t>
  </si>
  <si>
    <t>74.WP1</t>
  </si>
  <si>
    <t>75.WP1</t>
  </si>
  <si>
    <t>76.WP1</t>
  </si>
  <si>
    <t>77.WP1</t>
  </si>
  <si>
    <t>78.WP1</t>
  </si>
  <si>
    <t>79.WP1</t>
  </si>
  <si>
    <t>80.WP1</t>
  </si>
  <si>
    <t>81.WP1</t>
  </si>
  <si>
    <t>82.WP1</t>
  </si>
  <si>
    <t>83.WP1</t>
  </si>
  <si>
    <t>84.WP1</t>
  </si>
  <si>
    <t>85.WP1</t>
  </si>
  <si>
    <t>86.WP1</t>
  </si>
  <si>
    <t>87.WP1</t>
  </si>
  <si>
    <t>88.WP1</t>
  </si>
  <si>
    <t>89.WP1</t>
  </si>
  <si>
    <t>90.WP1</t>
  </si>
  <si>
    <t>91.WP1</t>
  </si>
  <si>
    <t>92.WP1</t>
  </si>
  <si>
    <t>93.WP1</t>
  </si>
  <si>
    <t>94.WP1</t>
  </si>
  <si>
    <t>95.WP1</t>
  </si>
  <si>
    <t>96.WP1</t>
  </si>
  <si>
    <t>97.WP1</t>
  </si>
  <si>
    <t>98.WP1</t>
  </si>
  <si>
    <t>99.WP1</t>
  </si>
  <si>
    <t>100.WP1</t>
  </si>
  <si>
    <t>101.WP1</t>
  </si>
  <si>
    <t>102.WP1</t>
  </si>
  <si>
    <t>103.WP1</t>
  </si>
  <si>
    <t>104.WP1</t>
  </si>
  <si>
    <t>105.WP1</t>
  </si>
  <si>
    <t>106.WP1</t>
  </si>
  <si>
    <t>107.WP1</t>
  </si>
  <si>
    <t>108.WP1</t>
  </si>
  <si>
    <t>109.WP1</t>
  </si>
  <si>
    <t>110.WP1</t>
  </si>
  <si>
    <t>1.WND</t>
  </si>
  <si>
    <t>2.WND</t>
  </si>
  <si>
    <t>3.WND</t>
  </si>
  <si>
    <t>4.WND</t>
  </si>
  <si>
    <t>5.WND</t>
  </si>
  <si>
    <t>6.WND</t>
  </si>
  <si>
    <t>7.WND</t>
  </si>
  <si>
    <t>8.WND</t>
  </si>
  <si>
    <t>9.WND</t>
  </si>
  <si>
    <t>10.WND</t>
  </si>
  <si>
    <t>11.WND</t>
  </si>
  <si>
    <t>12.WND</t>
  </si>
  <si>
    <t>13.WND</t>
  </si>
  <si>
    <t>14.WND</t>
  </si>
  <si>
    <t>15.WND</t>
  </si>
  <si>
    <t>16.WND</t>
  </si>
  <si>
    <t>17.WND</t>
  </si>
  <si>
    <t>18.WND</t>
  </si>
  <si>
    <t>19.WND</t>
  </si>
  <si>
    <t>20.WND</t>
  </si>
  <si>
    <t>21.WND</t>
  </si>
  <si>
    <t>22.WND</t>
  </si>
  <si>
    <t>23.WND</t>
  </si>
  <si>
    <t>24.WND</t>
  </si>
  <si>
    <t>25.WND</t>
  </si>
  <si>
    <t>26.WND</t>
  </si>
  <si>
    <t>27.WND</t>
  </si>
  <si>
    <t>28.WND</t>
  </si>
  <si>
    <t>Uruguay</t>
  </si>
  <si>
    <t>OK_IDABEL</t>
  </si>
  <si>
    <t>TX_ABILENE_WB_AP</t>
  </si>
  <si>
    <t>TX_COLLEGE_STATION_C</t>
  </si>
  <si>
    <t>TX_CONROE_6_E</t>
  </si>
  <si>
    <t>TX_GOLDTHWAITE</t>
  </si>
  <si>
    <t>TX_GONZALES</t>
  </si>
  <si>
    <t>TX_KAUFMAN</t>
  </si>
  <si>
    <t>TX_LUFKIN_CAA_AP</t>
  </si>
  <si>
    <t>TX_MC_GREGOR</t>
  </si>
  <si>
    <t>TX_PALESTINE_WB_CITY</t>
  </si>
  <si>
    <t>TX_SAN_ANTONIO_WB_AP</t>
  </si>
  <si>
    <t>TX_SEYMOUR</t>
  </si>
  <si>
    <t>TX_BEEVILLE</t>
  </si>
  <si>
    <t>3489.SOL</t>
  </si>
  <si>
    <t>WINAPEX.SIT</t>
  </si>
  <si>
    <t>Winapex.SIT</t>
  </si>
  <si>
    <t>5 D2_ver2Weathersheld</t>
  </si>
  <si>
    <t>LEN1</t>
  </si>
  <si>
    <t>COTA</t>
  </si>
  <si>
    <t>COTB</t>
  </si>
  <si>
    <t>COTL</t>
  </si>
  <si>
    <t>COTT</t>
  </si>
  <si>
    <t>COTZ</t>
  </si>
  <si>
    <t>COTX</t>
  </si>
  <si>
    <t>WWCR</t>
  </si>
  <si>
    <t>WWLP</t>
  </si>
  <si>
    <t>SOAT</t>
  </si>
  <si>
    <t>CO00</t>
  </si>
  <si>
    <t>CT01</t>
  </si>
  <si>
    <t>WW02</t>
  </si>
  <si>
    <t>LA02</t>
  </si>
  <si>
    <t>RAPE</t>
  </si>
  <si>
    <t>OLIV</t>
  </si>
  <si>
    <t>CITR</t>
  </si>
  <si>
    <t>TEFF</t>
  </si>
  <si>
    <t>NOUG</t>
  </si>
  <si>
    <t>TFHT</t>
  </si>
  <si>
    <t>CRHT</t>
  </si>
  <si>
    <t>RIHT</t>
  </si>
  <si>
    <t>ONHT</t>
  </si>
  <si>
    <t>SQSH</t>
  </si>
  <si>
    <t>FORB</t>
  </si>
  <si>
    <t>SHRB</t>
  </si>
  <si>
    <t>BRMW</t>
  </si>
  <si>
    <t>COCN</t>
  </si>
  <si>
    <t>COCO</t>
  </si>
  <si>
    <t>TURN</t>
  </si>
  <si>
    <t>CAN SUNFLOWERS</t>
  </si>
  <si>
    <t>CAN SPRING WHEAT</t>
  </si>
  <si>
    <t>CAN BARLEY</t>
  </si>
  <si>
    <t>CAN OATS</t>
  </si>
  <si>
    <t>LENTILS</t>
  </si>
  <si>
    <t>WESTERN WHEAT GR</t>
  </si>
  <si>
    <t>NORTHERN WHEAT G</t>
  </si>
  <si>
    <t>SLENDER WHEAT GR</t>
  </si>
  <si>
    <t>CRESTED WHEAT GR</t>
  </si>
  <si>
    <t>SMOOTH BROME GR</t>
  </si>
  <si>
    <t>CAN WINTER PAST</t>
  </si>
  <si>
    <t>SIDEOATSGRAMAGR</t>
  </si>
  <si>
    <t>BIG BLUESTEM GR</t>
  </si>
  <si>
    <t>EASTERNGAMAGRASS</t>
  </si>
  <si>
    <t>LITTLEBLUESTEMGR</t>
  </si>
  <si>
    <t>POA</t>
  </si>
  <si>
    <t>RAPESEED</t>
  </si>
  <si>
    <t>GRAPE</t>
  </si>
  <si>
    <t>OLIVE TREES</t>
  </si>
  <si>
    <t>CITRUS TREES</t>
  </si>
  <si>
    <t>TEFF ETHIOPIA</t>
  </si>
  <si>
    <t>CORN ETHIOPIA</t>
  </si>
  <si>
    <t>RICE ETHIOPIA</t>
  </si>
  <si>
    <t>NOUG ETHIOPIA</t>
  </si>
  <si>
    <t>CHICK PEA ETHIOPIA</t>
  </si>
  <si>
    <t>TEFF ETHIOPIA HIGH TECH</t>
  </si>
  <si>
    <t>CORN ETHIOPIA HIGH TECH</t>
  </si>
  <si>
    <t>RICE ETHIOPIA HIGH TECH</t>
  </si>
  <si>
    <t>ONIONS ETHIOPIA HIGH TECH</t>
  </si>
  <si>
    <t>TOMATOES ETHIOPIA</t>
  </si>
  <si>
    <t>SQUASH ETHIOPIA</t>
  </si>
  <si>
    <t>SHRUB</t>
  </si>
  <si>
    <t>BROOMWEED</t>
  </si>
  <si>
    <t>COCONUT TREE</t>
  </si>
  <si>
    <t>COCO TREE</t>
  </si>
  <si>
    <t>Turnips</t>
  </si>
  <si>
    <t>CCEM</t>
  </si>
  <si>
    <t>IPDU</t>
  </si>
  <si>
    <t>TRE1</t>
  </si>
  <si>
    <t>TRE2</t>
  </si>
  <si>
    <t>LAYR</t>
  </si>
  <si>
    <t>WDRM</t>
  </si>
  <si>
    <t>EXTC</t>
  </si>
  <si>
    <t>GPAL</t>
  </si>
  <si>
    <t>200I</t>
  </si>
  <si>
    <r>
      <t xml:space="preserve">LINE 2             </t>
    </r>
    <r>
      <rPr>
        <i/>
        <sz val="10"/>
        <rFont val="Times New Roman"/>
        <family val="1"/>
      </rPr>
      <t>FORMAT:  TWENTY (20) FIELDS; Four (4) COLUMNS per FIELD (INTEGER)</t>
    </r>
  </si>
  <si>
    <r>
      <t xml:space="preserve">LINE 3             </t>
    </r>
    <r>
      <rPr>
        <i/>
        <sz val="10"/>
        <rFont val="Times New Roman"/>
        <family val="1"/>
      </rPr>
      <t>FORMAT:  10 FIELDS; Eight (8) COLUMNS PER FIELD INCLUDING  UP TO TWO  DECIMAL PLACES (fLOATING)</t>
    </r>
  </si>
  <si>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</si>
  <si>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 xml:space="preserve"> FORMAT:  10 FIELDS; Eight (8) COLUMNS PER FIELD INCLUDING  UP TO TWO   DECIMAL PLACES (fLOATING)</t>
    </r>
  </si>
  <si>
    <r>
      <t xml:space="preserve">LINE 6            </t>
    </r>
    <r>
      <rPr>
        <i/>
        <sz val="10"/>
        <rFont val="Times New Roman"/>
        <family val="1"/>
      </rPr>
      <t xml:space="preserve"> FORMAT:  10 FIELDS; Eight (8) COLUMNS PER FIELD INCLUDING  UP TO TWO DECIMAL PLACES (fLOATING)</t>
    </r>
  </si>
  <si>
    <t>For APEX1501</t>
  </si>
  <si>
    <t>SUBAREA FILE (SUB*.SUB)</t>
  </si>
  <si>
    <t>AS1NT.OPC</t>
  </si>
  <si>
    <t>21 NEWWEND4</t>
  </si>
  <si>
    <t xml:space="preserve">1
</t>
  </si>
  <si>
    <t xml:space="preserve">0
</t>
  </si>
  <si>
    <t xml:space="preserve">0.50
</t>
  </si>
  <si>
    <t xml:space="preserve">0.00
</t>
  </si>
  <si>
    <t xml:space="preserve">5.00
</t>
  </si>
  <si>
    <t xml:space="preserve">0.12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</si>
</sst>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E+00"/>
    <numFmt numFmtId="166" formatCode="0.0"/>
  </numFmts>
  <fonts count="59"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rgb="FFC00000"/>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9"/>
      <color indexed="81"/>
      <name val="Tahoma"/>
      <charset val="1"/>
    </font>
    <font>
      <b/>
      <sz val="16"/>
      <name val="Calibri"/>
      <family val="2"/>
      <scheme val="minor"/>
    </font>
    <font>
      <sz val="9"/>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10">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2" fillId="0" borderId="0"/>
    <xf numFmtId="0" fontId="55" fillId="0" borderId="0"/>
  </cellStyleXfs>
  <cellXfs count="176">
    <xf numFmtId="0" fontId="0" fillId="0" borderId="0" xfId="0"/>
    <xf numFmtId="0" fontId="7" fillId="0" borderId="0" xfId="0" applyFont="1"/>
    <xf numFmtId="0" fontId="9" fillId="0" borderId="0" xfId="0" applyFont="1"/>
    <xf numFmtId="0" fontId="10" fillId="0" borderId="0" xfId="0" applyFont="1"/>
    <xf numFmtId="0" fontId="6" fillId="0" borderId="0" xfId="0" applyFont="1" applyAlignment="1">
      <alignment horizontal="center"/>
    </xf>
    <xf numFmtId="0" fontId="14" fillId="0" borderId="0" xfId="0" applyFont="1"/>
    <xf numFmtId="0" fontId="0" fillId="0" borderId="0" xfId="0" applyAlignment="1">
      <alignment horizontal="center"/>
    </xf>
    <xf numFmtId="0" fontId="15" fillId="0" borderId="0" xfId="0" applyFont="1" applyAlignment="1">
      <alignment horizontal="center"/>
    </xf>
    <xf numFmtId="0" fontId="7" fillId="0" borderId="0" xfId="0" applyFont="1" applyAlignment="1">
      <alignment horizontal="center"/>
    </xf>
    <xf numFmtId="0" fontId="0" fillId="0" borderId="0" xfId="0" applyFont="1"/>
    <xf numFmtId="0" fontId="6" fillId="0" borderId="0" xfId="0" applyFont="1"/>
    <xf numFmtId="0" fontId="15" fillId="0" borderId="0" xfId="0" applyFont="1" applyAlignment="1">
      <alignment horizontal="left"/>
    </xf>
    <xf numFmtId="0" fontId="19" fillId="0" borderId="0" xfId="0" applyFont="1"/>
    <xf numFmtId="0" fontId="13" fillId="0" borderId="0" xfId="0" applyFont="1"/>
    <xf numFmtId="0" fontId="10" fillId="0" borderId="0" xfId="0" applyFont="1" applyAlignment="1">
      <alignment horizontal="center"/>
    </xf>
    <xf numFmtId="0" fontId="20" fillId="0" borderId="0" xfId="0" applyFont="1"/>
    <xf numFmtId="0" fontId="20" fillId="0" borderId="0" xfId="0" applyFont="1" applyAlignment="1">
      <alignment horizontal="center"/>
    </xf>
    <xf numFmtId="0" fontId="21"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10" fillId="0" borderId="0" xfId="0" applyFont="1" applyBorder="1" applyAlignment="1">
      <alignment horizontal="left" vertical="center"/>
    </xf>
    <xf numFmtId="0" fontId="7"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2" fontId="0" fillId="0" borderId="0" xfId="0" applyNumberFormat="1"/>
    <xf numFmtId="0" fontId="0" fillId="0" borderId="0" xfId="0" quotePrefix="1" applyAlignment="1"/>
    <xf numFmtId="0" fontId="14" fillId="0" borderId="0" xfId="0" applyFont="1" applyAlignment="1">
      <alignment vertical="center"/>
    </xf>
    <xf numFmtId="0" fontId="14" fillId="0" borderId="0" xfId="0" applyFont="1" applyAlignment="1">
      <alignment horizontal="right" vertical="center"/>
    </xf>
    <xf numFmtId="49" fontId="0" fillId="0" borderId="0" xfId="0" applyNumberFormat="1"/>
    <xf numFmtId="49" fontId="15" fillId="0" borderId="0" xfId="0" applyNumberFormat="1" applyFont="1" applyAlignment="1">
      <alignment horizontal="center"/>
    </xf>
    <xf numFmtId="49" fontId="7" fillId="0" borderId="0" xfId="0" applyNumberFormat="1" applyFont="1" applyAlignment="1">
      <alignment horizontal="center"/>
    </xf>
    <xf numFmtId="0" fontId="23"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5" fillId="0" borderId="0" xfId="0" applyFont="1" applyAlignment="1">
      <alignment horizontal="right"/>
    </xf>
    <xf numFmtId="2" fontId="21" fillId="0" borderId="0" xfId="0" applyNumberFormat="1" applyFont="1"/>
    <xf numFmtId="0" fontId="6" fillId="0" borderId="0" xfId="0" applyFont="1" applyAlignment="1">
      <alignment horizontal="right" vertical="center"/>
    </xf>
    <xf numFmtId="2" fontId="6" fillId="0" borderId="0" xfId="0" applyNumberFormat="1" applyFont="1" applyAlignment="1">
      <alignment horizontal="right" vertical="center"/>
    </xf>
    <xf numFmtId="2" fontId="24" fillId="0" borderId="0" xfId="0" applyNumberFormat="1" applyFont="1" applyAlignment="1">
      <alignment horizontal="right" vertical="center"/>
    </xf>
    <xf numFmtId="165" fontId="23" fillId="0" borderId="0" xfId="0" applyNumberFormat="1" applyFont="1"/>
    <xf numFmtId="0" fontId="7" fillId="0" borderId="0" xfId="0" applyFont="1" applyAlignment="1">
      <alignment horizontal="right"/>
    </xf>
    <xf numFmtId="0" fontId="26" fillId="0" borderId="0" xfId="0" applyFont="1" applyAlignment="1">
      <alignment horizontal="right"/>
    </xf>
    <xf numFmtId="2" fontId="6" fillId="0" borderId="0" xfId="0" applyNumberFormat="1" applyFont="1"/>
    <xf numFmtId="2" fontId="27" fillId="0" borderId="0" xfId="0" applyNumberFormat="1" applyFont="1"/>
    <xf numFmtId="0" fontId="28" fillId="0" borderId="0" xfId="0" applyFont="1"/>
    <xf numFmtId="0" fontId="21" fillId="0" borderId="0" xfId="0" applyFont="1" applyAlignment="1">
      <alignment horizontal="right"/>
    </xf>
    <xf numFmtId="0" fontId="30" fillId="0" borderId="0" xfId="0" applyFont="1"/>
    <xf numFmtId="0" fontId="0" fillId="4" borderId="2" xfId="0" applyFont="1" applyFill="1" applyBorder="1"/>
    <xf numFmtId="0" fontId="0" fillId="4" borderId="3" xfId="0" applyFont="1" applyFill="1" applyBorder="1" applyAlignment="1">
      <alignment horizontal="center"/>
    </xf>
    <xf numFmtId="0" fontId="0" fillId="0" borderId="0" xfId="0" applyBorder="1"/>
    <xf numFmtId="0" fontId="0" fillId="4" borderId="0" xfId="0" applyFill="1"/>
    <xf numFmtId="0" fontId="31" fillId="4" borderId="6" xfId="0" applyFont="1" applyFill="1" applyBorder="1"/>
    <xf numFmtId="0" fontId="0" fillId="4" borderId="0" xfId="0" applyFont="1" applyFill="1" applyBorder="1" applyAlignment="1">
      <alignment horizontal="center" vertical="center"/>
    </xf>
    <xf numFmtId="0" fontId="0" fillId="4" borderId="0" xfId="0" applyFill="1" applyAlignment="1">
      <alignment vertical="center"/>
    </xf>
    <xf numFmtId="0" fontId="7" fillId="4" borderId="0" xfId="0" applyFont="1" applyFill="1" applyBorder="1" applyAlignment="1"/>
    <xf numFmtId="0" fontId="24" fillId="4" borderId="0" xfId="0" applyFont="1" applyFill="1" applyBorder="1" applyAlignment="1">
      <alignment vertical="center"/>
    </xf>
    <xf numFmtId="0" fontId="24" fillId="4" borderId="0" xfId="0" applyFont="1" applyFill="1" applyBorder="1" applyAlignment="1">
      <alignment horizontal="right" vertical="center"/>
    </xf>
    <xf numFmtId="0" fontId="22" fillId="4" borderId="5" xfId="0" applyFont="1" applyFill="1" applyBorder="1" applyAlignment="1">
      <alignment vertical="top" wrapText="1"/>
    </xf>
    <xf numFmtId="0" fontId="31" fillId="4" borderId="7" xfId="0" applyFont="1" applyFill="1" applyBorder="1"/>
    <xf numFmtId="0" fontId="7" fillId="4" borderId="8" xfId="0" applyFont="1" applyFill="1" applyBorder="1" applyAlignment="1"/>
    <xf numFmtId="0" fontId="7" fillId="4" borderId="8" xfId="0" applyFont="1" applyFill="1" applyBorder="1"/>
    <xf numFmtId="0" fontId="0" fillId="4" borderId="8" xfId="0" applyFill="1" applyBorder="1"/>
    <xf numFmtId="0" fontId="22" fillId="4" borderId="8" xfId="0" applyFont="1" applyFill="1" applyBorder="1" applyAlignment="1">
      <alignment horizontal="left" vertical="top" wrapText="1"/>
    </xf>
    <xf numFmtId="0" fontId="22" fillId="4" borderId="9" xfId="0" applyFont="1" applyFill="1" applyBorder="1" applyAlignment="1">
      <alignment horizontal="left" vertical="top" wrapText="1"/>
    </xf>
    <xf numFmtId="0" fontId="0" fillId="0" borderId="0" xfId="0" applyBorder="1" applyAlignment="1">
      <alignment vertical="center"/>
    </xf>
    <xf numFmtId="0" fontId="7" fillId="0" borderId="0" xfId="0" applyFont="1" applyBorder="1" applyAlignment="1">
      <alignment horizontal="center"/>
    </xf>
    <xf numFmtId="0" fontId="26" fillId="0" borderId="0" xfId="0" applyFont="1" applyBorder="1" applyAlignment="1">
      <alignment horizontal="left"/>
    </xf>
    <xf numFmtId="0" fontId="32" fillId="4" borderId="3" xfId="0" applyFont="1" applyFill="1" applyBorder="1" applyAlignment="1">
      <alignment vertical="center"/>
    </xf>
    <xf numFmtId="0" fontId="32" fillId="4" borderId="4" xfId="0" applyFont="1" applyFill="1" applyBorder="1" applyAlignment="1">
      <alignment vertical="center"/>
    </xf>
    <xf numFmtId="0" fontId="32" fillId="4" borderId="0" xfId="0" applyFont="1" applyFill="1" applyBorder="1" applyAlignment="1">
      <alignment vertical="center"/>
    </xf>
    <xf numFmtId="0" fontId="32" fillId="4" borderId="5" xfId="0" applyFont="1" applyFill="1" applyBorder="1" applyAlignment="1">
      <alignment vertical="center"/>
    </xf>
    <xf numFmtId="0" fontId="25" fillId="0" borderId="0" xfId="0" applyFont="1" applyAlignment="1">
      <alignment horizontal="center"/>
    </xf>
    <xf numFmtId="0" fontId="34" fillId="0" borderId="0" xfId="0" applyFont="1" applyAlignment="1">
      <alignment horizontal="center"/>
    </xf>
    <xf numFmtId="0" fontId="35" fillId="0" borderId="0" xfId="0" applyFont="1" applyAlignment="1">
      <alignment horizontal="center"/>
    </xf>
    <xf numFmtId="0" fontId="25" fillId="0" borderId="0" xfId="0" applyFont="1" applyAlignment="1">
      <alignment horizontal="left"/>
    </xf>
    <xf numFmtId="0" fontId="36" fillId="0" borderId="0" xfId="0" applyFont="1" applyAlignment="1">
      <alignment horizontal="center"/>
    </xf>
    <xf numFmtId="0" fontId="25" fillId="0" borderId="0" xfId="0" applyFont="1" applyAlignment="1">
      <alignment horizontal="center"/>
    </xf>
    <xf numFmtId="0" fontId="5" fillId="0" borderId="1" xfId="0" applyFont="1" applyBorder="1" applyAlignment="1">
      <alignment horizontal="center"/>
    </xf>
    <xf numFmtId="0" fontId="5" fillId="3" borderId="1" xfId="0" applyFont="1" applyFill="1" applyBorder="1" applyAlignment="1">
      <alignment horizontal="center"/>
    </xf>
    <xf numFmtId="0" fontId="38" fillId="0" borderId="0" xfId="0" applyFont="1" applyAlignment="1">
      <alignment horizontal="center"/>
    </xf>
    <xf numFmtId="0" fontId="37" fillId="2" borderId="1" xfId="0" applyFont="1" applyFill="1" applyBorder="1" applyAlignment="1">
      <alignment horizontal="center"/>
    </xf>
    <xf numFmtId="0" fontId="39" fillId="0" borderId="0" xfId="0" applyFont="1"/>
    <xf numFmtId="0" fontId="40" fillId="0" borderId="0" xfId="0" applyFont="1"/>
    <xf numFmtId="0" fontId="40" fillId="0" borderId="0" xfId="0" applyFont="1" applyAlignment="1">
      <alignment horizontal="center"/>
    </xf>
    <xf numFmtId="0" fontId="41" fillId="0" borderId="0" xfId="0" applyFont="1"/>
    <xf numFmtId="0" fontId="4" fillId="3" borderId="1" xfId="0" applyFont="1" applyFill="1" applyBorder="1" applyAlignment="1">
      <alignment horizontal="center"/>
    </xf>
    <xf numFmtId="0" fontId="14" fillId="0" borderId="0" xfId="0" applyFont="1" applyFill="1" applyAlignment="1"/>
    <xf numFmtId="0" fontId="0" fillId="0" borderId="0" xfId="0" applyFill="1"/>
    <xf numFmtId="0" fontId="42" fillId="0" borderId="0" xfId="0" applyFont="1" applyFill="1" applyAlignment="1"/>
    <xf numFmtId="0" fontId="0" fillId="0" borderId="0" xfId="0" applyAlignment="1"/>
    <xf numFmtId="0" fontId="20" fillId="0" borderId="0" xfId="0" applyFont="1" applyAlignment="1"/>
    <xf numFmtId="0" fontId="6" fillId="0" borderId="0" xfId="0" applyFont="1" applyAlignment="1"/>
    <xf numFmtId="0" fontId="15" fillId="0" borderId="0" xfId="0" applyFont="1" applyAlignment="1"/>
    <xf numFmtId="0" fontId="7" fillId="0" borderId="0" xfId="0" applyFont="1" applyAlignment="1">
      <alignment horizontal="left"/>
    </xf>
    <xf numFmtId="0" fontId="7" fillId="0" borderId="0" xfId="0" applyFont="1" applyFill="1" applyAlignment="1">
      <alignment horizontal="center"/>
    </xf>
    <xf numFmtId="0" fontId="25" fillId="0" borderId="0" xfId="0" applyFont="1" applyAlignment="1">
      <alignment horizontal="center"/>
    </xf>
    <xf numFmtId="0" fontId="43" fillId="0" borderId="0" xfId="0" applyFont="1" applyAlignment="1">
      <alignment horizontal="center"/>
    </xf>
    <xf numFmtId="0" fontId="0" fillId="0" borderId="0" xfId="0" quotePrefix="1"/>
    <xf numFmtId="0" fontId="19" fillId="0" borderId="0" xfId="0" quotePrefix="1" applyFont="1"/>
    <xf numFmtId="0" fontId="0" fillId="0" borderId="0" xfId="0" applyAlignment="1">
      <alignment horizontal="left"/>
    </xf>
    <xf numFmtId="0" fontId="45" fillId="0" borderId="0" xfId="0" applyFont="1" applyAlignment="1">
      <alignment horizontal="center"/>
    </xf>
    <xf numFmtId="0" fontId="44" fillId="0" borderId="0" xfId="0" applyFont="1"/>
    <xf numFmtId="0" fontId="44" fillId="0" borderId="0" xfId="0" applyFont="1" applyAlignment="1">
      <alignment horizontal="center"/>
    </xf>
    <xf numFmtId="0" fontId="19" fillId="0" borderId="0" xfId="0" applyFont="1" applyBorder="1" applyAlignment="1">
      <alignment horizontal="right" vertical="center"/>
    </xf>
    <xf numFmtId="0" fontId="19" fillId="0" borderId="0" xfId="0" applyFont="1" applyBorder="1" applyAlignment="1">
      <alignment horizontal="center" vertical="center"/>
    </xf>
    <xf numFmtId="0" fontId="19" fillId="0" borderId="0" xfId="0" applyFont="1" applyAlignment="1">
      <alignment horizontal="center"/>
    </xf>
    <xf numFmtId="0" fontId="0" fillId="0" borderId="0" xfId="0" applyFont="1" applyAlignment="1">
      <alignment vertical="center"/>
    </xf>
    <xf numFmtId="0" fontId="10" fillId="0" borderId="0" xfId="0" applyFont="1" applyAlignment="1">
      <alignment vertical="center"/>
    </xf>
    <xf numFmtId="0" fontId="46" fillId="0" borderId="0" xfId="0" applyFont="1"/>
    <xf numFmtId="1" fontId="46" fillId="0" borderId="0" xfId="0" applyNumberFormat="1" applyFont="1"/>
    <xf numFmtId="2" fontId="46" fillId="0" borderId="0" xfId="0" applyNumberFormat="1" applyFont="1"/>
    <xf numFmtId="0" fontId="0" fillId="0" borderId="0" xfId="0" applyAlignment="1">
      <alignment vertical="center"/>
    </xf>
    <xf numFmtId="0" fontId="6" fillId="0" borderId="0" xfId="0" applyFont="1" applyAlignment="1">
      <alignment vertical="center"/>
    </xf>
    <xf numFmtId="2" fontId="19" fillId="0" borderId="0" xfId="0" applyNumberFormat="1" applyFont="1"/>
    <xf numFmtId="164" fontId="19" fillId="0" borderId="0" xfId="0" applyNumberFormat="1" applyFont="1"/>
    <xf numFmtId="0" fontId="14" fillId="0" borderId="0" xfId="0" applyFont="1" applyFill="1" applyAlignment="1">
      <alignment vertical="center"/>
    </xf>
    <xf numFmtId="0" fontId="0" fillId="0" borderId="0" xfId="0" applyFill="1" applyAlignment="1">
      <alignment vertical="center"/>
    </xf>
    <xf numFmtId="0" fontId="42" fillId="0" borderId="0" xfId="0" applyFont="1" applyFill="1" applyAlignment="1">
      <alignment vertical="center"/>
    </xf>
    <xf numFmtId="49" fontId="0" fillId="0" borderId="0" xfId="0" applyNumberFormat="1" applyAlignment="1">
      <alignment vertical="center"/>
    </xf>
    <xf numFmtId="0" fontId="0" fillId="0" borderId="0" xfId="0" applyAlignment="1">
      <alignment horizontal="left" vertical="center"/>
    </xf>
    <xf numFmtId="0" fontId="48" fillId="0" borderId="0" xfId="0" applyFont="1" applyAlignment="1">
      <alignment vertical="center"/>
    </xf>
    <xf numFmtId="164" fontId="0" fillId="0" borderId="0" xfId="0" applyNumberFormat="1"/>
    <xf numFmtId="0" fontId="6" fillId="0" borderId="0" xfId="0" applyFont="1" applyFill="1"/>
    <xf numFmtId="0" fontId="19" fillId="0" borderId="0" xfId="0" applyFont="1" applyAlignment="1">
      <alignment vertical="center"/>
    </xf>
    <xf numFmtId="0" fontId="19" fillId="0" borderId="0" xfId="0" applyFont="1" applyFill="1" applyAlignment="1">
      <alignment vertical="center"/>
    </xf>
    <xf numFmtId="0" fontId="49" fillId="0" borderId="0" xfId="0" applyFont="1"/>
    <xf numFmtId="0" fontId="50" fillId="0" borderId="0" xfId="0" applyFont="1"/>
    <xf numFmtId="0" fontId="51" fillId="0" borderId="0" xfId="0" applyFont="1" applyAlignment="1">
      <alignment horizontal="right" vertical="center"/>
    </xf>
    <xf numFmtId="0" fontId="51" fillId="0" borderId="0" xfId="0" applyFont="1" applyFill="1" applyAlignment="1">
      <alignment vertical="center"/>
    </xf>
    <xf numFmtId="16" fontId="19" fillId="0" borderId="0" xfId="0" applyNumberFormat="1" applyFont="1"/>
    <xf numFmtId="22" fontId="6" fillId="0" borderId="0" xfId="0" applyNumberFormat="1" applyFont="1"/>
    <xf numFmtId="0" fontId="3" fillId="0" borderId="1" xfId="0" applyFont="1" applyBorder="1" applyAlignment="1">
      <alignment horizontal="center"/>
    </xf>
    <xf numFmtId="0" fontId="3" fillId="3" borderId="1" xfId="0" applyFont="1" applyFill="1" applyBorder="1" applyAlignment="1">
      <alignment horizontal="center"/>
    </xf>
    <xf numFmtId="0" fontId="25" fillId="0" borderId="0" xfId="0" applyFont="1" applyAlignment="1">
      <alignment horizontal="center"/>
    </xf>
    <xf numFmtId="0" fontId="53" fillId="4" borderId="3" xfId="0" applyFont="1" applyFill="1" applyBorder="1" applyAlignment="1">
      <alignment vertical="center"/>
    </xf>
    <xf numFmtId="0" fontId="54" fillId="4" borderId="0" xfId="0" applyFont="1" applyFill="1" applyBorder="1" applyAlignment="1">
      <alignment vertical="center"/>
    </xf>
    <xf numFmtId="1" fontId="19" fillId="0" borderId="0" xfId="0" applyNumberFormat="1" applyFont="1"/>
    <xf numFmtId="166" fontId="0" fillId="0" borderId="0" xfId="0" applyNumberFormat="1"/>
    <xf numFmtId="0" fontId="2" fillId="0" borderId="1" xfId="0" applyFont="1" applyBorder="1" applyAlignment="1">
      <alignment horizontal="center"/>
    </xf>
    <xf numFmtId="0" fontId="19" fillId="0" borderId="0" xfId="0" applyFont="1" applyAlignment="1">
      <alignment horizontal="right"/>
    </xf>
    <xf numFmtId="0" fontId="44" fillId="0" borderId="0" xfId="0" applyFont="1" applyAlignment="1">
      <alignment horizontal="right"/>
    </xf>
    <xf numFmtId="0" fontId="47" fillId="0" borderId="0" xfId="0" applyFont="1" applyAlignment="1">
      <alignment horizontal="right"/>
    </xf>
    <xf numFmtId="0" fontId="51" fillId="0" borderId="0" xfId="0" applyFont="1" applyAlignment="1">
      <alignment horizontal="left"/>
    </xf>
    <xf numFmtId="0" fontId="0" fillId="0" borderId="0" xfId="0" applyFont="1" applyAlignment="1">
      <alignment horizontal="right"/>
    </xf>
    <xf numFmtId="0" fontId="0" fillId="0" borderId="0" xfId="0" applyAlignment="1">
      <alignment horizontal="right" vertical="center"/>
    </xf>
    <xf numFmtId="0" fontId="42" fillId="0" borderId="0" xfId="0" applyFont="1" applyFill="1" applyAlignment="1">
      <alignment horizontal="right" vertical="center"/>
    </xf>
    <xf numFmtId="0" fontId="10" fillId="0" borderId="0" xfId="0" applyFont="1" applyAlignment="1">
      <alignment horizontal="right"/>
    </xf>
    <xf numFmtId="0" fontId="6" fillId="0" borderId="0" xfId="0" applyFont="1" applyAlignment="1">
      <alignment horizontal="right"/>
    </xf>
    <xf numFmtId="0" fontId="0" fillId="0" borderId="0" xfId="0" applyFont="1" applyBorder="1" applyAlignment="1">
      <alignment horizontal="right"/>
    </xf>
    <xf numFmtId="0" fontId="6" fillId="0" borderId="0" xfId="2" applyFont="1" applyAlignment="1">
      <alignment horizontal="right"/>
    </xf>
    <xf numFmtId="0" fontId="28" fillId="0" borderId="0" xfId="0" applyFont="1" applyBorder="1" applyAlignment="1">
      <alignment vertical="center"/>
    </xf>
    <xf numFmtId="0" fontId="26" fillId="0" borderId="0" xfId="0" applyFont="1"/>
    <xf numFmtId="166" fontId="19" fillId="0" borderId="0" xfId="0" applyNumberFormat="1" applyFont="1"/>
    <xf numFmtId="0" fontId="57" fillId="0" borderId="0" xfId="0" applyFont="1" applyAlignment="1">
      <alignment vertical="center"/>
    </xf>
    <xf numFmtId="0" fontId="58" fillId="0" borderId="0" xfId="0" applyFont="1" applyFill="1" applyAlignment="1">
      <alignment vertical="center"/>
    </xf>
    <xf numFmtId="0" fontId="58" fillId="0" borderId="0" xfId="0" applyFont="1"/>
    <xf numFmtId="0" fontId="26" fillId="0" borderId="0" xfId="0" applyFont="1" applyAlignment="1">
      <alignment horizontal="center"/>
    </xf>
    <xf numFmtId="49" fontId="19" fillId="0" borderId="0" xfId="0" applyNumberFormat="1" applyFont="1"/>
    <xf numFmtId="0" fontId="19" fillId="0" borderId="0" xfId="0" applyFont="1" applyBorder="1" applyAlignment="1">
      <alignment horizontal="left" vertical="center"/>
    </xf>
    <xf numFmtId="0" fontId="19" fillId="0" borderId="0" xfId="0" applyFont="1" applyBorder="1" applyAlignment="1">
      <alignment vertical="center"/>
    </xf>
    <xf numFmtId="0" fontId="19" fillId="0" borderId="0" xfId="0" applyFont="1" applyBorder="1" applyAlignment="1"/>
    <xf numFmtId="0" fontId="3" fillId="0" borderId="1" xfId="0" applyFont="1" applyBorder="1" applyAlignment="1">
      <alignment horizontal="left"/>
    </xf>
    <xf numFmtId="0" fontId="5" fillId="0" borderId="1" xfId="0" applyFont="1" applyBorder="1" applyAlignment="1">
      <alignment horizontal="left"/>
    </xf>
    <xf numFmtId="0" fontId="37" fillId="2" borderId="1" xfId="0" applyFont="1" applyFill="1" applyBorder="1" applyAlignment="1">
      <alignment horizontal="center"/>
    </xf>
    <xf numFmtId="14" fontId="33" fillId="4" borderId="0" xfId="0" applyNumberFormat="1" applyFont="1" applyFill="1" applyBorder="1" applyAlignment="1">
      <alignment horizontal="left" vertical="top"/>
    </xf>
    <xf numFmtId="0" fontId="5" fillId="3" borderId="1" xfId="0" applyFont="1" applyFill="1" applyBorder="1" applyAlignment="1">
      <alignment horizontal="left"/>
    </xf>
    <xf numFmtId="0" fontId="4" fillId="3" borderId="1" xfId="0" applyFont="1" applyFill="1" applyBorder="1" applyAlignment="1">
      <alignment horizontal="left"/>
    </xf>
    <xf numFmtId="0" fontId="25" fillId="0" borderId="0" xfId="0" applyFont="1" applyAlignment="1">
      <alignment horizontal="center"/>
    </xf>
    <xf numFmtId="0" fontId="14" fillId="0" borderId="0" xfId="0" applyFont="1" applyAlignment="1">
      <alignment horizontal="center"/>
    </xf>
    <xf numFmtId="0" fontId="6" fillId="0" borderId="0" xfId="0" applyFont="1" applyAlignment="1">
      <alignment wrapText="1"/>
    </xf>
    <xf numFmtId="0" fontId="6" fillId="0" borderId="0" xfId="0" applyFont="1" applyFill="1" applyAlignment="1">
      <alignment wrapText="1"/>
    </xf>
  </cellXfs>
  <cellStyles count="3">
    <cellStyle name="Normal" xfId="0" builtinId="0"/>
    <cellStyle name="Normal 2" xfId="2"/>
    <cellStyle name="Normal 3" xfId="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PARM.DAT!$AU$6:$AU$25</c:f>
              <c:numCache>
                <c:formatCode>General</c:formatCode>
                <c:ptCount val="20"/>
                <c:pt idx="0">
                  <c:v>0</c:v>
                </c:pt>
                <c:pt idx="1">
                  <c:v>0.7</c:v>
                </c:pt>
                <c:pt idx="2">
                  <c:v>1.4</c:v>
                </c:pt>
                <c:pt idx="3">
                  <c:v>2.0999999999999996</c:v>
                </c:pt>
                <c:pt idx="4">
                  <c:v>2.8</c:v>
                </c:pt>
                <c:pt idx="5">
                  <c:v>3.5</c:v>
                </c:pt>
                <c:pt idx="6">
                  <c:v>4.1999999999999993</c:v>
                </c:pt>
                <c:pt idx="7">
                  <c:v>4.8999999999999995</c:v>
                </c:pt>
                <c:pt idx="8">
                  <c:v>5.6</c:v>
                </c:pt>
                <c:pt idx="9">
                  <c:v>6.3</c:v>
                </c:pt>
                <c:pt idx="10">
                  <c:v>7</c:v>
                </c:pt>
                <c:pt idx="11">
                  <c:v>7.6999999999999993</c:v>
                </c:pt>
                <c:pt idx="12">
                  <c:v>8.3999999999999986</c:v>
                </c:pt>
                <c:pt idx="13">
                  <c:v>9.1</c:v>
                </c:pt>
                <c:pt idx="14">
                  <c:v>9.7999999999999989</c:v>
                </c:pt>
                <c:pt idx="15">
                  <c:v>10.5</c:v>
                </c:pt>
                <c:pt idx="16">
                  <c:v>11.2</c:v>
                </c:pt>
                <c:pt idx="17">
                  <c:v>11.899999999999999</c:v>
                </c:pt>
                <c:pt idx="18">
                  <c:v>12.6</c:v>
                </c:pt>
                <c:pt idx="19">
                  <c:v>13.299999999999999</c:v>
                </c:pt>
              </c:numCache>
            </c:numRef>
          </c:xVal>
          <c:yVal>
            <c:numRef>
              <c:f>PARM.DAT!$AV$6:$AV$25</c:f>
              <c:numCache>
                <c:formatCode>0.0E+00</c:formatCode>
                <c:ptCount val="20"/>
                <c:pt idx="0">
                  <c:v>0</c:v>
                </c:pt>
                <c:pt idx="1">
                  <c:v>1.4261046436132766E-2</c:v>
                </c:pt>
                <c:pt idx="2">
                  <c:v>3.9405479951089575E-2</c:v>
                </c:pt>
                <c:pt idx="3">
                  <c:v>8.0238032205428966E-2</c:v>
                </c:pt>
                <c:pt idx="4">
                  <c:v>0.14156279711511155</c:v>
                </c:pt>
                <c:pt idx="5">
                  <c:v>0.22615316664055121</c:v>
                </c:pt>
                <c:pt idx="6">
                  <c:v>0.33208392395918168</c:v>
                </c:pt>
                <c:pt idx="7">
                  <c:v>0.45126545716373684</c:v>
                </c:pt>
                <c:pt idx="8">
                  <c:v>0.57127069940979536</c:v>
                </c:pt>
                <c:pt idx="9">
                  <c:v>0.68002476011034163</c:v>
                </c:pt>
                <c:pt idx="10">
                  <c:v>0.76999999999999968</c:v>
                </c:pt>
                <c:pt idx="11">
                  <c:v>0.8392538059307143</c:v>
                </c:pt>
                <c:pt idx="12">
                  <c:v>0.88980619086963175</c:v>
                </c:pt>
                <c:pt idx="13">
                  <c:v>0.92538516968459239</c:v>
                </c:pt>
                <c:pt idx="14">
                  <c:v>0.94983848407396587</c:v>
                </c:pt>
                <c:pt idx="15">
                  <c:v>0.96640162498372095</c:v>
                </c:pt>
                <c:pt idx="16">
                  <c:v>0.97752687040115716</c:v>
                </c:pt>
                <c:pt idx="17">
                  <c:v>0.98496751515045788</c:v>
                </c:pt>
                <c:pt idx="18">
                  <c:v>0.98993543273216722</c:v>
                </c:pt>
                <c:pt idx="19">
                  <c:v>0.99325208534252396</c:v>
                </c:pt>
              </c:numCache>
            </c:numRef>
          </c:yVal>
          <c:smooth val="0"/>
        </c:ser>
        <c:dLbls>
          <c:showLegendKey val="0"/>
          <c:showVal val="0"/>
          <c:showCatName val="0"/>
          <c:showSerName val="0"/>
          <c:showPercent val="0"/>
          <c:showBubbleSize val="0"/>
        </c:dLbls>
        <c:axId val="365050600"/>
        <c:axId val="365050992"/>
      </c:scatterChart>
      <c:valAx>
        <c:axId val="365050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050992"/>
        <c:crosses val="autoZero"/>
        <c:crossBetween val="midCat"/>
      </c:valAx>
      <c:valAx>
        <c:axId val="3650509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0506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6.emf"/><Relationship Id="rId1" Type="http://schemas.openxmlformats.org/officeDocument/2006/relationships/image" Target="../media/image15.emf"/><Relationship Id="rId5" Type="http://schemas.openxmlformats.org/officeDocument/2006/relationships/image" Target="../media/image18.emf"/><Relationship Id="rId4"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 Id="rId5" Type="http://schemas.openxmlformats.org/officeDocument/2006/relationships/image" Target="../media/image23.emf"/><Relationship Id="rId4"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6.emf"/><Relationship Id="rId1" Type="http://schemas.openxmlformats.org/officeDocument/2006/relationships/image" Target="../media/image25.emf"/><Relationship Id="rId5" Type="http://schemas.openxmlformats.org/officeDocument/2006/relationships/image" Target="../media/image28.emf"/><Relationship Id="rId4" Type="http://schemas.openxmlformats.org/officeDocument/2006/relationships/image" Target="../media/image2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5" Type="http://schemas.openxmlformats.org/officeDocument/2006/relationships/image" Target="../media/image33.emf"/><Relationship Id="rId4" Type="http://schemas.openxmlformats.org/officeDocument/2006/relationships/image" Target="../media/image3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6.emf"/><Relationship Id="rId1" Type="http://schemas.openxmlformats.org/officeDocument/2006/relationships/image" Target="../media/image35.emf"/><Relationship Id="rId5" Type="http://schemas.openxmlformats.org/officeDocument/2006/relationships/image" Target="../media/image38.emf"/><Relationship Id="rId4" Type="http://schemas.openxmlformats.org/officeDocument/2006/relationships/image" Target="../media/image3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41.emf"/><Relationship Id="rId1" Type="http://schemas.openxmlformats.org/officeDocument/2006/relationships/image" Target="../media/image4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3.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 Id="rId5" Type="http://schemas.openxmlformats.org/officeDocument/2006/relationships/image" Target="../media/image45.emf"/><Relationship Id="rId4" Type="http://schemas.openxmlformats.org/officeDocument/2006/relationships/image" Target="../media/image49.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3.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 Id="rId5" Type="http://schemas.openxmlformats.org/officeDocument/2006/relationships/image" Target="../media/image56.emf"/><Relationship Id="rId4" Type="http://schemas.openxmlformats.org/officeDocument/2006/relationships/image" Target="../media/image57.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5" Type="http://schemas.openxmlformats.org/officeDocument/2006/relationships/image" Target="../media/image65.emf"/><Relationship Id="rId4" Type="http://schemas.openxmlformats.org/officeDocument/2006/relationships/image" Target="../media/image6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6.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 Id="rId5" Type="http://schemas.openxmlformats.org/officeDocument/2006/relationships/image" Target="../media/image68.emf"/><Relationship Id="rId4"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xdr:oneCellAnchor>
    <xdr:from>
      <xdr:col>8</xdr:col>
      <xdr:colOff>291465</xdr:colOff>
      <xdr:row>1</xdr:row>
      <xdr:rowOff>34290</xdr:rowOff>
    </xdr:from>
    <xdr:ext cx="1981200" cy="908685"/>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7915" y="224790"/>
          <a:ext cx="1981200" cy="908685"/>
        </a:xfrm>
        <a:prstGeom prst="rect">
          <a:avLst/>
        </a:prstGeom>
        <a:noFill/>
        <a:ln>
          <a:noFill/>
        </a:ln>
        <a:effectLst/>
        <a:extLst>
          <a:ext uri="{909E8E84-426E-40dd-AFC4-6F175D3DCCD1}">
            <a14:hiddenFill xmlns:r="http://schemas.openxmlformats.org/officeDocument/2006/relationships" xmlns:p="http://schemas.openxmlformats.org/presentationml/2006/main" xmlns="" xmlns:a14="http://schemas.microsoft.com/office/drawing/2010/main" xmlns:lc="http://schemas.openxmlformats.org/drawingml/2006/lockedCanvas">
              <a:solidFill>
                <a:schemeClr val="accent1"/>
              </a:solidFill>
            </a14:hiddenFill>
          </a:ext>
          <a:ext uri="{91240B29-F687-4f45-9708-019B960494DF}">
            <a14:hiddenLine xmlns:r="http://schemas.openxmlformats.org/officeDocument/2006/relationships" xmlns:p="http://schemas.openxmlformats.org/presentationml/2006/main" xmlns="" xmlns:a14="http://schemas.microsoft.com/office/drawing/2010/main" xmlns:lc="http://schemas.openxmlformats.org/drawingml/2006/lockedCanvas" w="9525">
              <a:solidFill>
                <a:schemeClr val="tx1"/>
              </a:solidFill>
              <a:miter lim="800000"/>
              <a:headEnd/>
              <a:tailEnd/>
            </a14:hiddenLine>
          </a:ext>
          <a:ext uri="{AF507438-7753-43e0-B8FC-AC1667EBCBE1}">
            <a14:hiddenEffects xmlns:r="http://schemas.openxmlformats.org/officeDocument/2006/relationships" xmlns:p="http://schemas.openxmlformats.org/presentationml/2006/main" xmlns="" xmlns:a14="http://schemas.microsoft.com/office/drawing/2010/main" xmlns:lc="http://schemas.openxmlformats.org/drawingml/2006/lockedCanvas">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68580</xdr:rowOff>
        </xdr:from>
        <xdr:to>
          <xdr:col>4</xdr:col>
          <xdr:colOff>487680</xdr:colOff>
          <xdr:row>1</xdr:row>
          <xdr:rowOff>129540</xdr:rowOff>
        </xdr:to>
        <xdr:sp macro="" textlink="">
          <xdr:nvSpPr>
            <xdr:cNvPr id="34817" name="cmdReadFil" hidden="1">
              <a:extLst>
                <a:ext uri="{63B3BB69-23CF-44E3-9099-C40C66FF867C}">
                  <a14:compatExt spid="_x0000_s34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525780</xdr:colOff>
          <xdr:row>0</xdr:row>
          <xdr:rowOff>68580</xdr:rowOff>
        </xdr:from>
        <xdr:to>
          <xdr:col>6</xdr:col>
          <xdr:colOff>327660</xdr:colOff>
          <xdr:row>1</xdr:row>
          <xdr:rowOff>129540</xdr:rowOff>
        </xdr:to>
        <xdr:sp macro="" textlink="">
          <xdr:nvSpPr>
            <xdr:cNvPr id="34818" name="cmdWriteFil" hidden="1">
              <a:extLst>
                <a:ext uri="{63B3BB69-23CF-44E3-9099-C40C66FF867C}">
                  <a14:compatExt spid="_x0000_s34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525780</xdr:colOff>
          <xdr:row>0</xdr:row>
          <xdr:rowOff>68580</xdr:rowOff>
        </xdr:from>
        <xdr:to>
          <xdr:col>8</xdr:col>
          <xdr:colOff>320040</xdr:colOff>
          <xdr:row>1</xdr:row>
          <xdr:rowOff>129540</xdr:rowOff>
        </xdr:to>
        <xdr:sp macro="" textlink="">
          <xdr:nvSpPr>
            <xdr:cNvPr id="34819" name="cmdRun"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449580</xdr:colOff>
          <xdr:row>1</xdr:row>
          <xdr:rowOff>137160</xdr:rowOff>
        </xdr:to>
        <xdr:sp macro="" textlink="">
          <xdr:nvSpPr>
            <xdr:cNvPr id="4097" name="cmdReadRun"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297180</xdr:colOff>
          <xdr:row>1</xdr:row>
          <xdr:rowOff>137160</xdr:rowOff>
        </xdr:to>
        <xdr:sp macro="" textlink="">
          <xdr:nvSpPr>
            <xdr:cNvPr id="4098" name="cmdWriteRun"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251460</xdr:colOff>
          <xdr:row>1</xdr:row>
          <xdr:rowOff>137160</xdr:rowOff>
        </xdr:to>
        <xdr:sp macro="" textlink="">
          <xdr:nvSpPr>
            <xdr:cNvPr id="4101" name="cmdRun"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220980</xdr:rowOff>
        </xdr:from>
        <xdr:to>
          <xdr:col>10</xdr:col>
          <xdr:colOff>30480</xdr:colOff>
          <xdr:row>1</xdr:row>
          <xdr:rowOff>205740</xdr:rowOff>
        </xdr:to>
        <xdr:sp macro="" textlink="">
          <xdr:nvSpPr>
            <xdr:cNvPr id="1025" name="cmdWrite"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373380</xdr:colOff>
          <xdr:row>0</xdr:row>
          <xdr:rowOff>220980</xdr:rowOff>
        </xdr:from>
        <xdr:to>
          <xdr:col>8</xdr:col>
          <xdr:colOff>175260</xdr:colOff>
          <xdr:row>1</xdr:row>
          <xdr:rowOff>205740</xdr:rowOff>
        </xdr:to>
        <xdr:sp macro="" textlink="">
          <xdr:nvSpPr>
            <xdr:cNvPr id="1028" name="cmdRead"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121920</xdr:colOff>
          <xdr:row>0</xdr:row>
          <xdr:rowOff>220980</xdr:rowOff>
        </xdr:from>
        <xdr:to>
          <xdr:col>11</xdr:col>
          <xdr:colOff>533400</xdr:colOff>
          <xdr:row>1</xdr:row>
          <xdr:rowOff>205740</xdr:rowOff>
        </xdr:to>
        <xdr:sp macro="" textlink="">
          <xdr:nvSpPr>
            <xdr:cNvPr id="1032" name="cmdRun"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3</xdr:col>
          <xdr:colOff>22860</xdr:colOff>
          <xdr:row>2</xdr:row>
          <xdr:rowOff>7620</xdr:rowOff>
        </xdr:to>
        <xdr:sp macro="" textlink="">
          <xdr:nvSpPr>
            <xdr:cNvPr id="1034" name="cmbBoxCont"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220980</xdr:rowOff>
        </xdr:from>
        <xdr:to>
          <xdr:col>6</xdr:col>
          <xdr:colOff>243840</xdr:colOff>
          <xdr:row>1</xdr:row>
          <xdr:rowOff>205740</xdr:rowOff>
        </xdr:to>
        <xdr:sp macro="" textlink="">
          <xdr:nvSpPr>
            <xdr:cNvPr id="1036" name="cmdGetCont"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251460</xdr:rowOff>
        </xdr:from>
        <xdr:to>
          <xdr:col>8</xdr:col>
          <xdr:colOff>335280</xdr:colOff>
          <xdr:row>1</xdr:row>
          <xdr:rowOff>243840</xdr:rowOff>
        </xdr:to>
        <xdr:sp macro="" textlink="">
          <xdr:nvSpPr>
            <xdr:cNvPr id="49153" name="cmdReadTil"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373380</xdr:colOff>
          <xdr:row>0</xdr:row>
          <xdr:rowOff>251460</xdr:rowOff>
        </xdr:from>
        <xdr:to>
          <xdr:col>10</xdr:col>
          <xdr:colOff>160020</xdr:colOff>
          <xdr:row>1</xdr:row>
          <xdr:rowOff>243840</xdr:rowOff>
        </xdr:to>
        <xdr:sp macro="" textlink="">
          <xdr:nvSpPr>
            <xdr:cNvPr id="49154" name="cmdWriteTil" hidden="1">
              <a:extLst>
                <a:ext uri="{63B3BB69-23CF-44E3-9099-C40C66FF867C}">
                  <a14:compatExt spid="_x0000_s49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274320</xdr:colOff>
          <xdr:row>0</xdr:row>
          <xdr:rowOff>251460</xdr:rowOff>
        </xdr:from>
        <xdr:to>
          <xdr:col>12</xdr:col>
          <xdr:colOff>45720</xdr:colOff>
          <xdr:row>1</xdr:row>
          <xdr:rowOff>243840</xdr:rowOff>
        </xdr:to>
        <xdr:sp macro="" textlink="">
          <xdr:nvSpPr>
            <xdr:cNvPr id="49155" name="cmdRun" hidden="1">
              <a:extLst>
                <a:ext uri="{63B3BB69-23CF-44E3-9099-C40C66FF867C}">
                  <a14:compatExt spid="_x0000_s49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2</xdr:col>
          <xdr:colOff>495300</xdr:colOff>
          <xdr:row>2</xdr:row>
          <xdr:rowOff>7620</xdr:rowOff>
        </xdr:to>
        <xdr:sp macro="" textlink="">
          <xdr:nvSpPr>
            <xdr:cNvPr id="49191" name="cmbBoxTil" hidden="1">
              <a:extLst>
                <a:ext uri="{63B3BB69-23CF-44E3-9099-C40C66FF867C}">
                  <a14:compatExt spid="_x0000_s49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0</xdr:row>
          <xdr:rowOff>251460</xdr:rowOff>
        </xdr:from>
        <xdr:to>
          <xdr:col>6</xdr:col>
          <xdr:colOff>434340</xdr:colOff>
          <xdr:row>1</xdr:row>
          <xdr:rowOff>243840</xdr:rowOff>
        </xdr:to>
        <xdr:sp macro="" textlink="">
          <xdr:nvSpPr>
            <xdr:cNvPr id="49192" name="cmdGetTil" hidden="1">
              <a:extLst>
                <a:ext uri="{63B3BB69-23CF-44E3-9099-C40C66FF867C}">
                  <a14:compatExt spid="_x0000_s49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556260</xdr:colOff>
          <xdr:row>0</xdr:row>
          <xdr:rowOff>251460</xdr:rowOff>
        </xdr:from>
        <xdr:to>
          <xdr:col>8</xdr:col>
          <xdr:colOff>358140</xdr:colOff>
          <xdr:row>2</xdr:row>
          <xdr:rowOff>7620</xdr:rowOff>
        </xdr:to>
        <xdr:sp macro="" textlink="">
          <xdr:nvSpPr>
            <xdr:cNvPr id="61441" name="cmdReadCrop"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411480</xdr:colOff>
          <xdr:row>0</xdr:row>
          <xdr:rowOff>251460</xdr:rowOff>
        </xdr:from>
        <xdr:to>
          <xdr:col>10</xdr:col>
          <xdr:colOff>213360</xdr:colOff>
          <xdr:row>2</xdr:row>
          <xdr:rowOff>7620</xdr:rowOff>
        </xdr:to>
        <xdr:sp macro="" textlink="">
          <xdr:nvSpPr>
            <xdr:cNvPr id="61442" name="cmdWriteCrop"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327660</xdr:colOff>
          <xdr:row>0</xdr:row>
          <xdr:rowOff>251460</xdr:rowOff>
        </xdr:from>
        <xdr:to>
          <xdr:col>12</xdr:col>
          <xdr:colOff>137160</xdr:colOff>
          <xdr:row>2</xdr:row>
          <xdr:rowOff>7620</xdr:rowOff>
        </xdr:to>
        <xdr:sp macro="" textlink="">
          <xdr:nvSpPr>
            <xdr:cNvPr id="61443" name="cmdRun" hidden="1">
              <a:extLst>
                <a:ext uri="{63B3BB69-23CF-44E3-9099-C40C66FF867C}">
                  <a14:compatExt spid="_x0000_s61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3</xdr:col>
          <xdr:colOff>22860</xdr:colOff>
          <xdr:row>2</xdr:row>
          <xdr:rowOff>7620</xdr:rowOff>
        </xdr:to>
        <xdr:sp macro="" textlink="">
          <xdr:nvSpPr>
            <xdr:cNvPr id="61504" name="cmbBoxCrop" hidden="1">
              <a:extLst>
                <a:ext uri="{63B3BB69-23CF-44E3-9099-C40C66FF867C}">
                  <a14:compatExt spid="_x0000_s6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0</xdr:row>
          <xdr:rowOff>251460</xdr:rowOff>
        </xdr:from>
        <xdr:to>
          <xdr:col>6</xdr:col>
          <xdr:colOff>449580</xdr:colOff>
          <xdr:row>2</xdr:row>
          <xdr:rowOff>7620</xdr:rowOff>
        </xdr:to>
        <xdr:sp macro="" textlink="">
          <xdr:nvSpPr>
            <xdr:cNvPr id="61505" name="cmdGetCrop" hidden="1">
              <a:extLst>
                <a:ext uri="{63B3BB69-23CF-44E3-9099-C40C66FF867C}">
                  <a14:compatExt spid="_x0000_s6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518160</xdr:colOff>
          <xdr:row>0</xdr:row>
          <xdr:rowOff>236220</xdr:rowOff>
        </xdr:from>
        <xdr:to>
          <xdr:col>8</xdr:col>
          <xdr:colOff>289560</xdr:colOff>
          <xdr:row>1</xdr:row>
          <xdr:rowOff>228600</xdr:rowOff>
        </xdr:to>
        <xdr:sp macro="" textlink="">
          <xdr:nvSpPr>
            <xdr:cNvPr id="17420" name="cmdReadFert" hidden="1">
              <a:extLst>
                <a:ext uri="{63B3BB69-23CF-44E3-9099-C40C66FF867C}">
                  <a14:compatExt spid="_x0000_s174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236220</xdr:rowOff>
        </xdr:from>
        <xdr:to>
          <xdr:col>10</xdr:col>
          <xdr:colOff>114300</xdr:colOff>
          <xdr:row>1</xdr:row>
          <xdr:rowOff>228600</xdr:rowOff>
        </xdr:to>
        <xdr:sp macro="" textlink="">
          <xdr:nvSpPr>
            <xdr:cNvPr id="17421" name="cmdWriteFert" hidden="1">
              <a:extLst>
                <a:ext uri="{63B3BB69-23CF-44E3-9099-C40C66FF867C}">
                  <a14:compatExt spid="_x0000_s174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220980</xdr:colOff>
          <xdr:row>0</xdr:row>
          <xdr:rowOff>236220</xdr:rowOff>
        </xdr:from>
        <xdr:to>
          <xdr:col>12</xdr:col>
          <xdr:colOff>0</xdr:colOff>
          <xdr:row>1</xdr:row>
          <xdr:rowOff>228600</xdr:rowOff>
        </xdr:to>
        <xdr:sp macro="" textlink="">
          <xdr:nvSpPr>
            <xdr:cNvPr id="17422" name="cmdRun" hidden="1">
              <a:extLst>
                <a:ext uri="{63B3BB69-23CF-44E3-9099-C40C66FF867C}">
                  <a14:compatExt spid="_x0000_s174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3</xdr:col>
          <xdr:colOff>15240</xdr:colOff>
          <xdr:row>2</xdr:row>
          <xdr:rowOff>7620</xdr:rowOff>
        </xdr:to>
        <xdr:sp macro="" textlink="">
          <xdr:nvSpPr>
            <xdr:cNvPr id="17424" name="cmbBoxFert" hidden="1">
              <a:extLst>
                <a:ext uri="{63B3BB69-23CF-44E3-9099-C40C66FF867C}">
                  <a14:compatExt spid="_x0000_s17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0</xdr:row>
          <xdr:rowOff>236220</xdr:rowOff>
        </xdr:from>
        <xdr:to>
          <xdr:col>6</xdr:col>
          <xdr:colOff>419100</xdr:colOff>
          <xdr:row>1</xdr:row>
          <xdr:rowOff>228600</xdr:rowOff>
        </xdr:to>
        <xdr:sp macro="" textlink="">
          <xdr:nvSpPr>
            <xdr:cNvPr id="17426" name="cmdGetFert" hidden="1">
              <a:extLst>
                <a:ext uri="{63B3BB69-23CF-44E3-9099-C40C66FF867C}">
                  <a14:compatExt spid="_x0000_s17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518160</xdr:colOff>
          <xdr:row>0</xdr:row>
          <xdr:rowOff>251460</xdr:rowOff>
        </xdr:from>
        <xdr:to>
          <xdr:col>7</xdr:col>
          <xdr:colOff>167640</xdr:colOff>
          <xdr:row>1</xdr:row>
          <xdr:rowOff>243840</xdr:rowOff>
        </xdr:to>
        <xdr:sp macro="" textlink="">
          <xdr:nvSpPr>
            <xdr:cNvPr id="18441" name="cmdReadPest" hidden="1">
              <a:extLst>
                <a:ext uri="{63B3BB69-23CF-44E3-9099-C40C66FF867C}">
                  <a14:compatExt spid="_x0000_s18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0</xdr:row>
          <xdr:rowOff>251460</xdr:rowOff>
        </xdr:from>
        <xdr:to>
          <xdr:col>8</xdr:col>
          <xdr:colOff>548640</xdr:colOff>
          <xdr:row>1</xdr:row>
          <xdr:rowOff>243840</xdr:rowOff>
        </xdr:to>
        <xdr:sp macro="" textlink="">
          <xdr:nvSpPr>
            <xdr:cNvPr id="18442" name="cmdWritePest" hidden="1">
              <a:extLst>
                <a:ext uri="{63B3BB69-23CF-44E3-9099-C40C66FF867C}">
                  <a14:compatExt spid="_x0000_s18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251460</xdr:rowOff>
        </xdr:from>
        <xdr:to>
          <xdr:col>10</xdr:col>
          <xdr:colOff>403860</xdr:colOff>
          <xdr:row>1</xdr:row>
          <xdr:rowOff>243840</xdr:rowOff>
        </xdr:to>
        <xdr:sp macro="" textlink="">
          <xdr:nvSpPr>
            <xdr:cNvPr id="18443" name="cmdRun" hidden="1">
              <a:extLst>
                <a:ext uri="{63B3BB69-23CF-44E3-9099-C40C66FF867C}">
                  <a14:compatExt spid="_x0000_s18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2</xdr:col>
          <xdr:colOff>15240</xdr:colOff>
          <xdr:row>2</xdr:row>
          <xdr:rowOff>7620</xdr:rowOff>
        </xdr:to>
        <xdr:sp macro="" textlink="">
          <xdr:nvSpPr>
            <xdr:cNvPr id="18445" name="cmbBoxPest" hidden="1">
              <a:extLst>
                <a:ext uri="{63B3BB69-23CF-44E3-9099-C40C66FF867C}">
                  <a14:compatExt spid="_x0000_s184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xdr:colOff>
          <xdr:row>0</xdr:row>
          <xdr:rowOff>251460</xdr:rowOff>
        </xdr:from>
        <xdr:to>
          <xdr:col>5</xdr:col>
          <xdr:colOff>419100</xdr:colOff>
          <xdr:row>1</xdr:row>
          <xdr:rowOff>243840</xdr:rowOff>
        </xdr:to>
        <xdr:sp macro="" textlink="">
          <xdr:nvSpPr>
            <xdr:cNvPr id="18446" name="cmdGetPest" hidden="1">
              <a:extLst>
                <a:ext uri="{63B3BB69-23CF-44E3-9099-C40C66FF867C}">
                  <a14:compatExt spid="_x0000_s18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556260</xdr:colOff>
          <xdr:row>0</xdr:row>
          <xdr:rowOff>228600</xdr:rowOff>
        </xdr:from>
        <xdr:to>
          <xdr:col>8</xdr:col>
          <xdr:colOff>396240</xdr:colOff>
          <xdr:row>1</xdr:row>
          <xdr:rowOff>236220</xdr:rowOff>
        </xdr:to>
        <xdr:sp macro="" textlink="">
          <xdr:nvSpPr>
            <xdr:cNvPr id="12289" name="cmdReadParm"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449580</xdr:colOff>
          <xdr:row>0</xdr:row>
          <xdr:rowOff>228600</xdr:rowOff>
        </xdr:from>
        <xdr:to>
          <xdr:col>10</xdr:col>
          <xdr:colOff>274320</xdr:colOff>
          <xdr:row>1</xdr:row>
          <xdr:rowOff>236220</xdr:rowOff>
        </xdr:to>
        <xdr:sp macro="" textlink="">
          <xdr:nvSpPr>
            <xdr:cNvPr id="12290" name="cmdWriteParm"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373380</xdr:colOff>
          <xdr:row>0</xdr:row>
          <xdr:rowOff>228600</xdr:rowOff>
        </xdr:from>
        <xdr:to>
          <xdr:col>12</xdr:col>
          <xdr:colOff>198120</xdr:colOff>
          <xdr:row>1</xdr:row>
          <xdr:rowOff>236220</xdr:rowOff>
        </xdr:to>
        <xdr:sp macro="" textlink="">
          <xdr:nvSpPr>
            <xdr:cNvPr id="12291" name="cmdRun" hidden="1">
              <a:extLst>
                <a:ext uri="{63B3BB69-23CF-44E3-9099-C40C66FF867C}">
                  <a14:compatExt spid="_x0000_s12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22</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3</xdr:col>
          <xdr:colOff>38100</xdr:colOff>
          <xdr:row>2</xdr:row>
          <xdr:rowOff>7620</xdr:rowOff>
        </xdr:to>
        <xdr:sp macro="" textlink="">
          <xdr:nvSpPr>
            <xdr:cNvPr id="12293" name="cmbBoxParm" hidden="1">
              <a:extLst>
                <a:ext uri="{63B3BB69-23CF-44E3-9099-C40C66FF867C}">
                  <a14:compatExt spid="_x0000_s12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68580</xdr:colOff>
          <xdr:row>0</xdr:row>
          <xdr:rowOff>228600</xdr:rowOff>
        </xdr:from>
        <xdr:to>
          <xdr:col>6</xdr:col>
          <xdr:colOff>480060</xdr:colOff>
          <xdr:row>1</xdr:row>
          <xdr:rowOff>236220</xdr:rowOff>
        </xdr:to>
        <xdr:sp macro="" textlink="">
          <xdr:nvSpPr>
            <xdr:cNvPr id="12294" name="cmbGetParm" hidden="1">
              <a:extLst>
                <a:ext uri="{63B3BB69-23CF-44E3-9099-C40C66FF867C}">
                  <a14:compatExt spid="_x0000_s122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60960</xdr:rowOff>
        </xdr:from>
        <xdr:to>
          <xdr:col>8</xdr:col>
          <xdr:colOff>449580</xdr:colOff>
          <xdr:row>1</xdr:row>
          <xdr:rowOff>121920</xdr:rowOff>
        </xdr:to>
        <xdr:sp macro="" textlink="">
          <xdr:nvSpPr>
            <xdr:cNvPr id="10248" name="cmdReadPrnt" hidden="1">
              <a:extLst>
                <a:ext uri="{63B3BB69-23CF-44E3-9099-C40C66FF867C}">
                  <a14:compatExt spid="_x0000_s102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487680</xdr:colOff>
          <xdr:row>0</xdr:row>
          <xdr:rowOff>60960</xdr:rowOff>
        </xdr:from>
        <xdr:to>
          <xdr:col>10</xdr:col>
          <xdr:colOff>274320</xdr:colOff>
          <xdr:row>1</xdr:row>
          <xdr:rowOff>121920</xdr:rowOff>
        </xdr:to>
        <xdr:sp macro="" textlink="">
          <xdr:nvSpPr>
            <xdr:cNvPr id="10249" name="cmdWritePrnt" hidden="1">
              <a:extLst>
                <a:ext uri="{63B3BB69-23CF-44E3-9099-C40C66FF867C}">
                  <a14:compatExt spid="_x0000_s10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373380</xdr:colOff>
          <xdr:row>0</xdr:row>
          <xdr:rowOff>60960</xdr:rowOff>
        </xdr:from>
        <xdr:to>
          <xdr:col>12</xdr:col>
          <xdr:colOff>175260</xdr:colOff>
          <xdr:row>1</xdr:row>
          <xdr:rowOff>121920</xdr:rowOff>
        </xdr:to>
        <xdr:sp macro="" textlink="">
          <xdr:nvSpPr>
            <xdr:cNvPr id="10250" name="cmdRun"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45720</xdr:colOff>
          <xdr:row>0</xdr:row>
          <xdr:rowOff>60960</xdr:rowOff>
        </xdr:from>
        <xdr:to>
          <xdr:col>6</xdr:col>
          <xdr:colOff>457200</xdr:colOff>
          <xdr:row>1</xdr:row>
          <xdr:rowOff>121920</xdr:rowOff>
        </xdr:to>
        <xdr:sp macro="" textlink="">
          <xdr:nvSpPr>
            <xdr:cNvPr id="11265" name="cmdReadDim"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502920</xdr:colOff>
          <xdr:row>0</xdr:row>
          <xdr:rowOff>60960</xdr:rowOff>
        </xdr:from>
        <xdr:to>
          <xdr:col>8</xdr:col>
          <xdr:colOff>304800</xdr:colOff>
          <xdr:row>1</xdr:row>
          <xdr:rowOff>121920</xdr:rowOff>
        </xdr:to>
        <xdr:sp macro="" textlink="">
          <xdr:nvSpPr>
            <xdr:cNvPr id="11266" name="cmdWriteDim"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365760</xdr:colOff>
          <xdr:row>0</xdr:row>
          <xdr:rowOff>60960</xdr:rowOff>
        </xdr:from>
        <xdr:to>
          <xdr:col>10</xdr:col>
          <xdr:colOff>167640</xdr:colOff>
          <xdr:row>1</xdr:row>
          <xdr:rowOff>121920</xdr:rowOff>
        </xdr:to>
        <xdr:sp macro="" textlink="">
          <xdr:nvSpPr>
            <xdr:cNvPr id="11267" name="cmdRun"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594360</xdr:colOff>
          <xdr:row>2</xdr:row>
          <xdr:rowOff>38100</xdr:rowOff>
        </xdr:from>
        <xdr:to>
          <xdr:col>8</xdr:col>
          <xdr:colOff>335280</xdr:colOff>
          <xdr:row>3</xdr:row>
          <xdr:rowOff>167640</xdr:rowOff>
        </xdr:to>
        <xdr:sp macro="" textlink="">
          <xdr:nvSpPr>
            <xdr:cNvPr id="30721" name="cmdReadOpc" hidden="1">
              <a:extLst>
                <a:ext uri="{63B3BB69-23CF-44E3-9099-C40C66FF867C}">
                  <a14:compatExt spid="_x0000_s30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403860</xdr:colOff>
          <xdr:row>2</xdr:row>
          <xdr:rowOff>38100</xdr:rowOff>
        </xdr:from>
        <xdr:to>
          <xdr:col>10</xdr:col>
          <xdr:colOff>175260</xdr:colOff>
          <xdr:row>3</xdr:row>
          <xdr:rowOff>167640</xdr:rowOff>
        </xdr:to>
        <xdr:sp macro="" textlink="">
          <xdr:nvSpPr>
            <xdr:cNvPr id="30722" name="cmdWriteOpc" hidden="1">
              <a:extLst>
                <a:ext uri="{63B3BB69-23CF-44E3-9099-C40C66FF867C}">
                  <a14:compatExt spid="_x0000_s30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137160</xdr:rowOff>
        </xdr:from>
        <xdr:to>
          <xdr:col>3</xdr:col>
          <xdr:colOff>45720</xdr:colOff>
          <xdr:row>4</xdr:row>
          <xdr:rowOff>22860</xdr:rowOff>
        </xdr:to>
        <xdr:sp macro="" textlink="">
          <xdr:nvSpPr>
            <xdr:cNvPr id="30723" name="cmbBoxOpc" hidden="1">
              <a:extLst>
                <a:ext uri="{63B3BB69-23CF-44E3-9099-C40C66FF867C}">
                  <a14:compatExt spid="_x0000_s307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2</xdr:row>
          <xdr:rowOff>38100</xdr:rowOff>
        </xdr:from>
        <xdr:to>
          <xdr:col>6</xdr:col>
          <xdr:colOff>441960</xdr:colOff>
          <xdr:row>3</xdr:row>
          <xdr:rowOff>167640</xdr:rowOff>
        </xdr:to>
        <xdr:sp macro="" textlink="">
          <xdr:nvSpPr>
            <xdr:cNvPr id="30739" name="cmdGetOpc" hidden="1">
              <a:extLst>
                <a:ext uri="{63B3BB69-23CF-44E3-9099-C40C66FF867C}">
                  <a14:compatExt spid="_x0000_s307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403860</xdr:colOff>
          <xdr:row>2</xdr:row>
          <xdr:rowOff>38100</xdr:rowOff>
        </xdr:from>
        <xdr:to>
          <xdr:col>12</xdr:col>
          <xdr:colOff>167640</xdr:colOff>
          <xdr:row>4</xdr:row>
          <xdr:rowOff>0</xdr:rowOff>
        </xdr:to>
        <xdr:sp macro="" textlink="">
          <xdr:nvSpPr>
            <xdr:cNvPr id="30740" name="cmdRun" hidden="1">
              <a:extLst>
                <a:ext uri="{63B3BB69-23CF-44E3-9099-C40C66FF867C}">
                  <a14:compatExt spid="_x0000_s30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632460</xdr:colOff>
          <xdr:row>0</xdr:row>
          <xdr:rowOff>76200</xdr:rowOff>
        </xdr:from>
        <xdr:to>
          <xdr:col>6</xdr:col>
          <xdr:colOff>175260</xdr:colOff>
          <xdr:row>1</xdr:row>
          <xdr:rowOff>121920</xdr:rowOff>
        </xdr:to>
        <xdr:sp macro="" textlink="">
          <xdr:nvSpPr>
            <xdr:cNvPr id="27649" name="cmdReadWt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259080</xdr:colOff>
          <xdr:row>0</xdr:row>
          <xdr:rowOff>68580</xdr:rowOff>
        </xdr:from>
        <xdr:to>
          <xdr:col>8</xdr:col>
          <xdr:colOff>60960</xdr:colOff>
          <xdr:row>1</xdr:row>
          <xdr:rowOff>114300</xdr:rowOff>
        </xdr:to>
        <xdr:sp macro="" textlink="">
          <xdr:nvSpPr>
            <xdr:cNvPr id="27650" name="cmdWriteWtr" hidden="1">
              <a:extLst>
                <a:ext uri="{63B3BB69-23CF-44E3-9099-C40C66FF867C}">
                  <a14:compatExt spid="_x0000_s27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68580</xdr:rowOff>
        </xdr:from>
        <xdr:to>
          <xdr:col>6</xdr:col>
          <xdr:colOff>114300</xdr:colOff>
          <xdr:row>1</xdr:row>
          <xdr:rowOff>114300</xdr:rowOff>
        </xdr:to>
        <xdr:sp macro="" textlink="">
          <xdr:nvSpPr>
            <xdr:cNvPr id="28673" name="cmdReadWp1" hidden="1">
              <a:extLst>
                <a:ext uri="{63B3BB69-23CF-44E3-9099-C40C66FF867C}">
                  <a14:compatExt spid="_x0000_s28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68580</xdr:rowOff>
        </xdr:from>
        <xdr:to>
          <xdr:col>7</xdr:col>
          <xdr:colOff>601980</xdr:colOff>
          <xdr:row>1</xdr:row>
          <xdr:rowOff>114300</xdr:rowOff>
        </xdr:to>
        <xdr:sp macro="" textlink="">
          <xdr:nvSpPr>
            <xdr:cNvPr id="28674" name="cmdWriteWp1" hidden="1">
              <a:extLst>
                <a:ext uri="{63B3BB69-23CF-44E3-9099-C40C66FF867C}">
                  <a14:compatExt spid="_x0000_s28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769620</xdr:colOff>
          <xdr:row>0</xdr:row>
          <xdr:rowOff>76200</xdr:rowOff>
        </xdr:from>
        <xdr:to>
          <xdr:col>5</xdr:col>
          <xdr:colOff>1790700</xdr:colOff>
          <xdr:row>1</xdr:row>
          <xdr:rowOff>137160</xdr:rowOff>
        </xdr:to>
        <xdr:sp macro="" textlink="">
          <xdr:nvSpPr>
            <xdr:cNvPr id="29697" name="cmdReadWnd"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0</xdr:row>
          <xdr:rowOff>76200</xdr:rowOff>
        </xdr:from>
        <xdr:to>
          <xdr:col>7</xdr:col>
          <xdr:colOff>480060</xdr:colOff>
          <xdr:row>1</xdr:row>
          <xdr:rowOff>137160</xdr:rowOff>
        </xdr:to>
        <xdr:sp macro="" textlink="">
          <xdr:nvSpPr>
            <xdr:cNvPr id="29698" name="cmdWriteWnd"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3048000</xdr:colOff>
          <xdr:row>0</xdr:row>
          <xdr:rowOff>251460</xdr:rowOff>
        </xdr:from>
        <xdr:to>
          <xdr:col>1</xdr:col>
          <xdr:colOff>4091940</xdr:colOff>
          <xdr:row>2</xdr:row>
          <xdr:rowOff>7620</xdr:rowOff>
        </xdr:to>
        <xdr:sp macro="" textlink="">
          <xdr:nvSpPr>
            <xdr:cNvPr id="47105" name="cmdReadSub"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4137660</xdr:colOff>
          <xdr:row>0</xdr:row>
          <xdr:rowOff>251460</xdr:rowOff>
        </xdr:from>
        <xdr:to>
          <xdr:col>2</xdr:col>
          <xdr:colOff>487680</xdr:colOff>
          <xdr:row>2</xdr:row>
          <xdr:rowOff>7620</xdr:rowOff>
        </xdr:to>
        <xdr:sp macro="" textlink="">
          <xdr:nvSpPr>
            <xdr:cNvPr id="47106" name="cmdWriteSub" hidden="1">
              <a:extLst>
                <a:ext uri="{63B3BB69-23CF-44E3-9099-C40C66FF867C}">
                  <a14:compatExt spid="_x0000_s47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0</xdr:row>
          <xdr:rowOff>251460</xdr:rowOff>
        </xdr:from>
        <xdr:to>
          <xdr:col>3</xdr:col>
          <xdr:colOff>594360</xdr:colOff>
          <xdr:row>2</xdr:row>
          <xdr:rowOff>7620</xdr:rowOff>
        </xdr:to>
        <xdr:sp macro="" textlink="">
          <xdr:nvSpPr>
            <xdr:cNvPr id="47107" name="cmdRun" hidden="1">
              <a:extLst>
                <a:ext uri="{63B3BB69-23CF-44E3-9099-C40C66FF867C}">
                  <a14:compatExt spid="_x0000_s47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1</xdr:col>
          <xdr:colOff>1478280</xdr:colOff>
          <xdr:row>1</xdr:row>
          <xdr:rowOff>251460</xdr:rowOff>
        </xdr:to>
        <xdr:sp macro="" textlink="">
          <xdr:nvSpPr>
            <xdr:cNvPr id="47113" name="cmbBoxSub" hidden="1">
              <a:extLst>
                <a:ext uri="{63B3BB69-23CF-44E3-9099-C40C66FF867C}">
                  <a14:compatExt spid="_x0000_s47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1927860</xdr:colOff>
          <xdr:row>0</xdr:row>
          <xdr:rowOff>251460</xdr:rowOff>
        </xdr:from>
        <xdr:to>
          <xdr:col>1</xdr:col>
          <xdr:colOff>2948940</xdr:colOff>
          <xdr:row>1</xdr:row>
          <xdr:rowOff>243840</xdr:rowOff>
        </xdr:to>
        <xdr:sp macro="" textlink="">
          <xdr:nvSpPr>
            <xdr:cNvPr id="47114" name="cmdGetSub" hidden="1">
              <a:extLst>
                <a:ext uri="{63B3BB69-23CF-44E3-9099-C40C66FF867C}">
                  <a14:compatExt spid="_x0000_s47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594360</xdr:colOff>
          <xdr:row>2</xdr:row>
          <xdr:rowOff>38100</xdr:rowOff>
        </xdr:from>
        <xdr:to>
          <xdr:col>8</xdr:col>
          <xdr:colOff>304800</xdr:colOff>
          <xdr:row>4</xdr:row>
          <xdr:rowOff>0</xdr:rowOff>
        </xdr:to>
        <xdr:sp macro="" textlink="">
          <xdr:nvSpPr>
            <xdr:cNvPr id="72710" name="cmdReadSol" hidden="1">
              <a:extLst>
                <a:ext uri="{63B3BB69-23CF-44E3-9099-C40C66FF867C}">
                  <a14:compatExt spid="_x0000_s7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403860</xdr:colOff>
          <xdr:row>2</xdr:row>
          <xdr:rowOff>38100</xdr:rowOff>
        </xdr:from>
        <xdr:to>
          <xdr:col>10</xdr:col>
          <xdr:colOff>175260</xdr:colOff>
          <xdr:row>4</xdr:row>
          <xdr:rowOff>0</xdr:rowOff>
        </xdr:to>
        <xdr:sp macro="" textlink="">
          <xdr:nvSpPr>
            <xdr:cNvPr id="72711" name="cmdWriteSol" hidden="1">
              <a:extLst>
                <a:ext uri="{63B3BB69-23CF-44E3-9099-C40C66FF867C}">
                  <a14:compatExt spid="_x0000_s7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137160</xdr:rowOff>
        </xdr:from>
        <xdr:to>
          <xdr:col>3</xdr:col>
          <xdr:colOff>45720</xdr:colOff>
          <xdr:row>4</xdr:row>
          <xdr:rowOff>22860</xdr:rowOff>
        </xdr:to>
        <xdr:sp macro="" textlink="">
          <xdr:nvSpPr>
            <xdr:cNvPr id="72712" name="cmbBoxSol" hidden="1">
              <a:extLst>
                <a:ext uri="{63B3BB69-23CF-44E3-9099-C40C66FF867C}">
                  <a14:compatExt spid="_x0000_s7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xdr:colOff>
          <xdr:row>2</xdr:row>
          <xdr:rowOff>38100</xdr:rowOff>
        </xdr:from>
        <xdr:to>
          <xdr:col>6</xdr:col>
          <xdr:colOff>426720</xdr:colOff>
          <xdr:row>4</xdr:row>
          <xdr:rowOff>0</xdr:rowOff>
        </xdr:to>
        <xdr:sp macro="" textlink="">
          <xdr:nvSpPr>
            <xdr:cNvPr id="72713" name="cmdGetSol" hidden="1">
              <a:extLst>
                <a:ext uri="{63B3BB69-23CF-44E3-9099-C40C66FF867C}">
                  <a14:compatExt spid="_x0000_s7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403860</xdr:colOff>
          <xdr:row>2</xdr:row>
          <xdr:rowOff>38100</xdr:rowOff>
        </xdr:from>
        <xdr:to>
          <xdr:col>12</xdr:col>
          <xdr:colOff>190500</xdr:colOff>
          <xdr:row>4</xdr:row>
          <xdr:rowOff>0</xdr:rowOff>
        </xdr:to>
        <xdr:sp macro="" textlink="">
          <xdr:nvSpPr>
            <xdr:cNvPr id="72714" name="cmdRunSol" hidden="1">
              <a:extLst>
                <a:ext uri="{63B3BB69-23CF-44E3-9099-C40C66FF867C}">
                  <a14:compatExt spid="_x0000_s7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68580</xdr:rowOff>
        </xdr:from>
        <xdr:to>
          <xdr:col>2</xdr:col>
          <xdr:colOff>3878580</xdr:colOff>
          <xdr:row>1</xdr:row>
          <xdr:rowOff>129540</xdr:rowOff>
        </xdr:to>
        <xdr:sp macro="" textlink="">
          <xdr:nvSpPr>
            <xdr:cNvPr id="73729" name="cmdReadOpsc" hidden="1">
              <a:extLst>
                <a:ext uri="{63B3BB69-23CF-44E3-9099-C40C66FF867C}">
                  <a14:compatExt spid="_x0000_s73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3916680</xdr:colOff>
          <xdr:row>0</xdr:row>
          <xdr:rowOff>68580</xdr:rowOff>
        </xdr:from>
        <xdr:to>
          <xdr:col>2</xdr:col>
          <xdr:colOff>4937760</xdr:colOff>
          <xdr:row>1</xdr:row>
          <xdr:rowOff>129540</xdr:rowOff>
        </xdr:to>
        <xdr:sp macro="" textlink="">
          <xdr:nvSpPr>
            <xdr:cNvPr id="73730" name="cmdWriteOpsc" hidden="1">
              <a:extLst>
                <a:ext uri="{63B3BB69-23CF-44E3-9099-C40C66FF867C}">
                  <a14:compatExt spid="_x0000_s737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220980</xdr:rowOff>
        </xdr:from>
        <xdr:to>
          <xdr:col>9</xdr:col>
          <xdr:colOff>175260</xdr:colOff>
          <xdr:row>1</xdr:row>
          <xdr:rowOff>205740</xdr:rowOff>
        </xdr:to>
        <xdr:sp macro="" textlink="">
          <xdr:nvSpPr>
            <xdr:cNvPr id="81921" name="cmdWrite" hidden="1">
              <a:extLst>
                <a:ext uri="{63B3BB69-23CF-44E3-9099-C40C66FF867C}">
                  <a14:compatExt spid="_x0000_s819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518160</xdr:colOff>
          <xdr:row>0</xdr:row>
          <xdr:rowOff>220980</xdr:rowOff>
        </xdr:from>
        <xdr:to>
          <xdr:col>7</xdr:col>
          <xdr:colOff>320040</xdr:colOff>
          <xdr:row>1</xdr:row>
          <xdr:rowOff>205740</xdr:rowOff>
        </xdr:to>
        <xdr:sp macro="" textlink="">
          <xdr:nvSpPr>
            <xdr:cNvPr id="81922" name="cmdRead"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0</xdr:row>
          <xdr:rowOff>220980</xdr:rowOff>
        </xdr:from>
        <xdr:to>
          <xdr:col>11</xdr:col>
          <xdr:colOff>68580</xdr:colOff>
          <xdr:row>1</xdr:row>
          <xdr:rowOff>205740</xdr:rowOff>
        </xdr:to>
        <xdr:sp macro="" textlink="">
          <xdr:nvSpPr>
            <xdr:cNvPr id="81923" name="cmdRun" hidden="1">
              <a:extLst>
                <a:ext uri="{63B3BB69-23CF-44E3-9099-C40C66FF867C}">
                  <a14:compatExt spid="_x0000_s819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22860</xdr:rowOff>
        </xdr:from>
        <xdr:to>
          <xdr:col>3</xdr:col>
          <xdr:colOff>22860</xdr:colOff>
          <xdr:row>2</xdr:row>
          <xdr:rowOff>7620</xdr:rowOff>
        </xdr:to>
        <xdr:sp macro="" textlink="">
          <xdr:nvSpPr>
            <xdr:cNvPr id="81924" name="cmbBoxSit" hidden="1">
              <a:extLst>
                <a:ext uri="{63B3BB69-23CF-44E3-9099-C40C66FF867C}">
                  <a14:compatExt spid="_x0000_s819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601980</xdr:colOff>
          <xdr:row>0</xdr:row>
          <xdr:rowOff>220980</xdr:rowOff>
        </xdr:from>
        <xdr:to>
          <xdr:col>5</xdr:col>
          <xdr:colOff>403860</xdr:colOff>
          <xdr:row>1</xdr:row>
          <xdr:rowOff>205740</xdr:rowOff>
        </xdr:to>
        <xdr:sp macro="" textlink="">
          <xdr:nvSpPr>
            <xdr:cNvPr id="81925" name="cmdGetSit" hidden="1">
              <a:extLst>
                <a:ext uri="{63B3BB69-23CF-44E3-9099-C40C66FF867C}">
                  <a14:compatExt spid="_x0000_s819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comments" Target="../comments3.xml"/><Relationship Id="rId3" Type="http://schemas.openxmlformats.org/officeDocument/2006/relationships/control" Target="../activeX/activeX12.xml"/><Relationship Id="rId7" Type="http://schemas.openxmlformats.org/officeDocument/2006/relationships/control" Target="../activeX/activeX14.xml"/><Relationship Id="rId12" Type="http://schemas.openxmlformats.org/officeDocument/2006/relationships/image" Target="../media/image18.emf"/><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15.emf"/><Relationship Id="rId11" Type="http://schemas.openxmlformats.org/officeDocument/2006/relationships/control" Target="../activeX/activeX16.xml"/><Relationship Id="rId5" Type="http://schemas.openxmlformats.org/officeDocument/2006/relationships/control" Target="../activeX/activeX13.xml"/><Relationship Id="rId10" Type="http://schemas.openxmlformats.org/officeDocument/2006/relationships/image" Target="../media/image17.emf"/><Relationship Id="rId4" Type="http://schemas.openxmlformats.org/officeDocument/2006/relationships/image" Target="../media/image14.emf"/><Relationship Id="rId9" Type="http://schemas.openxmlformats.org/officeDocument/2006/relationships/control" Target="../activeX/activeX1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9.xml"/><Relationship Id="rId13" Type="http://schemas.openxmlformats.org/officeDocument/2006/relationships/image" Target="../media/image23.emf"/><Relationship Id="rId3" Type="http://schemas.openxmlformats.org/officeDocument/2006/relationships/vmlDrawing" Target="../drawings/vmlDrawing6.vml"/><Relationship Id="rId7" Type="http://schemas.openxmlformats.org/officeDocument/2006/relationships/image" Target="../media/image20.emf"/><Relationship Id="rId12" Type="http://schemas.openxmlformats.org/officeDocument/2006/relationships/control" Target="../activeX/activeX21.x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ontrol" Target="../activeX/activeX18.xml"/><Relationship Id="rId11" Type="http://schemas.openxmlformats.org/officeDocument/2006/relationships/image" Target="../media/image22.emf"/><Relationship Id="rId5" Type="http://schemas.openxmlformats.org/officeDocument/2006/relationships/image" Target="../media/image19.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21.emf"/><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comments" Target="../comments5.xml"/><Relationship Id="rId3" Type="http://schemas.openxmlformats.org/officeDocument/2006/relationships/control" Target="../activeX/activeX22.xml"/><Relationship Id="rId7" Type="http://schemas.openxmlformats.org/officeDocument/2006/relationships/control" Target="../activeX/activeX24.xml"/><Relationship Id="rId12" Type="http://schemas.openxmlformats.org/officeDocument/2006/relationships/image" Target="../media/image28.emf"/><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25.emf"/><Relationship Id="rId11" Type="http://schemas.openxmlformats.org/officeDocument/2006/relationships/control" Target="../activeX/activeX26.xml"/><Relationship Id="rId5" Type="http://schemas.openxmlformats.org/officeDocument/2006/relationships/control" Target="../activeX/activeX23.xml"/><Relationship Id="rId10" Type="http://schemas.openxmlformats.org/officeDocument/2006/relationships/image" Target="../media/image27.emf"/><Relationship Id="rId4" Type="http://schemas.openxmlformats.org/officeDocument/2006/relationships/image" Target="../media/image24.emf"/><Relationship Id="rId9" Type="http://schemas.openxmlformats.org/officeDocument/2006/relationships/control" Target="../activeX/activeX25.xml"/></Relationships>
</file>

<file path=xl/worksheets/_rels/sheet8.x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comments" Target="../comments6.xml"/><Relationship Id="rId3" Type="http://schemas.openxmlformats.org/officeDocument/2006/relationships/control" Target="../activeX/activeX27.xml"/><Relationship Id="rId7" Type="http://schemas.openxmlformats.org/officeDocument/2006/relationships/control" Target="../activeX/activeX29.xml"/><Relationship Id="rId12" Type="http://schemas.openxmlformats.org/officeDocument/2006/relationships/image" Target="../media/image33.emf"/><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0.emf"/><Relationship Id="rId11" Type="http://schemas.openxmlformats.org/officeDocument/2006/relationships/control" Target="../activeX/activeX31.xml"/><Relationship Id="rId5" Type="http://schemas.openxmlformats.org/officeDocument/2006/relationships/control" Target="../activeX/activeX28.xml"/><Relationship Id="rId10" Type="http://schemas.openxmlformats.org/officeDocument/2006/relationships/image" Target="../media/image32.emf"/><Relationship Id="rId4" Type="http://schemas.openxmlformats.org/officeDocument/2006/relationships/image" Target="../media/image29.emf"/><Relationship Id="rId9" Type="http://schemas.openxmlformats.org/officeDocument/2006/relationships/control" Target="../activeX/activeX30.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image" Target="../media/image38.emf"/><Relationship Id="rId3" Type="http://schemas.openxmlformats.org/officeDocument/2006/relationships/vmlDrawing" Target="../drawings/vmlDrawing9.vml"/><Relationship Id="rId7" Type="http://schemas.openxmlformats.org/officeDocument/2006/relationships/image" Target="../media/image35.emf"/><Relationship Id="rId12" Type="http://schemas.openxmlformats.org/officeDocument/2006/relationships/control" Target="../activeX/activeX36.xml"/><Relationship Id="rId2" Type="http://schemas.openxmlformats.org/officeDocument/2006/relationships/drawing" Target="../drawings/drawing9.xml"/><Relationship Id="rId1" Type="http://schemas.openxmlformats.org/officeDocument/2006/relationships/printerSettings" Target="../printerSettings/printerSettings4.bin"/><Relationship Id="rId6" Type="http://schemas.openxmlformats.org/officeDocument/2006/relationships/control" Target="../activeX/activeX33.xml"/><Relationship Id="rId11" Type="http://schemas.openxmlformats.org/officeDocument/2006/relationships/image" Target="../media/image37.emf"/><Relationship Id="rId5" Type="http://schemas.openxmlformats.org/officeDocument/2006/relationships/image" Target="../media/image34.emf"/><Relationship Id="rId10" Type="http://schemas.openxmlformats.org/officeDocument/2006/relationships/control" Target="../activeX/activeX35.xml"/><Relationship Id="rId4" Type="http://schemas.openxmlformats.org/officeDocument/2006/relationships/control" Target="../activeX/activeX32.xml"/><Relationship Id="rId9" Type="http://schemas.openxmlformats.org/officeDocument/2006/relationships/image" Target="../media/image36.emf"/><Relationship Id="rId1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control" Target="../activeX/activeX37.xml"/><Relationship Id="rId7" Type="http://schemas.openxmlformats.org/officeDocument/2006/relationships/control" Target="../activeX/activeX3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image" Target="../media/image40.emf"/><Relationship Id="rId5" Type="http://schemas.openxmlformats.org/officeDocument/2006/relationships/control" Target="../activeX/activeX38.xml"/><Relationship Id="rId4" Type="http://schemas.openxmlformats.org/officeDocument/2006/relationships/image" Target="../media/image39.emf"/><Relationship Id="rId9"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control" Target="../activeX/activeX40.xml"/><Relationship Id="rId7" Type="http://schemas.openxmlformats.org/officeDocument/2006/relationships/control" Target="../activeX/activeX42.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3.emf"/><Relationship Id="rId5" Type="http://schemas.openxmlformats.org/officeDocument/2006/relationships/control" Target="../activeX/activeX41.xml"/><Relationship Id="rId4" Type="http://schemas.openxmlformats.org/officeDocument/2006/relationships/image" Target="../media/image42.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9.emf"/><Relationship Id="rId3" Type="http://schemas.openxmlformats.org/officeDocument/2006/relationships/vmlDrawing" Target="../drawings/vmlDrawing12.vml"/><Relationship Id="rId7" Type="http://schemas.openxmlformats.org/officeDocument/2006/relationships/image" Target="../media/image46.emf"/><Relationship Id="rId12" Type="http://schemas.openxmlformats.org/officeDocument/2006/relationships/control" Target="../activeX/activeX47.x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ontrol" Target="../activeX/activeX44.xml"/><Relationship Id="rId11" Type="http://schemas.openxmlformats.org/officeDocument/2006/relationships/image" Target="../media/image48.emf"/><Relationship Id="rId5" Type="http://schemas.openxmlformats.org/officeDocument/2006/relationships/image" Target="../media/image45.emf"/><Relationship Id="rId10" Type="http://schemas.openxmlformats.org/officeDocument/2006/relationships/control" Target="../activeX/activeX46.xml"/><Relationship Id="rId4" Type="http://schemas.openxmlformats.org/officeDocument/2006/relationships/control" Target="../activeX/activeX43.xml"/><Relationship Id="rId9" Type="http://schemas.openxmlformats.org/officeDocument/2006/relationships/image" Target="../media/image47.emf"/><Relationship Id="rId1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48.xml"/><Relationship Id="rId7"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51.emf"/><Relationship Id="rId5" Type="http://schemas.openxmlformats.org/officeDocument/2006/relationships/control" Target="../activeX/activeX49.xml"/><Relationship Id="rId4" Type="http://schemas.openxmlformats.org/officeDocument/2006/relationships/image" Target="../media/image50.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50.xml"/><Relationship Id="rId7"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3.emf"/><Relationship Id="rId5" Type="http://schemas.openxmlformats.org/officeDocument/2006/relationships/control" Target="../activeX/activeX51.xml"/><Relationship Id="rId4" Type="http://schemas.openxmlformats.org/officeDocument/2006/relationships/image" Target="../media/image52.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52.xml"/><Relationship Id="rId7"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5.emf"/><Relationship Id="rId5" Type="http://schemas.openxmlformats.org/officeDocument/2006/relationships/control" Target="../activeX/activeX53.xml"/><Relationship Id="rId4" Type="http://schemas.openxmlformats.org/officeDocument/2006/relationships/image" Target="../media/image54.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60.emf"/><Relationship Id="rId3" Type="http://schemas.openxmlformats.org/officeDocument/2006/relationships/vmlDrawing" Target="../drawings/vmlDrawing16.vml"/><Relationship Id="rId7" Type="http://schemas.openxmlformats.org/officeDocument/2006/relationships/image" Target="../media/image57.emf"/><Relationship Id="rId12" Type="http://schemas.openxmlformats.org/officeDocument/2006/relationships/control" Target="../activeX/activeX58.x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image" Target="../media/image59.emf"/><Relationship Id="rId5" Type="http://schemas.openxmlformats.org/officeDocument/2006/relationships/image" Target="../media/image56.emf"/><Relationship Id="rId10" Type="http://schemas.openxmlformats.org/officeDocument/2006/relationships/control" Target="../activeX/activeX57.xml"/><Relationship Id="rId4" Type="http://schemas.openxmlformats.org/officeDocument/2006/relationships/control" Target="../activeX/activeX54.xml"/><Relationship Id="rId9" Type="http://schemas.openxmlformats.org/officeDocument/2006/relationships/image" Target="../media/image58.emf"/><Relationship Id="rId14"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5.emf"/><Relationship Id="rId3" Type="http://schemas.openxmlformats.org/officeDocument/2006/relationships/vmlDrawing" Target="../drawings/vmlDrawing17.vml"/><Relationship Id="rId7" Type="http://schemas.openxmlformats.org/officeDocument/2006/relationships/image" Target="../media/image62.emf"/><Relationship Id="rId12" Type="http://schemas.openxmlformats.org/officeDocument/2006/relationships/control" Target="../activeX/activeX63.xml"/><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60.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2.xml"/><Relationship Id="rId4" Type="http://schemas.openxmlformats.org/officeDocument/2006/relationships/control" Target="../activeX/activeX59.xml"/><Relationship Id="rId9" Type="http://schemas.openxmlformats.org/officeDocument/2006/relationships/image" Target="../media/image63.emf"/><Relationship Id="rId14"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64.xml"/><Relationship Id="rId7" Type="http://schemas.openxmlformats.org/officeDocument/2006/relationships/comments" Target="../comments1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67.emf"/><Relationship Id="rId5" Type="http://schemas.openxmlformats.org/officeDocument/2006/relationships/control" Target="../activeX/activeX65.xml"/><Relationship Id="rId4" Type="http://schemas.openxmlformats.org/officeDocument/2006/relationships/image" Target="../media/image66.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2.emf"/><Relationship Id="rId3" Type="http://schemas.openxmlformats.org/officeDocument/2006/relationships/vmlDrawing" Target="../drawings/vmlDrawing19.vml"/><Relationship Id="rId7" Type="http://schemas.openxmlformats.org/officeDocument/2006/relationships/image" Target="../media/image69.emf"/><Relationship Id="rId12" Type="http://schemas.openxmlformats.org/officeDocument/2006/relationships/control" Target="../activeX/activeX70.x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control" Target="../activeX/activeX67.xml"/><Relationship Id="rId11" Type="http://schemas.openxmlformats.org/officeDocument/2006/relationships/image" Target="../media/image71.emf"/><Relationship Id="rId5" Type="http://schemas.openxmlformats.org/officeDocument/2006/relationships/image" Target="../media/image68.emf"/><Relationship Id="rId10" Type="http://schemas.openxmlformats.org/officeDocument/2006/relationships/control" Target="../activeX/activeX69.xml"/><Relationship Id="rId4" Type="http://schemas.openxmlformats.org/officeDocument/2006/relationships/control" Target="../activeX/activeX66.xml"/><Relationship Id="rId9" Type="http://schemas.openxmlformats.org/officeDocument/2006/relationships/image" Target="../media/image70.emf"/><Relationship Id="rId14" Type="http://schemas.openxmlformats.org/officeDocument/2006/relationships/comments" Target="../comments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FV31"/>
  <sheetViews>
    <sheetView workbookViewId="0"/>
  </sheetViews>
  <sheetFormatPr defaultRowHeight="14.4" x14ac:dyDescent="0.3"/>
  <cols>
    <col min="1" max="1" width="2.6640625" customWidth="1"/>
    <col min="2" max="2" width="12.33203125" customWidth="1"/>
    <col min="3" max="3" width="27.5546875" customWidth="1"/>
  </cols>
  <sheetData>
    <row r="1" spans="1:854" x14ac:dyDescent="0.3">
      <c r="A1" s="6"/>
    </row>
    <row r="2" spans="1:854" s="55" customFormat="1" ht="28.95" customHeight="1" x14ac:dyDescent="0.3">
      <c r="A2"/>
      <c r="B2" s="52"/>
      <c r="C2" s="53"/>
      <c r="D2" s="139" t="s">
        <v>2141</v>
      </c>
      <c r="E2" s="72"/>
      <c r="F2" s="72"/>
      <c r="G2" s="72"/>
      <c r="H2" s="72"/>
      <c r="I2" s="53"/>
      <c r="J2" s="53"/>
      <c r="K2" s="53"/>
      <c r="L2" s="53"/>
      <c r="M2" s="73"/>
      <c r="N2" s="54"/>
      <c r="O2" s="54"/>
      <c r="P2" s="54"/>
      <c r="Q2" s="54"/>
      <c r="R2" s="54"/>
      <c r="S2" s="54"/>
      <c r="T2" s="54"/>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row>
    <row r="3" spans="1:854" s="58" customFormat="1" ht="15" customHeight="1" x14ac:dyDescent="0.35">
      <c r="A3"/>
      <c r="B3" s="56"/>
      <c r="C3" s="57"/>
      <c r="D3" s="140" t="s">
        <v>3877</v>
      </c>
      <c r="E3" s="74"/>
      <c r="F3" s="74"/>
      <c r="G3" s="74"/>
      <c r="H3" s="74"/>
      <c r="I3" s="57"/>
      <c r="J3" s="57"/>
      <c r="K3" s="57"/>
      <c r="L3" s="57"/>
      <c r="M3" s="75"/>
      <c r="N3" s="69"/>
      <c r="O3" s="69"/>
      <c r="P3" s="69"/>
      <c r="Q3" s="69"/>
      <c r="R3" s="69"/>
      <c r="S3" s="69"/>
      <c r="T3" s="69"/>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row>
    <row r="4" spans="1:854" s="55" customFormat="1" ht="15" customHeight="1" x14ac:dyDescent="0.35">
      <c r="A4"/>
      <c r="B4" s="56"/>
      <c r="C4" s="59"/>
      <c r="D4" s="60"/>
      <c r="E4" s="61" t="s">
        <v>1422</v>
      </c>
      <c r="F4" s="169">
        <v>42382</v>
      </c>
      <c r="G4" s="169"/>
      <c r="H4" s="169"/>
      <c r="I4" s="59"/>
      <c r="J4" s="59"/>
      <c r="K4" s="59"/>
      <c r="L4" s="59"/>
      <c r="M4" s="62"/>
      <c r="N4" s="54"/>
      <c r="O4" s="54"/>
      <c r="P4" s="54"/>
      <c r="Q4" s="54" t="s">
        <v>1838</v>
      </c>
      <c r="R4" s="54"/>
      <c r="S4" s="54"/>
      <c r="T4" s="5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row>
    <row r="5" spans="1:854" s="55" customFormat="1" ht="15" customHeight="1" x14ac:dyDescent="0.35">
      <c r="A5"/>
      <c r="B5" s="63"/>
      <c r="C5" s="64"/>
      <c r="D5" s="64"/>
      <c r="E5" s="65"/>
      <c r="F5" s="66"/>
      <c r="G5" s="66"/>
      <c r="H5" s="67"/>
      <c r="I5" s="64"/>
      <c r="J5" s="64"/>
      <c r="K5" s="64"/>
      <c r="L5" s="64"/>
      <c r="M5" s="68"/>
      <c r="N5" s="70"/>
      <c r="O5" s="70"/>
      <c r="P5" s="70"/>
      <c r="Q5" s="71"/>
      <c r="R5" s="54"/>
      <c r="S5" s="54"/>
      <c r="T5" s="54"/>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row>
    <row r="6" spans="1:854" x14ac:dyDescent="0.3">
      <c r="K6" s="54"/>
      <c r="L6" s="54"/>
      <c r="M6" s="54"/>
      <c r="N6" s="54"/>
      <c r="O6" s="54"/>
      <c r="P6" s="54"/>
      <c r="Q6" s="54"/>
      <c r="R6" s="54"/>
      <c r="S6" s="54"/>
      <c r="T6" s="54"/>
    </row>
    <row r="7" spans="1:854" x14ac:dyDescent="0.3">
      <c r="B7" s="1" t="s">
        <v>1508</v>
      </c>
    </row>
    <row r="9" spans="1:854" s="84" customFormat="1" ht="18" x14ac:dyDescent="0.35">
      <c r="B9" s="85" t="s">
        <v>1417</v>
      </c>
      <c r="C9" s="85" t="s">
        <v>1418</v>
      </c>
      <c r="D9" s="168" t="s">
        <v>1421</v>
      </c>
      <c r="E9" s="168"/>
      <c r="F9" s="168"/>
      <c r="G9" s="168"/>
      <c r="H9" s="168"/>
      <c r="I9" s="168"/>
      <c r="J9" s="168"/>
      <c r="K9" s="168"/>
      <c r="L9" s="168"/>
      <c r="M9" s="168"/>
      <c r="N9" s="168"/>
      <c r="O9" s="168"/>
      <c r="P9" s="168"/>
      <c r="Q9" s="168"/>
      <c r="R9" s="168"/>
      <c r="S9" s="168"/>
      <c r="T9" s="168"/>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row>
    <row r="10" spans="1:854" s="51" customFormat="1" ht="18" x14ac:dyDescent="0.35">
      <c r="B10" s="82" t="s">
        <v>1400</v>
      </c>
      <c r="C10" s="143" t="s">
        <v>1894</v>
      </c>
      <c r="D10" s="166" t="s">
        <v>1829</v>
      </c>
      <c r="E10" s="167"/>
      <c r="F10" s="167"/>
      <c r="G10" s="167"/>
      <c r="H10" s="167"/>
      <c r="I10" s="167"/>
      <c r="J10" s="167"/>
      <c r="K10" s="167"/>
      <c r="L10" s="167"/>
      <c r="M10" s="167"/>
      <c r="N10" s="167"/>
      <c r="O10" s="167"/>
      <c r="P10" s="167"/>
      <c r="Q10" s="167"/>
      <c r="R10" s="167"/>
      <c r="S10" s="167"/>
      <c r="T10" s="167"/>
    </row>
    <row r="11" spans="1:854" s="51" customFormat="1" ht="18" x14ac:dyDescent="0.35">
      <c r="B11" s="83" t="s">
        <v>1401</v>
      </c>
      <c r="C11" s="83" t="s">
        <v>1423</v>
      </c>
      <c r="D11" s="170" t="s">
        <v>28</v>
      </c>
      <c r="E11" s="170"/>
      <c r="F11" s="170"/>
      <c r="G11" s="170"/>
      <c r="H11" s="170"/>
      <c r="I11" s="170"/>
      <c r="J11" s="170"/>
      <c r="K11" s="170"/>
      <c r="L11" s="170"/>
      <c r="M11" s="170"/>
      <c r="N11" s="170"/>
      <c r="O11" s="170"/>
      <c r="P11" s="170"/>
      <c r="Q11" s="170"/>
      <c r="R11" s="170"/>
      <c r="S11" s="170"/>
      <c r="T11" s="170"/>
    </row>
    <row r="12" spans="1:854" s="51" customFormat="1" ht="18" x14ac:dyDescent="0.35">
      <c r="B12" s="82" t="s">
        <v>1402</v>
      </c>
      <c r="C12" s="82" t="s">
        <v>1424</v>
      </c>
      <c r="D12" s="167" t="s">
        <v>20</v>
      </c>
      <c r="E12" s="167"/>
      <c r="F12" s="167"/>
      <c r="G12" s="167"/>
      <c r="H12" s="167"/>
      <c r="I12" s="167"/>
      <c r="J12" s="167"/>
      <c r="K12" s="167"/>
      <c r="L12" s="167"/>
      <c r="M12" s="167"/>
      <c r="N12" s="167"/>
      <c r="O12" s="167"/>
      <c r="P12" s="167"/>
      <c r="Q12" s="167"/>
      <c r="R12" s="167"/>
      <c r="S12" s="167"/>
      <c r="T12" s="167"/>
    </row>
    <row r="13" spans="1:854" s="51" customFormat="1" ht="18" x14ac:dyDescent="0.35">
      <c r="B13" s="83" t="s">
        <v>1403</v>
      </c>
      <c r="C13" s="83" t="s">
        <v>1425</v>
      </c>
      <c r="D13" s="170" t="s">
        <v>21</v>
      </c>
      <c r="E13" s="170"/>
      <c r="F13" s="170"/>
      <c r="G13" s="170"/>
      <c r="H13" s="170"/>
      <c r="I13" s="170"/>
      <c r="J13" s="170"/>
      <c r="K13" s="170"/>
      <c r="L13" s="170"/>
      <c r="M13" s="170"/>
      <c r="N13" s="170"/>
      <c r="O13" s="170"/>
      <c r="P13" s="170"/>
      <c r="Q13" s="170"/>
      <c r="R13" s="170"/>
      <c r="S13" s="170"/>
      <c r="T13" s="170"/>
    </row>
    <row r="14" spans="1:854" s="51" customFormat="1" ht="18" x14ac:dyDescent="0.35">
      <c r="B14" s="82" t="s">
        <v>1404</v>
      </c>
      <c r="C14" s="136" t="s">
        <v>1827</v>
      </c>
      <c r="D14" s="167" t="s">
        <v>25</v>
      </c>
      <c r="E14" s="167"/>
      <c r="F14" s="167"/>
      <c r="G14" s="167"/>
      <c r="H14" s="167"/>
      <c r="I14" s="167"/>
      <c r="J14" s="167"/>
      <c r="K14" s="167"/>
      <c r="L14" s="167"/>
      <c r="M14" s="167"/>
      <c r="N14" s="167"/>
      <c r="O14" s="167"/>
      <c r="P14" s="167"/>
      <c r="Q14" s="167"/>
      <c r="R14" s="167"/>
      <c r="S14" s="167"/>
      <c r="T14" s="167"/>
    </row>
    <row r="15" spans="1:854" s="51" customFormat="1" ht="18" x14ac:dyDescent="0.35">
      <c r="B15" s="83" t="s">
        <v>1405</v>
      </c>
      <c r="C15" s="137" t="s">
        <v>1823</v>
      </c>
      <c r="D15" s="170" t="s">
        <v>24</v>
      </c>
      <c r="E15" s="170"/>
      <c r="F15" s="170"/>
      <c r="G15" s="170"/>
      <c r="H15" s="170"/>
      <c r="I15" s="170"/>
      <c r="J15" s="170"/>
      <c r="K15" s="170"/>
      <c r="L15" s="170"/>
      <c r="M15" s="170"/>
      <c r="N15" s="170"/>
      <c r="O15" s="170"/>
      <c r="P15" s="170"/>
      <c r="Q15" s="170"/>
      <c r="R15" s="170"/>
      <c r="S15" s="170"/>
      <c r="T15" s="170"/>
    </row>
    <row r="16" spans="1:854" s="51" customFormat="1" ht="18" x14ac:dyDescent="0.35">
      <c r="B16" s="82" t="s">
        <v>1406</v>
      </c>
      <c r="C16" s="136" t="s">
        <v>1824</v>
      </c>
      <c r="D16" s="167" t="s">
        <v>27</v>
      </c>
      <c r="E16" s="167"/>
      <c r="F16" s="167"/>
      <c r="G16" s="167"/>
      <c r="H16" s="167"/>
      <c r="I16" s="167"/>
      <c r="J16" s="167"/>
      <c r="K16" s="167"/>
      <c r="L16" s="167"/>
      <c r="M16" s="167"/>
      <c r="N16" s="167"/>
      <c r="O16" s="167"/>
      <c r="P16" s="167"/>
      <c r="Q16" s="167"/>
      <c r="R16" s="167"/>
      <c r="S16" s="167"/>
      <c r="T16" s="167"/>
    </row>
    <row r="17" spans="2:20" s="51" customFormat="1" ht="18" x14ac:dyDescent="0.35">
      <c r="B17" s="83" t="s">
        <v>1407</v>
      </c>
      <c r="C17" s="137" t="s">
        <v>1825</v>
      </c>
      <c r="D17" s="170" t="s">
        <v>26</v>
      </c>
      <c r="E17" s="170"/>
      <c r="F17" s="170"/>
      <c r="G17" s="170"/>
      <c r="H17" s="170"/>
      <c r="I17" s="170"/>
      <c r="J17" s="170"/>
      <c r="K17" s="170"/>
      <c r="L17" s="170"/>
      <c r="M17" s="170"/>
      <c r="N17" s="170"/>
      <c r="O17" s="170"/>
      <c r="P17" s="170"/>
      <c r="Q17" s="170"/>
      <c r="R17" s="170"/>
      <c r="S17" s="170"/>
      <c r="T17" s="170"/>
    </row>
    <row r="18" spans="2:20" s="51" customFormat="1" ht="18" x14ac:dyDescent="0.35">
      <c r="B18" s="82" t="s">
        <v>1408</v>
      </c>
      <c r="C18" s="136" t="s">
        <v>1826</v>
      </c>
      <c r="D18" s="167" t="s">
        <v>17</v>
      </c>
      <c r="E18" s="167"/>
      <c r="F18" s="167"/>
      <c r="G18" s="167"/>
      <c r="H18" s="167"/>
      <c r="I18" s="167"/>
      <c r="J18" s="167"/>
      <c r="K18" s="167"/>
      <c r="L18" s="167"/>
      <c r="M18" s="167"/>
      <c r="N18" s="167"/>
      <c r="O18" s="167"/>
      <c r="P18" s="167"/>
      <c r="Q18" s="167"/>
      <c r="R18" s="167"/>
      <c r="S18" s="167"/>
      <c r="T18" s="167"/>
    </row>
    <row r="19" spans="2:20" s="51" customFormat="1" ht="18" x14ac:dyDescent="0.35">
      <c r="B19" s="83" t="s">
        <v>1409</v>
      </c>
      <c r="C19" s="83" t="s">
        <v>1426</v>
      </c>
      <c r="D19" s="170" t="s">
        <v>18</v>
      </c>
      <c r="E19" s="170"/>
      <c r="F19" s="170"/>
      <c r="G19" s="170"/>
      <c r="H19" s="170"/>
      <c r="I19" s="170"/>
      <c r="J19" s="170"/>
      <c r="K19" s="170"/>
      <c r="L19" s="170"/>
      <c r="M19" s="170"/>
      <c r="N19" s="170"/>
      <c r="O19" s="170"/>
      <c r="P19" s="170"/>
      <c r="Q19" s="170"/>
      <c r="R19" s="170"/>
      <c r="S19" s="170"/>
      <c r="T19" s="170"/>
    </row>
    <row r="20" spans="2:20" s="51" customFormat="1" ht="18" x14ac:dyDescent="0.35">
      <c r="B20" s="82" t="s">
        <v>1410</v>
      </c>
      <c r="C20" s="82" t="s">
        <v>1427</v>
      </c>
      <c r="D20" s="166" t="s">
        <v>1830</v>
      </c>
      <c r="E20" s="167"/>
      <c r="F20" s="167"/>
      <c r="G20" s="167"/>
      <c r="H20" s="167"/>
      <c r="I20" s="167"/>
      <c r="J20" s="167"/>
      <c r="K20" s="167"/>
      <c r="L20" s="167"/>
      <c r="M20" s="167"/>
      <c r="N20" s="167"/>
      <c r="O20" s="167"/>
      <c r="P20" s="167"/>
      <c r="Q20" s="167"/>
      <c r="R20" s="167"/>
      <c r="S20" s="167"/>
      <c r="T20" s="167"/>
    </row>
    <row r="21" spans="2:20" s="51" customFormat="1" ht="18" x14ac:dyDescent="0.35">
      <c r="B21" s="83" t="s">
        <v>1411</v>
      </c>
      <c r="C21" s="83" t="s">
        <v>1428</v>
      </c>
      <c r="D21" s="170" t="s">
        <v>19</v>
      </c>
      <c r="E21" s="170"/>
      <c r="F21" s="170"/>
      <c r="G21" s="170"/>
      <c r="H21" s="170"/>
      <c r="I21" s="170"/>
      <c r="J21" s="170"/>
      <c r="K21" s="170"/>
      <c r="L21" s="170"/>
      <c r="M21" s="170"/>
      <c r="N21" s="170"/>
      <c r="O21" s="170"/>
      <c r="P21" s="170"/>
      <c r="Q21" s="170"/>
      <c r="R21" s="170"/>
      <c r="S21" s="170"/>
      <c r="T21" s="170"/>
    </row>
    <row r="22" spans="2:20" s="51" customFormat="1" ht="18" x14ac:dyDescent="0.35">
      <c r="B22" s="82" t="s">
        <v>1412</v>
      </c>
      <c r="C22" s="82" t="s">
        <v>1429</v>
      </c>
      <c r="D22" s="166" t="s">
        <v>1828</v>
      </c>
      <c r="E22" s="167"/>
      <c r="F22" s="167"/>
      <c r="G22" s="167"/>
      <c r="H22" s="167"/>
      <c r="I22" s="167"/>
      <c r="J22" s="167"/>
      <c r="K22" s="167"/>
      <c r="L22" s="167"/>
      <c r="M22" s="167"/>
      <c r="N22" s="167"/>
      <c r="O22" s="167"/>
      <c r="P22" s="167"/>
      <c r="Q22" s="167"/>
      <c r="R22" s="167"/>
      <c r="S22" s="167"/>
      <c r="T22" s="167"/>
    </row>
    <row r="23" spans="2:20" s="51" customFormat="1" ht="18" x14ac:dyDescent="0.35">
      <c r="B23" s="83" t="s">
        <v>1413</v>
      </c>
      <c r="C23" s="83" t="s">
        <v>1430</v>
      </c>
      <c r="D23" s="170" t="s">
        <v>1419</v>
      </c>
      <c r="E23" s="170"/>
      <c r="F23" s="170"/>
      <c r="G23" s="170"/>
      <c r="H23" s="170"/>
      <c r="I23" s="170"/>
      <c r="J23" s="170"/>
      <c r="K23" s="170"/>
      <c r="L23" s="170"/>
      <c r="M23" s="170"/>
      <c r="N23" s="170"/>
      <c r="O23" s="170"/>
      <c r="P23" s="170"/>
      <c r="Q23" s="170"/>
      <c r="R23" s="170"/>
      <c r="S23" s="170"/>
      <c r="T23" s="170"/>
    </row>
    <row r="24" spans="2:20" s="51" customFormat="1" ht="18" x14ac:dyDescent="0.35">
      <c r="B24" s="82" t="s">
        <v>1414</v>
      </c>
      <c r="C24" s="82" t="s">
        <v>1431</v>
      </c>
      <c r="D24" s="167" t="s">
        <v>1420</v>
      </c>
      <c r="E24" s="167"/>
      <c r="F24" s="167"/>
      <c r="G24" s="167"/>
      <c r="H24" s="167"/>
      <c r="I24" s="167"/>
      <c r="J24" s="167"/>
      <c r="K24" s="167"/>
      <c r="L24" s="167"/>
      <c r="M24" s="167"/>
      <c r="N24" s="167"/>
      <c r="O24" s="167"/>
      <c r="P24" s="167"/>
      <c r="Q24" s="167"/>
      <c r="R24" s="167"/>
      <c r="S24" s="167"/>
      <c r="T24" s="167"/>
    </row>
    <row r="25" spans="2:20" s="51" customFormat="1" ht="18" x14ac:dyDescent="0.35">
      <c r="B25" s="83" t="s">
        <v>1415</v>
      </c>
      <c r="C25" s="83" t="s">
        <v>1432</v>
      </c>
      <c r="D25" s="170" t="s">
        <v>22</v>
      </c>
      <c r="E25" s="170"/>
      <c r="F25" s="170"/>
      <c r="G25" s="170"/>
      <c r="H25" s="170"/>
      <c r="I25" s="170"/>
      <c r="J25" s="170"/>
      <c r="K25" s="170"/>
      <c r="L25" s="170"/>
      <c r="M25" s="170"/>
      <c r="N25" s="170"/>
      <c r="O25" s="170"/>
      <c r="P25" s="170"/>
      <c r="Q25" s="170"/>
      <c r="R25" s="170"/>
      <c r="S25" s="170"/>
      <c r="T25" s="170"/>
    </row>
    <row r="26" spans="2:20" s="51" customFormat="1" ht="18" x14ac:dyDescent="0.35">
      <c r="B26" s="82" t="s">
        <v>1416</v>
      </c>
      <c r="C26" s="82" t="s">
        <v>1433</v>
      </c>
      <c r="D26" s="167" t="s">
        <v>23</v>
      </c>
      <c r="E26" s="167"/>
      <c r="F26" s="167"/>
      <c r="G26" s="167"/>
      <c r="H26" s="167"/>
      <c r="I26" s="167"/>
      <c r="J26" s="167"/>
      <c r="K26" s="167"/>
      <c r="L26" s="167"/>
      <c r="M26" s="167"/>
      <c r="N26" s="167"/>
      <c r="O26" s="167"/>
      <c r="P26" s="167"/>
      <c r="Q26" s="167"/>
      <c r="R26" s="167"/>
      <c r="S26" s="167"/>
      <c r="T26" s="167"/>
    </row>
    <row r="27" spans="2:20" ht="15.6" x14ac:dyDescent="0.3">
      <c r="B27" s="90" t="s">
        <v>1435</v>
      </c>
      <c r="C27" s="90" t="s">
        <v>1436</v>
      </c>
      <c r="D27" s="171" t="s">
        <v>1437</v>
      </c>
      <c r="E27" s="170"/>
      <c r="F27" s="170"/>
      <c r="G27" s="170"/>
      <c r="H27" s="170"/>
      <c r="I27" s="170"/>
      <c r="J27" s="170"/>
      <c r="K27" s="170"/>
      <c r="L27" s="170"/>
      <c r="M27" s="170"/>
      <c r="N27" s="170"/>
      <c r="O27" s="170"/>
      <c r="P27" s="170"/>
      <c r="Q27" s="170"/>
      <c r="R27" s="170"/>
      <c r="S27" s="170"/>
      <c r="T27" s="170"/>
    </row>
    <row r="28" spans="2:20" s="51" customFormat="1" ht="18" x14ac:dyDescent="0.35">
      <c r="B28" s="136" t="s">
        <v>1820</v>
      </c>
      <c r="C28" s="136" t="s">
        <v>1821</v>
      </c>
      <c r="D28" s="166" t="s">
        <v>1822</v>
      </c>
      <c r="E28" s="167"/>
      <c r="F28" s="167"/>
      <c r="G28" s="167"/>
      <c r="H28" s="167"/>
      <c r="I28" s="167"/>
      <c r="J28" s="167"/>
      <c r="K28" s="167"/>
      <c r="L28" s="167"/>
      <c r="M28" s="167"/>
      <c r="N28" s="167"/>
      <c r="O28" s="167"/>
      <c r="P28" s="167"/>
      <c r="Q28" s="167"/>
      <c r="R28" s="167"/>
      <c r="S28" s="167"/>
      <c r="T28" s="167"/>
    </row>
    <row r="30" spans="2:20" x14ac:dyDescent="0.3">
      <c r="B30" s="50" t="s">
        <v>1395</v>
      </c>
      <c r="C30" s="6" t="s">
        <v>1396</v>
      </c>
      <c r="D30" t="s">
        <v>1399</v>
      </c>
    </row>
    <row r="31" spans="2:20" x14ac:dyDescent="0.3">
      <c r="C31" s="6" t="s">
        <v>1397</v>
      </c>
      <c r="D31" t="s">
        <v>1398</v>
      </c>
    </row>
  </sheetData>
  <mergeCells count="21">
    <mergeCell ref="D28:T28"/>
    <mergeCell ref="D27:T27"/>
    <mergeCell ref="D23:T23"/>
    <mergeCell ref="D24:T24"/>
    <mergeCell ref="D25:T25"/>
    <mergeCell ref="D26:T26"/>
    <mergeCell ref="D10:T10"/>
    <mergeCell ref="D9:T9"/>
    <mergeCell ref="F4:H4"/>
    <mergeCell ref="D21:T21"/>
    <mergeCell ref="D22:T22"/>
    <mergeCell ref="D11:T11"/>
    <mergeCell ref="D14:T14"/>
    <mergeCell ref="D12:T12"/>
    <mergeCell ref="D13:T13"/>
    <mergeCell ref="D15:T15"/>
    <mergeCell ref="D16:T16"/>
    <mergeCell ref="D17:T17"/>
    <mergeCell ref="D18:T18"/>
    <mergeCell ref="D19:T19"/>
    <mergeCell ref="D20:T20"/>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41"/>
  <sheetViews>
    <sheetView workbookViewId="0">
      <pane ySplit="4" topLeftCell="A5" activePane="bottomLeft" state="frozen"/>
      <selection pane="bottomLeft"/>
    </sheetView>
  </sheetViews>
  <sheetFormatPr defaultRowHeight="14.4" x14ac:dyDescent="0.3"/>
  <cols>
    <col min="2" max="2" width="15.5546875" bestFit="1" customWidth="1"/>
    <col min="3" max="3" width="27.5546875" customWidth="1"/>
  </cols>
  <sheetData>
    <row r="1" spans="1:6" ht="21" x14ac:dyDescent="0.3">
      <c r="A1" s="125" t="s">
        <v>1831</v>
      </c>
    </row>
    <row r="2" spans="1:6" x14ac:dyDescent="0.3">
      <c r="A2" s="3"/>
      <c r="F2" s="2"/>
    </row>
    <row r="3" spans="1:6" x14ac:dyDescent="0.3">
      <c r="A3" s="3"/>
      <c r="F3" s="2"/>
    </row>
    <row r="4" spans="1:6" s="8" customFormat="1" x14ac:dyDescent="0.3">
      <c r="A4" s="76" t="s">
        <v>1084</v>
      </c>
      <c r="B4" s="76" t="s">
        <v>1085</v>
      </c>
      <c r="C4" s="76" t="s">
        <v>16</v>
      </c>
      <c r="F4" s="78"/>
    </row>
    <row r="5" spans="1:6" x14ac:dyDescent="0.3">
      <c r="A5" t="s">
        <v>0</v>
      </c>
      <c r="B5" s="4" t="s">
        <v>2142</v>
      </c>
      <c r="C5" t="s">
        <v>1976</v>
      </c>
    </row>
    <row r="6" spans="1:6" x14ac:dyDescent="0.3">
      <c r="A6" t="s">
        <v>1</v>
      </c>
      <c r="B6" s="4" t="s">
        <v>2143</v>
      </c>
      <c r="C6" t="s">
        <v>1977</v>
      </c>
    </row>
    <row r="7" spans="1:6" x14ac:dyDescent="0.3">
      <c r="A7" t="s">
        <v>2</v>
      </c>
      <c r="B7" s="4" t="s">
        <v>2144</v>
      </c>
      <c r="C7" t="s">
        <v>1978</v>
      </c>
    </row>
    <row r="8" spans="1:6" x14ac:dyDescent="0.3">
      <c r="A8" t="s">
        <v>3</v>
      </c>
      <c r="B8" s="4" t="s">
        <v>2145</v>
      </c>
      <c r="C8" t="s">
        <v>1979</v>
      </c>
    </row>
    <row r="9" spans="1:6" x14ac:dyDescent="0.3">
      <c r="A9" t="s">
        <v>4</v>
      </c>
      <c r="B9" s="4" t="s">
        <v>2146</v>
      </c>
      <c r="C9" t="s">
        <v>1980</v>
      </c>
    </row>
    <row r="10" spans="1:6" x14ac:dyDescent="0.3">
      <c r="A10" t="s">
        <v>5</v>
      </c>
      <c r="B10" s="4" t="s">
        <v>2147</v>
      </c>
      <c r="C10" t="s">
        <v>1981</v>
      </c>
    </row>
    <row r="11" spans="1:6" x14ac:dyDescent="0.3">
      <c r="A11" t="s">
        <v>6</v>
      </c>
      <c r="B11" s="4" t="s">
        <v>2148</v>
      </c>
      <c r="C11" t="s">
        <v>1982</v>
      </c>
    </row>
    <row r="12" spans="1:6" x14ac:dyDescent="0.3">
      <c r="A12" t="s">
        <v>7</v>
      </c>
      <c r="B12" s="4" t="s">
        <v>2149</v>
      </c>
      <c r="C12" t="s">
        <v>1983</v>
      </c>
    </row>
    <row r="13" spans="1:6" x14ac:dyDescent="0.3">
      <c r="A13" t="s">
        <v>8</v>
      </c>
      <c r="B13" s="4" t="s">
        <v>2150</v>
      </c>
      <c r="C13" t="s">
        <v>1984</v>
      </c>
    </row>
    <row r="14" spans="1:6" x14ac:dyDescent="0.3">
      <c r="A14" t="s">
        <v>9</v>
      </c>
      <c r="B14" s="4" t="s">
        <v>2151</v>
      </c>
      <c r="C14" t="s">
        <v>1985</v>
      </c>
    </row>
    <row r="15" spans="1:6" x14ac:dyDescent="0.3">
      <c r="A15" t="s">
        <v>10</v>
      </c>
      <c r="B15" s="4" t="s">
        <v>2152</v>
      </c>
      <c r="C15" t="s">
        <v>1986</v>
      </c>
    </row>
    <row r="16" spans="1:6" x14ac:dyDescent="0.3">
      <c r="A16" t="s">
        <v>11</v>
      </c>
      <c r="B16" s="4" t="s">
        <v>2153</v>
      </c>
      <c r="C16" t="s">
        <v>1987</v>
      </c>
    </row>
    <row r="17" spans="1:3" x14ac:dyDescent="0.3">
      <c r="A17" t="s">
        <v>12</v>
      </c>
      <c r="B17" s="4" t="s">
        <v>2154</v>
      </c>
      <c r="C17" t="s">
        <v>1988</v>
      </c>
    </row>
    <row r="18" spans="1:3" x14ac:dyDescent="0.3">
      <c r="A18" t="s">
        <v>13</v>
      </c>
      <c r="B18" s="4" t="s">
        <v>2521</v>
      </c>
      <c r="C18" t="s">
        <v>1989</v>
      </c>
    </row>
    <row r="19" spans="1:3" x14ac:dyDescent="0.3">
      <c r="A19" t="s">
        <v>14</v>
      </c>
      <c r="B19" s="4" t="s">
        <v>2155</v>
      </c>
      <c r="C19" t="s">
        <v>1990</v>
      </c>
    </row>
    <row r="20" spans="1:3" x14ac:dyDescent="0.3">
      <c r="A20" t="s">
        <v>2156</v>
      </c>
      <c r="B20" s="4" t="s">
        <v>2157</v>
      </c>
      <c r="C20" t="s">
        <v>1991</v>
      </c>
    </row>
    <row r="21" spans="1:3" x14ac:dyDescent="0.3">
      <c r="A21" t="s">
        <v>2158</v>
      </c>
      <c r="B21" s="4" t="s">
        <v>2522</v>
      </c>
      <c r="C21" t="s">
        <v>1992</v>
      </c>
    </row>
    <row r="22" spans="1:3" x14ac:dyDescent="0.3">
      <c r="A22" t="s">
        <v>2159</v>
      </c>
      <c r="B22" s="4" t="s">
        <v>15</v>
      </c>
      <c r="C22" t="s">
        <v>1993</v>
      </c>
    </row>
    <row r="24" spans="1:3" x14ac:dyDescent="0.3">
      <c r="C24" s="10"/>
    </row>
    <row r="25" spans="1:3" x14ac:dyDescent="0.3">
      <c r="C25" s="10"/>
    </row>
    <row r="26" spans="1:3" x14ac:dyDescent="0.3">
      <c r="C26" s="10"/>
    </row>
    <row r="27" spans="1:3" x14ac:dyDescent="0.3">
      <c r="C27" s="10"/>
    </row>
    <row r="28" spans="1:3" x14ac:dyDescent="0.3">
      <c r="C28" s="10"/>
    </row>
    <row r="29" spans="1:3" x14ac:dyDescent="0.3">
      <c r="C29" s="10"/>
    </row>
    <row r="30" spans="1:3" x14ac:dyDescent="0.3">
      <c r="C30" s="10"/>
    </row>
    <row r="31" spans="1:3" x14ac:dyDescent="0.3">
      <c r="C31" s="10"/>
    </row>
    <row r="32" spans="1:3" x14ac:dyDescent="0.3">
      <c r="C32" s="10"/>
    </row>
    <row r="33" spans="3:3" x14ac:dyDescent="0.3">
      <c r="C33" s="10"/>
    </row>
    <row r="34" spans="3:3" x14ac:dyDescent="0.3">
      <c r="C34" s="10"/>
    </row>
    <row r="35" spans="3:3" x14ac:dyDescent="0.3">
      <c r="C35" s="10"/>
    </row>
    <row r="36" spans="3:3" x14ac:dyDescent="0.3">
      <c r="C36" s="10"/>
    </row>
    <row r="37" spans="3:3" x14ac:dyDescent="0.3">
      <c r="C37" s="10"/>
    </row>
    <row r="38" spans="3:3" x14ac:dyDescent="0.3">
      <c r="C38" s="10"/>
    </row>
    <row r="39" spans="3:3" x14ac:dyDescent="0.3">
      <c r="C39" s="10"/>
    </row>
    <row r="40" spans="3:3" x14ac:dyDescent="0.3">
      <c r="C40" s="10"/>
    </row>
    <row r="41" spans="3:3" x14ac:dyDescent="0.3">
      <c r="C41" s="10"/>
    </row>
  </sheetData>
  <pageMargins left="0.7" right="0.7" top="0.75" bottom="0.75" header="0.3" footer="0.3"/>
  <drawing r:id="rId1"/>
  <legacyDrawing r:id="rId2"/>
  <controls>
    <mc:AlternateContent xmlns:mc="http://schemas.openxmlformats.org/markup-compatibility/2006">
      <mc:Choice Requires="x14">
        <control shapeId="34819" r:id="rId3" name="cmdRun">
          <controlPr defaultSize="0" autoLine="0" r:id="rId4">
            <anchor moveWithCells="1">
              <from>
                <xdr:col>6</xdr:col>
                <xdr:colOff>525780</xdr:colOff>
                <xdr:row>0</xdr:row>
                <xdr:rowOff>68580</xdr:rowOff>
              </from>
              <to>
                <xdr:col>8</xdr:col>
                <xdr:colOff>320040</xdr:colOff>
                <xdr:row>1</xdr:row>
                <xdr:rowOff>129540</xdr:rowOff>
              </to>
            </anchor>
          </controlPr>
        </control>
      </mc:Choice>
      <mc:Fallback>
        <control shapeId="34819" r:id="rId3" name="cmdRun"/>
      </mc:Fallback>
    </mc:AlternateContent>
    <mc:AlternateContent xmlns:mc="http://schemas.openxmlformats.org/markup-compatibility/2006">
      <mc:Choice Requires="x14">
        <control shapeId="34818" r:id="rId5" name="cmdWriteFil">
          <controlPr defaultSize="0" autoLine="0" r:id="rId6">
            <anchor moveWithCells="1">
              <from>
                <xdr:col>4</xdr:col>
                <xdr:colOff>525780</xdr:colOff>
                <xdr:row>0</xdr:row>
                <xdr:rowOff>68580</xdr:rowOff>
              </from>
              <to>
                <xdr:col>6</xdr:col>
                <xdr:colOff>327660</xdr:colOff>
                <xdr:row>1</xdr:row>
                <xdr:rowOff>129540</xdr:rowOff>
              </to>
            </anchor>
          </controlPr>
        </control>
      </mc:Choice>
      <mc:Fallback>
        <control shapeId="34818" r:id="rId5" name="cmdWriteFil"/>
      </mc:Fallback>
    </mc:AlternateContent>
    <mc:AlternateContent xmlns:mc="http://schemas.openxmlformats.org/markup-compatibility/2006">
      <mc:Choice Requires="x14">
        <control shapeId="34817" r:id="rId7" name="cmdReadFil">
          <controlPr defaultSize="0" autoLine="0" r:id="rId8">
            <anchor moveWithCells="1">
              <from>
                <xdr:col>3</xdr:col>
                <xdr:colOff>76200</xdr:colOff>
                <xdr:row>0</xdr:row>
                <xdr:rowOff>68580</xdr:rowOff>
              </from>
              <to>
                <xdr:col>4</xdr:col>
                <xdr:colOff>487680</xdr:colOff>
                <xdr:row>1</xdr:row>
                <xdr:rowOff>129540</xdr:rowOff>
              </to>
            </anchor>
          </controlPr>
        </control>
      </mc:Choice>
      <mc:Fallback>
        <control shapeId="34817" r:id="rId7" name="cmdReadFi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21"/>
  <sheetViews>
    <sheetView workbookViewId="0">
      <pane ySplit="4" topLeftCell="A5" activePane="bottomLeft" state="frozen"/>
      <selection pane="bottomLeft" activeCell="F20" sqref="F20"/>
    </sheetView>
  </sheetViews>
  <sheetFormatPr defaultRowHeight="14.4" x14ac:dyDescent="0.3"/>
  <cols>
    <col min="1" max="1" width="9.109375" style="6"/>
    <col min="3" max="3" width="9.5546875" style="4" bestFit="1" customWidth="1"/>
  </cols>
  <sheetData>
    <row r="1" spans="1:12" ht="21" x14ac:dyDescent="0.3">
      <c r="A1" s="125" t="s">
        <v>1461</v>
      </c>
    </row>
    <row r="2" spans="1:12" x14ac:dyDescent="0.3">
      <c r="A2" s="3"/>
    </row>
    <row r="3" spans="1:12" x14ac:dyDescent="0.3">
      <c r="A3"/>
    </row>
    <row r="4" spans="1:12" s="8" customFormat="1" x14ac:dyDescent="0.3">
      <c r="A4" s="76" t="s">
        <v>29</v>
      </c>
      <c r="B4" s="76" t="s">
        <v>30</v>
      </c>
      <c r="C4" s="77"/>
      <c r="D4" s="172" t="s">
        <v>16</v>
      </c>
      <c r="E4" s="172"/>
    </row>
    <row r="5" spans="1:12" x14ac:dyDescent="0.3">
      <c r="A5" s="6">
        <v>1</v>
      </c>
      <c r="B5" t="s">
        <v>31</v>
      </c>
      <c r="C5" s="4" t="s">
        <v>2523</v>
      </c>
      <c r="D5" t="s">
        <v>1994</v>
      </c>
      <c r="L5" s="4"/>
    </row>
    <row r="6" spans="1:12" x14ac:dyDescent="0.3">
      <c r="A6" s="6">
        <v>2</v>
      </c>
      <c r="B6" t="s">
        <v>32</v>
      </c>
      <c r="C6" s="4">
        <v>1</v>
      </c>
      <c r="D6" t="s">
        <v>1995</v>
      </c>
      <c r="L6" s="4"/>
    </row>
    <row r="7" spans="1:12" x14ac:dyDescent="0.3">
      <c r="A7" s="6">
        <v>3</v>
      </c>
      <c r="B7" t="s">
        <v>33</v>
      </c>
      <c r="C7" s="4">
        <v>110</v>
      </c>
      <c r="D7" t="s">
        <v>1996</v>
      </c>
      <c r="L7" s="4"/>
    </row>
    <row r="8" spans="1:12" x14ac:dyDescent="0.3">
      <c r="A8" s="6">
        <v>4</v>
      </c>
      <c r="B8" t="s">
        <v>34</v>
      </c>
      <c r="C8" s="4">
        <v>28</v>
      </c>
      <c r="D8" t="s">
        <v>1997</v>
      </c>
      <c r="L8" s="4"/>
    </row>
    <row r="9" spans="1:12" x14ac:dyDescent="0.3">
      <c r="A9" s="6">
        <v>5</v>
      </c>
      <c r="B9" t="s">
        <v>35</v>
      </c>
      <c r="C9" s="4">
        <v>1</v>
      </c>
      <c r="D9" t="s">
        <v>1998</v>
      </c>
      <c r="L9" s="4"/>
    </row>
    <row r="10" spans="1:12" x14ac:dyDescent="0.3">
      <c r="A10" s="6">
        <v>6</v>
      </c>
      <c r="B10" t="s">
        <v>36</v>
      </c>
      <c r="C10" s="4">
        <v>0</v>
      </c>
      <c r="D10" t="s">
        <v>1999</v>
      </c>
      <c r="L10" s="4"/>
    </row>
    <row r="11" spans="1:12" x14ac:dyDescent="0.3">
      <c r="A11" s="6">
        <v>7</v>
      </c>
      <c r="B11" t="s">
        <v>37</v>
      </c>
      <c r="C11" s="4">
        <v>0</v>
      </c>
      <c r="D11" t="s">
        <v>2000</v>
      </c>
      <c r="L11" s="4"/>
    </row>
    <row r="14" spans="1:12" x14ac:dyDescent="0.3">
      <c r="D14" s="4"/>
    </row>
    <row r="15" spans="1:12" x14ac:dyDescent="0.3">
      <c r="D15" s="4"/>
      <c r="G15" s="4"/>
    </row>
    <row r="16" spans="1:12" x14ac:dyDescent="0.3">
      <c r="D16" s="4"/>
      <c r="G16" s="4"/>
    </row>
    <row r="17" spans="4:7" x14ac:dyDescent="0.3">
      <c r="D17" s="4"/>
      <c r="G17" s="4"/>
    </row>
    <row r="18" spans="4:7" x14ac:dyDescent="0.3">
      <c r="D18" s="4"/>
      <c r="G18" s="4"/>
    </row>
    <row r="19" spans="4:7" x14ac:dyDescent="0.3">
      <c r="D19" s="4"/>
      <c r="G19" s="4"/>
    </row>
    <row r="20" spans="4:7" x14ac:dyDescent="0.3">
      <c r="D20" s="4"/>
      <c r="G20" s="4"/>
    </row>
    <row r="21" spans="4:7" x14ac:dyDescent="0.3">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101" r:id="rId3" name="cmdRun">
          <controlPr defaultSize="0" autoLine="0" r:id="rId4">
            <anchor moveWithCells="1">
              <from>
                <xdr:col>9</xdr:col>
                <xdr:colOff>457200</xdr:colOff>
                <xdr:row>0</xdr:row>
                <xdr:rowOff>76200</xdr:rowOff>
              </from>
              <to>
                <xdr:col>11</xdr:col>
                <xdr:colOff>251460</xdr:colOff>
                <xdr:row>1</xdr:row>
                <xdr:rowOff>137160</xdr:rowOff>
              </to>
            </anchor>
          </controlPr>
        </control>
      </mc:Choice>
      <mc:Fallback>
        <control shapeId="4101" r:id="rId3" name="cm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297180</xdr:colOff>
                <xdr:row>1</xdr:row>
                <xdr:rowOff>137160</xdr:rowOff>
              </to>
            </anchor>
          </controlPr>
        </control>
      </mc:Choice>
      <mc:Fallback>
        <control shapeId="4098" r:id="rId5" name="cmdWriteRun"/>
      </mc:Fallback>
    </mc:AlternateContent>
    <mc:AlternateContent xmlns:mc="http://schemas.openxmlformats.org/markup-compatibility/2006">
      <mc:Choice Requires="x14">
        <control shapeId="4097" r:id="rId7" name="cmdReadRun">
          <controlPr defaultSize="0" autoLine="0" r:id="rId8">
            <anchor moveWithCells="1">
              <from>
                <xdr:col>6</xdr:col>
                <xdr:colOff>38100</xdr:colOff>
                <xdr:row>0</xdr:row>
                <xdr:rowOff>76200</xdr:rowOff>
              </from>
              <to>
                <xdr:col>7</xdr:col>
                <xdr:colOff>449580</xdr:colOff>
                <xdr:row>1</xdr:row>
                <xdr:rowOff>137160</xdr:rowOff>
              </to>
            </anchor>
          </controlPr>
        </control>
      </mc:Choice>
      <mc:Fallback>
        <control shapeId="4097" r:id="rId7" name="cmdRea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W220"/>
  <sheetViews>
    <sheetView tabSelected="1" zoomScaleNormal="100" workbookViewId="0">
      <selection activeCell="J9" sqref="J9"/>
    </sheetView>
  </sheetViews>
  <sheetFormatPr defaultRowHeight="14.4" x14ac:dyDescent="0.3"/>
  <cols>
    <col min="1" max="1" width="11.88671875" customWidth="1"/>
    <col min="2" max="2" width="10.6640625" customWidth="1"/>
    <col min="3" max="3" width="8.88671875" style="10"/>
    <col min="5" max="5" width="9.109375" style="10"/>
    <col min="11" max="11" width="8.88671875" style="4"/>
    <col min="14" max="14" width="8.88671875" style="10"/>
  </cols>
  <sheetData>
    <row r="1" spans="1:15" ht="25.2" customHeight="1" x14ac:dyDescent="0.3">
      <c r="A1" s="125" t="s">
        <v>1460</v>
      </c>
      <c r="O1" s="10"/>
    </row>
    <row r="2" spans="1:15" ht="19.95" customHeight="1" x14ac:dyDescent="0.3">
      <c r="A2" s="31" t="s">
        <v>1637</v>
      </c>
      <c r="B2" s="116" t="s">
        <v>1770</v>
      </c>
      <c r="C2" s="116"/>
      <c r="D2" s="31"/>
      <c r="E2" s="116"/>
    </row>
    <row r="3" spans="1:15" x14ac:dyDescent="0.3">
      <c r="A3" s="120" t="s">
        <v>1462</v>
      </c>
      <c r="B3" s="121"/>
      <c r="C3" s="122"/>
      <c r="D3" s="116"/>
      <c r="E3" s="122"/>
    </row>
    <row r="5" spans="1:15" s="3" customFormat="1" x14ac:dyDescent="0.3">
      <c r="A5" s="86" t="s">
        <v>1434</v>
      </c>
      <c r="C5" s="13"/>
      <c r="E5" s="13"/>
      <c r="K5" s="10"/>
      <c r="N5" s="13"/>
    </row>
    <row r="6" spans="1:15" x14ac:dyDescent="0.3">
      <c r="A6" s="12">
        <v>1</v>
      </c>
      <c r="B6" s="12" t="s">
        <v>38</v>
      </c>
      <c r="C6" s="10">
        <v>15</v>
      </c>
      <c r="D6" t="s">
        <v>1895</v>
      </c>
      <c r="E6"/>
      <c r="K6" s="10"/>
      <c r="L6" s="10"/>
    </row>
    <row r="7" spans="1:15" x14ac:dyDescent="0.3">
      <c r="A7" s="12">
        <v>2</v>
      </c>
      <c r="B7" s="12" t="s">
        <v>39</v>
      </c>
      <c r="C7" s="10">
        <v>1999</v>
      </c>
      <c r="D7" t="s">
        <v>1896</v>
      </c>
      <c r="E7"/>
      <c r="L7" s="10"/>
    </row>
    <row r="8" spans="1:15" x14ac:dyDescent="0.3">
      <c r="A8" s="12">
        <v>1</v>
      </c>
      <c r="B8" s="12" t="s">
        <v>40</v>
      </c>
      <c r="C8" s="10">
        <v>1</v>
      </c>
      <c r="D8" t="s">
        <v>1897</v>
      </c>
      <c r="E8"/>
      <c r="L8" s="4"/>
    </row>
    <row r="9" spans="1:15" x14ac:dyDescent="0.3">
      <c r="A9" s="12">
        <v>4</v>
      </c>
      <c r="B9" s="12" t="s">
        <v>41</v>
      </c>
      <c r="C9" s="10">
        <v>1</v>
      </c>
      <c r="D9" t="s">
        <v>1898</v>
      </c>
      <c r="E9"/>
      <c r="L9" s="4"/>
    </row>
    <row r="10" spans="1:15" x14ac:dyDescent="0.3">
      <c r="A10" s="12">
        <v>5</v>
      </c>
      <c r="B10" s="12" t="s">
        <v>42</v>
      </c>
      <c r="C10" s="10">
        <v>3</v>
      </c>
      <c r="D10" t="s">
        <v>1899</v>
      </c>
      <c r="E10"/>
      <c r="L10" s="4"/>
    </row>
    <row r="11" spans="1:15" x14ac:dyDescent="0.3">
      <c r="A11" s="12">
        <v>6</v>
      </c>
      <c r="B11" s="12" t="s">
        <v>43</v>
      </c>
      <c r="C11" s="10">
        <v>2</v>
      </c>
      <c r="D11" t="s">
        <v>1900</v>
      </c>
      <c r="E11"/>
      <c r="L11" s="4"/>
    </row>
    <row r="12" spans="1:15" x14ac:dyDescent="0.3">
      <c r="A12" s="12">
        <v>7</v>
      </c>
      <c r="B12" s="12" t="s">
        <v>44</v>
      </c>
      <c r="C12" s="10">
        <v>0</v>
      </c>
      <c r="D12" t="s">
        <v>1901</v>
      </c>
      <c r="E12"/>
      <c r="L12" s="4"/>
    </row>
    <row r="13" spans="1:15" x14ac:dyDescent="0.3">
      <c r="A13" s="12">
        <v>8</v>
      </c>
      <c r="B13" s="12" t="s">
        <v>45</v>
      </c>
      <c r="C13" s="10">
        <v>0</v>
      </c>
      <c r="D13" t="s">
        <v>1902</v>
      </c>
      <c r="E13"/>
      <c r="L13" s="4"/>
    </row>
    <row r="14" spans="1:15" x14ac:dyDescent="0.3">
      <c r="A14" s="12">
        <v>9</v>
      </c>
      <c r="B14" s="12" t="s">
        <v>46</v>
      </c>
      <c r="C14" s="10">
        <v>0</v>
      </c>
      <c r="D14" t="s">
        <v>1903</v>
      </c>
      <c r="E14"/>
      <c r="L14" s="4"/>
    </row>
    <row r="15" spans="1:15" x14ac:dyDescent="0.3">
      <c r="A15" s="12">
        <v>10</v>
      </c>
      <c r="B15" s="12" t="s">
        <v>47</v>
      </c>
      <c r="C15" s="10">
        <v>0</v>
      </c>
      <c r="D15" t="s">
        <v>1904</v>
      </c>
      <c r="E15"/>
      <c r="L15" s="4"/>
    </row>
    <row r="16" spans="1:15" x14ac:dyDescent="0.3">
      <c r="A16" s="12">
        <v>11</v>
      </c>
      <c r="B16" s="12" t="s">
        <v>48</v>
      </c>
      <c r="C16" s="10">
        <v>0</v>
      </c>
      <c r="D16" t="s">
        <v>1905</v>
      </c>
      <c r="E16"/>
      <c r="L16" s="4"/>
    </row>
    <row r="17" spans="1:23" x14ac:dyDescent="0.3">
      <c r="A17" s="12">
        <v>12</v>
      </c>
      <c r="B17" s="12" t="s">
        <v>49</v>
      </c>
      <c r="C17" s="10">
        <v>-1</v>
      </c>
      <c r="D17" t="s">
        <v>1906</v>
      </c>
      <c r="E17"/>
      <c r="L17" s="4"/>
    </row>
    <row r="18" spans="1:23" x14ac:dyDescent="0.3">
      <c r="A18" s="12">
        <v>13</v>
      </c>
      <c r="B18" s="12" t="s">
        <v>50</v>
      </c>
      <c r="C18" s="10">
        <v>0</v>
      </c>
      <c r="D18" t="s">
        <v>1907</v>
      </c>
      <c r="E18"/>
      <c r="L18" s="4"/>
    </row>
    <row r="19" spans="1:23" x14ac:dyDescent="0.3">
      <c r="A19" s="12">
        <v>14</v>
      </c>
      <c r="B19" s="12" t="s">
        <v>51</v>
      </c>
      <c r="C19" s="10">
        <v>0</v>
      </c>
      <c r="D19" t="s">
        <v>1908</v>
      </c>
      <c r="E19"/>
      <c r="L19" s="4"/>
    </row>
    <row r="20" spans="1:23" x14ac:dyDescent="0.3">
      <c r="A20" s="12">
        <v>15</v>
      </c>
      <c r="B20" s="12" t="s">
        <v>52</v>
      </c>
      <c r="C20" s="10">
        <v>4</v>
      </c>
      <c r="D20" t="s">
        <v>1909</v>
      </c>
      <c r="E20"/>
      <c r="L20" s="4"/>
    </row>
    <row r="21" spans="1:23" x14ac:dyDescent="0.3">
      <c r="A21" s="12">
        <v>16</v>
      </c>
      <c r="B21" s="12" t="s">
        <v>53</v>
      </c>
      <c r="C21" s="10">
        <v>0</v>
      </c>
      <c r="D21" t="s">
        <v>1910</v>
      </c>
      <c r="E21"/>
      <c r="L21" s="4"/>
    </row>
    <row r="22" spans="1:23" x14ac:dyDescent="0.3">
      <c r="A22" s="12">
        <v>17</v>
      </c>
      <c r="B22" s="12" t="s">
        <v>54</v>
      </c>
      <c r="C22" s="10">
        <v>0</v>
      </c>
      <c r="D22" t="s">
        <v>1911</v>
      </c>
      <c r="E22"/>
      <c r="L22" s="4"/>
    </row>
    <row r="23" spans="1:23" x14ac:dyDescent="0.3">
      <c r="A23" s="12">
        <v>18</v>
      </c>
      <c r="B23" s="12" t="s">
        <v>55</v>
      </c>
      <c r="C23" s="10">
        <v>1</v>
      </c>
      <c r="D23" t="s">
        <v>1912</v>
      </c>
      <c r="E23"/>
      <c r="L23" s="4"/>
    </row>
    <row r="24" spans="1:23" x14ac:dyDescent="0.3">
      <c r="A24" s="12">
        <v>19</v>
      </c>
      <c r="B24" s="12" t="s">
        <v>56</v>
      </c>
      <c r="C24" s="10">
        <v>1</v>
      </c>
      <c r="D24" t="s">
        <v>1913</v>
      </c>
      <c r="E24"/>
      <c r="L24" s="4"/>
    </row>
    <row r="25" spans="1:23" ht="28.8" x14ac:dyDescent="0.3">
      <c r="A25" s="12">
        <v>20</v>
      </c>
      <c r="B25" s="12" t="s">
        <v>57</v>
      </c>
      <c r="C25" s="174" t="s">
        <v>3881</v>
      </c>
      <c r="D25" t="s">
        <v>1914</v>
      </c>
      <c r="E25"/>
      <c r="L25" s="4"/>
    </row>
    <row r="26" spans="1:23" x14ac:dyDescent="0.3">
      <c r="A26" s="12"/>
      <c r="B26" s="12"/>
      <c r="C26" s="10">
        <v>0</v>
      </c>
      <c r="D26" t="s">
        <v>1915</v>
      </c>
      <c r="E26"/>
    </row>
    <row r="27" spans="1:23" s="86" customFormat="1" x14ac:dyDescent="0.3">
      <c r="A27" s="131" t="s">
        <v>3872</v>
      </c>
      <c r="B27" s="131"/>
      <c r="C27" s="87">
        <v>0</v>
      </c>
      <c r="D27" s="86" t="s">
        <v>1915</v>
      </c>
      <c r="E27"/>
      <c r="K27" s="88"/>
      <c r="N27" s="87"/>
      <c r="T27" s="89"/>
      <c r="U27" s="89"/>
      <c r="V27" s="89"/>
      <c r="W27" s="89"/>
    </row>
    <row r="28" spans="1:23" x14ac:dyDescent="0.3">
      <c r="A28" s="12">
        <v>1</v>
      </c>
      <c r="B28" s="12" t="s">
        <v>58</v>
      </c>
      <c r="C28" s="10">
        <v>0</v>
      </c>
      <c r="D28" t="s">
        <v>1916</v>
      </c>
      <c r="E28"/>
      <c r="L28" s="4"/>
    </row>
    <row r="29" spans="1:23" x14ac:dyDescent="0.3">
      <c r="A29" s="12">
        <v>2</v>
      </c>
      <c r="B29" s="12" t="s">
        <v>59</v>
      </c>
      <c r="C29" s="10">
        <v>0</v>
      </c>
      <c r="D29" t="s">
        <v>1917</v>
      </c>
      <c r="E29"/>
      <c r="L29" s="4"/>
    </row>
    <row r="30" spans="1:23" x14ac:dyDescent="0.3">
      <c r="A30" s="12">
        <v>3</v>
      </c>
      <c r="B30" s="12" t="s">
        <v>60</v>
      </c>
      <c r="C30" s="10">
        <v>0</v>
      </c>
      <c r="D30" t="s">
        <v>1918</v>
      </c>
      <c r="E30"/>
      <c r="L30" s="4"/>
    </row>
    <row r="31" spans="1:23" x14ac:dyDescent="0.3">
      <c r="A31" s="12">
        <v>4</v>
      </c>
      <c r="B31" s="12" t="s">
        <v>61</v>
      </c>
      <c r="C31" s="10">
        <v>0</v>
      </c>
      <c r="D31" t="s">
        <v>1919</v>
      </c>
      <c r="E31"/>
      <c r="L31" s="4"/>
    </row>
    <row r="32" spans="1:23" x14ac:dyDescent="0.3">
      <c r="A32" s="12">
        <v>5</v>
      </c>
      <c r="B32" s="12" t="s">
        <v>62</v>
      </c>
      <c r="C32" s="10">
        <v>0</v>
      </c>
      <c r="D32" t="s">
        <v>1920</v>
      </c>
      <c r="E32"/>
      <c r="L32" s="4"/>
    </row>
    <row r="33" spans="1:12" x14ac:dyDescent="0.3">
      <c r="A33" s="12">
        <v>6</v>
      </c>
      <c r="B33" s="12" t="s">
        <v>63</v>
      </c>
      <c r="C33" s="10">
        <v>0</v>
      </c>
      <c r="D33" t="s">
        <v>1921</v>
      </c>
      <c r="E33"/>
      <c r="L33" s="4"/>
    </row>
    <row r="34" spans="1:12" x14ac:dyDescent="0.3">
      <c r="A34" s="12">
        <v>7</v>
      </c>
      <c r="B34" s="12" t="s">
        <v>64</v>
      </c>
      <c r="C34" s="10">
        <v>0</v>
      </c>
      <c r="D34" t="s">
        <v>1922</v>
      </c>
      <c r="E34"/>
      <c r="L34" s="4"/>
    </row>
    <row r="35" spans="1:12" x14ac:dyDescent="0.3">
      <c r="A35" s="12">
        <v>8</v>
      </c>
      <c r="B35" s="12" t="s">
        <v>65</v>
      </c>
      <c r="C35" s="10">
        <v>0</v>
      </c>
      <c r="D35" t="s">
        <v>1923</v>
      </c>
      <c r="E35"/>
      <c r="L35" s="4"/>
    </row>
    <row r="36" spans="1:12" x14ac:dyDescent="0.3">
      <c r="A36" s="12">
        <v>9</v>
      </c>
      <c r="B36" s="12" t="s">
        <v>66</v>
      </c>
      <c r="C36" s="10">
        <v>0</v>
      </c>
      <c r="D36" t="s">
        <v>1924</v>
      </c>
      <c r="E36"/>
      <c r="L36" s="4"/>
    </row>
    <row r="37" spans="1:12" x14ac:dyDescent="0.3">
      <c r="A37" s="12">
        <v>10</v>
      </c>
      <c r="B37" s="12" t="s">
        <v>67</v>
      </c>
      <c r="C37" s="10">
        <v>0</v>
      </c>
      <c r="D37" t="s">
        <v>1925</v>
      </c>
      <c r="E37"/>
      <c r="L37" s="4"/>
    </row>
    <row r="38" spans="1:12" x14ac:dyDescent="0.3">
      <c r="A38" s="12">
        <v>11</v>
      </c>
      <c r="B38" s="12" t="s">
        <v>68</v>
      </c>
      <c r="C38" s="10">
        <v>1</v>
      </c>
      <c r="D38" t="s">
        <v>1926</v>
      </c>
      <c r="E38"/>
      <c r="L38" s="4"/>
    </row>
    <row r="39" spans="1:12" x14ac:dyDescent="0.3">
      <c r="A39" s="12">
        <v>12</v>
      </c>
      <c r="B39" s="12" t="s">
        <v>69</v>
      </c>
      <c r="C39" s="10">
        <v>0</v>
      </c>
      <c r="D39" t="s">
        <v>1927</v>
      </c>
      <c r="E39"/>
      <c r="L39" s="4"/>
    </row>
    <row r="40" spans="1:12" x14ac:dyDescent="0.3">
      <c r="A40" s="12">
        <v>13</v>
      </c>
      <c r="B40" s="12" t="s">
        <v>70</v>
      </c>
      <c r="C40" s="10">
        <v>0</v>
      </c>
      <c r="D40" t="s">
        <v>1928</v>
      </c>
      <c r="E40"/>
      <c r="L40" s="4"/>
    </row>
    <row r="41" spans="1:12" x14ac:dyDescent="0.3">
      <c r="A41" s="12">
        <v>14</v>
      </c>
      <c r="B41" s="12" t="s">
        <v>71</v>
      </c>
      <c r="C41" s="10">
        <v>0</v>
      </c>
      <c r="D41" t="s">
        <v>1929</v>
      </c>
      <c r="E41"/>
      <c r="L41" s="4"/>
    </row>
    <row r="42" spans="1:12" x14ac:dyDescent="0.3">
      <c r="A42" s="12">
        <v>15</v>
      </c>
      <c r="B42" s="12" t="s">
        <v>72</v>
      </c>
      <c r="C42" s="10">
        <v>0</v>
      </c>
      <c r="D42" t="s">
        <v>1930</v>
      </c>
      <c r="E42"/>
      <c r="L42" s="4"/>
    </row>
    <row r="43" spans="1:12" x14ac:dyDescent="0.3">
      <c r="A43" s="12">
        <v>16</v>
      </c>
      <c r="B43" s="12" t="s">
        <v>73</v>
      </c>
      <c r="C43" s="10">
        <v>0</v>
      </c>
      <c r="D43" t="s">
        <v>1931</v>
      </c>
      <c r="E43"/>
      <c r="L43" s="4"/>
    </row>
    <row r="44" spans="1:12" x14ac:dyDescent="0.3">
      <c r="A44" s="12">
        <v>17</v>
      </c>
      <c r="B44" s="12" t="s">
        <v>74</v>
      </c>
      <c r="C44" s="127">
        <v>0</v>
      </c>
      <c r="D44" t="s">
        <v>1932</v>
      </c>
      <c r="E44"/>
      <c r="L44" s="4"/>
    </row>
    <row r="45" spans="1:12" x14ac:dyDescent="0.3">
      <c r="A45" s="12">
        <v>18</v>
      </c>
      <c r="B45" s="12" t="s">
        <v>1777</v>
      </c>
      <c r="C45" s="127">
        <v>0</v>
      </c>
      <c r="D45" t="s">
        <v>1933</v>
      </c>
      <c r="E45"/>
      <c r="L45" s="4"/>
    </row>
    <row r="46" spans="1:12" x14ac:dyDescent="0.3">
      <c r="A46" s="12">
        <v>19</v>
      </c>
      <c r="B46" s="12" t="s">
        <v>75</v>
      </c>
      <c r="C46" s="127">
        <v>0</v>
      </c>
      <c r="D46" t="s">
        <v>1934</v>
      </c>
      <c r="E46"/>
    </row>
    <row r="47" spans="1:12" x14ac:dyDescent="0.3">
      <c r="A47" s="12">
        <v>20</v>
      </c>
      <c r="B47" s="12" t="s">
        <v>76</v>
      </c>
      <c r="C47" s="127">
        <v>0</v>
      </c>
      <c r="D47" t="s">
        <v>1935</v>
      </c>
      <c r="E47"/>
    </row>
    <row r="48" spans="1:12" ht="28.8" x14ac:dyDescent="0.3">
      <c r="A48" s="12">
        <v>21</v>
      </c>
      <c r="B48" s="12" t="s">
        <v>2160</v>
      </c>
      <c r="C48" s="175" t="s">
        <v>3882</v>
      </c>
      <c r="D48" t="s">
        <v>2162</v>
      </c>
      <c r="E48"/>
    </row>
    <row r="49" spans="1:14" x14ac:dyDescent="0.3">
      <c r="A49" s="12">
        <v>22</v>
      </c>
      <c r="B49" s="12" t="s">
        <v>2161</v>
      </c>
      <c r="C49" s="127">
        <v>0.8</v>
      </c>
      <c r="D49" t="s">
        <v>2163</v>
      </c>
      <c r="E49"/>
    </row>
    <row r="50" spans="1:14" x14ac:dyDescent="0.3">
      <c r="A50" s="12">
        <v>23</v>
      </c>
      <c r="B50" s="12" t="s">
        <v>76</v>
      </c>
      <c r="C50" s="127">
        <v>330</v>
      </c>
      <c r="D50" t="s">
        <v>2164</v>
      </c>
      <c r="E50"/>
    </row>
    <row r="51" spans="1:14" x14ac:dyDescent="0.3">
      <c r="A51" s="12"/>
      <c r="B51" s="12"/>
      <c r="C51" s="127">
        <v>0</v>
      </c>
      <c r="D51" t="s">
        <v>1915</v>
      </c>
      <c r="E51"/>
    </row>
    <row r="52" spans="1:14" s="86" customFormat="1" x14ac:dyDescent="0.3">
      <c r="A52" s="131" t="s">
        <v>3873</v>
      </c>
      <c r="B52" s="131"/>
      <c r="C52" s="87">
        <v>1</v>
      </c>
      <c r="D52" s="86" t="s">
        <v>1915</v>
      </c>
      <c r="E52"/>
      <c r="K52" s="88"/>
      <c r="N52" s="87"/>
    </row>
    <row r="53" spans="1:14" x14ac:dyDescent="0.3">
      <c r="A53" s="12">
        <v>1</v>
      </c>
      <c r="B53" s="12" t="s">
        <v>77</v>
      </c>
      <c r="C53" s="10">
        <v>10</v>
      </c>
      <c r="D53" t="s">
        <v>1936</v>
      </c>
      <c r="E53"/>
      <c r="L53" s="4"/>
    </row>
    <row r="54" spans="1:14" x14ac:dyDescent="0.3">
      <c r="A54" s="12">
        <v>2</v>
      </c>
      <c r="B54" s="12" t="s">
        <v>78</v>
      </c>
      <c r="C54" s="10">
        <v>0.75</v>
      </c>
      <c r="D54" t="s">
        <v>1937</v>
      </c>
      <c r="E54"/>
      <c r="L54" s="4"/>
    </row>
    <row r="55" spans="1:14" x14ac:dyDescent="0.3">
      <c r="A55" s="12">
        <v>3</v>
      </c>
      <c r="B55" s="12" t="s">
        <v>79</v>
      </c>
      <c r="C55" s="10">
        <v>1.3</v>
      </c>
      <c r="D55" t="s">
        <v>1938</v>
      </c>
      <c r="E55"/>
      <c r="L55" s="4"/>
    </row>
    <row r="56" spans="1:14" x14ac:dyDescent="0.3">
      <c r="A56" s="12">
        <v>4</v>
      </c>
      <c r="B56" s="12" t="s">
        <v>80</v>
      </c>
      <c r="C56" s="10">
        <v>25</v>
      </c>
      <c r="D56" t="s">
        <v>1939</v>
      </c>
      <c r="E56"/>
      <c r="L56" s="4"/>
    </row>
    <row r="57" spans="1:14" x14ac:dyDescent="0.3">
      <c r="A57" s="12">
        <v>5</v>
      </c>
      <c r="B57" s="12" t="s">
        <v>81</v>
      </c>
      <c r="C57" s="10">
        <v>0.5</v>
      </c>
      <c r="D57" t="s">
        <v>1940</v>
      </c>
      <c r="E57"/>
      <c r="L57" s="4"/>
    </row>
    <row r="58" spans="1:14" ht="28.8" x14ac:dyDescent="0.3">
      <c r="A58" s="12">
        <v>6</v>
      </c>
      <c r="B58" s="12" t="s">
        <v>82</v>
      </c>
      <c r="C58" s="174" t="s">
        <v>3883</v>
      </c>
      <c r="D58" t="s">
        <v>1941</v>
      </c>
      <c r="E58"/>
      <c r="L58" s="4"/>
    </row>
    <row r="59" spans="1:14" x14ac:dyDescent="0.3">
      <c r="A59" s="12">
        <v>7</v>
      </c>
      <c r="B59" s="12" t="s">
        <v>83</v>
      </c>
      <c r="C59" s="10">
        <v>5</v>
      </c>
      <c r="D59" t="s">
        <v>1942</v>
      </c>
      <c r="E59"/>
      <c r="L59" s="4"/>
    </row>
    <row r="60" spans="1:14" x14ac:dyDescent="0.3">
      <c r="A60" s="12">
        <v>8</v>
      </c>
      <c r="B60" s="12" t="s">
        <v>84</v>
      </c>
      <c r="C60" s="10">
        <v>10</v>
      </c>
      <c r="D60" t="s">
        <v>1943</v>
      </c>
      <c r="E60"/>
      <c r="L60" s="4"/>
    </row>
    <row r="61" spans="1:14" x14ac:dyDescent="0.3">
      <c r="A61" s="12">
        <v>9</v>
      </c>
      <c r="B61" s="12" t="s">
        <v>85</v>
      </c>
      <c r="C61" s="10">
        <v>0.1</v>
      </c>
      <c r="D61" t="s">
        <v>1944</v>
      </c>
      <c r="E61"/>
      <c r="L61" s="4"/>
    </row>
    <row r="62" spans="1:14" x14ac:dyDescent="0.3">
      <c r="A62" s="12">
        <v>10</v>
      </c>
      <c r="B62" s="12" t="s">
        <v>86</v>
      </c>
      <c r="C62" s="10">
        <v>50</v>
      </c>
      <c r="D62" t="s">
        <v>1945</v>
      </c>
      <c r="E62"/>
      <c r="L62" s="4"/>
    </row>
    <row r="63" spans="1:14" x14ac:dyDescent="0.3">
      <c r="A63" s="12"/>
      <c r="B63" s="12"/>
      <c r="C63" s="10">
        <v>0</v>
      </c>
      <c r="D63" t="s">
        <v>1915</v>
      </c>
      <c r="E63"/>
    </row>
    <row r="64" spans="1:14" s="86" customFormat="1" x14ac:dyDescent="0.3">
      <c r="A64" s="131" t="s">
        <v>3874</v>
      </c>
      <c r="B64" s="131"/>
      <c r="C64" s="87">
        <v>0.5</v>
      </c>
      <c r="D64" s="86" t="s">
        <v>1915</v>
      </c>
      <c r="E64"/>
      <c r="K64" s="88"/>
      <c r="N64" s="87"/>
    </row>
    <row r="65" spans="1:14" x14ac:dyDescent="0.3">
      <c r="A65" s="12">
        <v>1</v>
      </c>
      <c r="B65" s="12" t="s">
        <v>87</v>
      </c>
      <c r="C65" s="10">
        <v>1</v>
      </c>
      <c r="D65" t="s">
        <v>1946</v>
      </c>
      <c r="E65"/>
      <c r="L65" s="4"/>
    </row>
    <row r="66" spans="1:14" x14ac:dyDescent="0.3">
      <c r="A66" s="12">
        <v>2</v>
      </c>
      <c r="B66" s="12" t="s">
        <v>88</v>
      </c>
      <c r="C66" s="10">
        <v>2</v>
      </c>
      <c r="D66" t="s">
        <v>1947</v>
      </c>
      <c r="E66"/>
      <c r="L66" s="4"/>
    </row>
    <row r="67" spans="1:14" x14ac:dyDescent="0.3">
      <c r="A67" s="12">
        <v>3</v>
      </c>
      <c r="B67" s="12" t="s">
        <v>89</v>
      </c>
      <c r="C67" s="10">
        <v>1</v>
      </c>
      <c r="D67" t="s">
        <v>1948</v>
      </c>
      <c r="E67"/>
      <c r="L67" s="4"/>
    </row>
    <row r="68" spans="1:14" ht="28.8" x14ac:dyDescent="0.3">
      <c r="A68" s="12">
        <v>4</v>
      </c>
      <c r="B68" s="12" t="s">
        <v>90</v>
      </c>
      <c r="C68" s="174" t="s">
        <v>3884</v>
      </c>
      <c r="D68" t="s">
        <v>1949</v>
      </c>
      <c r="E68"/>
      <c r="L68" s="4"/>
    </row>
    <row r="69" spans="1:14" x14ac:dyDescent="0.3">
      <c r="A69" s="12">
        <v>5</v>
      </c>
      <c r="B69" s="12" t="s">
        <v>91</v>
      </c>
      <c r="C69" s="10">
        <v>0.3</v>
      </c>
      <c r="D69" t="s">
        <v>1950</v>
      </c>
      <c r="E69"/>
      <c r="L69" s="4"/>
    </row>
    <row r="70" spans="1:14" x14ac:dyDescent="0.3">
      <c r="A70" s="12">
        <v>6</v>
      </c>
      <c r="B70" s="12" t="s">
        <v>92</v>
      </c>
      <c r="C70" s="10">
        <v>500</v>
      </c>
      <c r="D70" t="s">
        <v>1951</v>
      </c>
      <c r="E70"/>
      <c r="L70" s="4"/>
    </row>
    <row r="71" spans="1:14" x14ac:dyDescent="0.3">
      <c r="A71" s="12">
        <v>7</v>
      </c>
      <c r="B71" s="12" t="s">
        <v>93</v>
      </c>
      <c r="C71" s="10">
        <v>1</v>
      </c>
      <c r="D71" t="s">
        <v>1952</v>
      </c>
      <c r="E71"/>
      <c r="L71" s="4"/>
    </row>
    <row r="72" spans="1:14" x14ac:dyDescent="0.3">
      <c r="A72" s="12">
        <v>8</v>
      </c>
      <c r="B72" s="12" t="s">
        <v>94</v>
      </c>
      <c r="C72" s="10">
        <v>0</v>
      </c>
      <c r="D72" t="s">
        <v>1953</v>
      </c>
      <c r="E72"/>
      <c r="L72" s="4"/>
    </row>
    <row r="73" spans="1:14" x14ac:dyDescent="0.3">
      <c r="A73" s="12">
        <v>9</v>
      </c>
      <c r="B73" s="12" t="s">
        <v>95</v>
      </c>
      <c r="C73" s="10">
        <v>0</v>
      </c>
      <c r="D73" t="s">
        <v>1954</v>
      </c>
      <c r="E73"/>
      <c r="L73" s="4"/>
    </row>
    <row r="74" spans="1:14" x14ac:dyDescent="0.3">
      <c r="A74" s="12">
        <v>10</v>
      </c>
      <c r="B74" s="12" t="s">
        <v>96</v>
      </c>
      <c r="C74" s="10">
        <v>0</v>
      </c>
      <c r="D74" t="s">
        <v>1955</v>
      </c>
      <c r="E74"/>
      <c r="L74" s="4"/>
    </row>
    <row r="75" spans="1:14" x14ac:dyDescent="0.3">
      <c r="A75" s="12"/>
      <c r="B75" s="12"/>
      <c r="C75" s="10">
        <v>0</v>
      </c>
      <c r="D75" t="s">
        <v>1915</v>
      </c>
      <c r="E75"/>
    </row>
    <row r="76" spans="1:14" s="86" customFormat="1" x14ac:dyDescent="0.3">
      <c r="A76" s="131" t="s">
        <v>3875</v>
      </c>
      <c r="B76" s="131"/>
      <c r="C76" s="87">
        <v>0</v>
      </c>
      <c r="D76" s="86" t="s">
        <v>1915</v>
      </c>
      <c r="E76"/>
      <c r="K76" s="88"/>
      <c r="N76" s="87"/>
    </row>
    <row r="77" spans="1:14" x14ac:dyDescent="0.3">
      <c r="A77" s="12">
        <v>1</v>
      </c>
      <c r="B77" s="12" t="s">
        <v>97</v>
      </c>
      <c r="C77" s="10">
        <v>5</v>
      </c>
      <c r="D77" t="s">
        <v>1956</v>
      </c>
      <c r="E77"/>
      <c r="L77" s="4"/>
    </row>
    <row r="78" spans="1:14" ht="28.8" x14ac:dyDescent="0.3">
      <c r="A78" s="12">
        <v>2</v>
      </c>
      <c r="B78" s="12" t="s">
        <v>98</v>
      </c>
      <c r="C78" s="174" t="s">
        <v>3885</v>
      </c>
      <c r="D78" t="s">
        <v>1957</v>
      </c>
      <c r="E78"/>
      <c r="L78" s="4"/>
    </row>
    <row r="79" spans="1:14" x14ac:dyDescent="0.3">
      <c r="A79" s="12">
        <v>3</v>
      </c>
      <c r="B79" s="12" t="s">
        <v>99</v>
      </c>
      <c r="C79" s="10">
        <v>6</v>
      </c>
      <c r="D79" t="s">
        <v>1958</v>
      </c>
      <c r="E79"/>
      <c r="L79" s="4"/>
    </row>
    <row r="80" spans="1:14" x14ac:dyDescent="0.3">
      <c r="A80" s="12">
        <v>4</v>
      </c>
      <c r="B80" s="12" t="s">
        <v>100</v>
      </c>
      <c r="C80" s="10">
        <v>0</v>
      </c>
      <c r="D80" t="s">
        <v>1959</v>
      </c>
      <c r="E80"/>
      <c r="L80" s="4"/>
    </row>
    <row r="81" spans="1:14" x14ac:dyDescent="0.3">
      <c r="A81" s="12">
        <v>5</v>
      </c>
      <c r="B81" s="12" t="s">
        <v>101</v>
      </c>
      <c r="C81" s="10">
        <v>0.7</v>
      </c>
      <c r="D81" t="s">
        <v>1960</v>
      </c>
      <c r="E81"/>
      <c r="L81" s="4"/>
    </row>
    <row r="82" spans="1:14" x14ac:dyDescent="0.3">
      <c r="A82" s="12">
        <v>6</v>
      </c>
      <c r="B82" s="12" t="s">
        <v>102</v>
      </c>
      <c r="C82" s="10">
        <v>1.58</v>
      </c>
      <c r="D82" t="s">
        <v>1961</v>
      </c>
      <c r="E82"/>
      <c r="L82" s="4"/>
    </row>
    <row r="83" spans="1:14" x14ac:dyDescent="0.3">
      <c r="A83" s="12">
        <v>7</v>
      </c>
      <c r="B83" s="12" t="s">
        <v>103</v>
      </c>
      <c r="C83" s="10">
        <v>0.56000000000000005</v>
      </c>
      <c r="D83" t="s">
        <v>1962</v>
      </c>
      <c r="E83"/>
      <c r="L83" s="4"/>
    </row>
    <row r="84" spans="1:14" x14ac:dyDescent="0.3">
      <c r="A84" s="12">
        <v>8</v>
      </c>
      <c r="B84" s="12" t="s">
        <v>104</v>
      </c>
      <c r="C84" s="10">
        <v>0.56000000000000005</v>
      </c>
      <c r="D84" t="s">
        <v>1963</v>
      </c>
      <c r="E84"/>
      <c r="L84" s="4"/>
    </row>
    <row r="85" spans="1:14" x14ac:dyDescent="0.3">
      <c r="A85" s="12">
        <v>9</v>
      </c>
      <c r="B85" s="12" t="s">
        <v>105</v>
      </c>
      <c r="C85" s="10">
        <v>0.12</v>
      </c>
      <c r="D85" t="s">
        <v>1964</v>
      </c>
      <c r="E85"/>
      <c r="L85" s="4"/>
    </row>
    <row r="86" spans="1:14" ht="28.8" x14ac:dyDescent="0.3">
      <c r="A86" s="12">
        <v>10</v>
      </c>
      <c r="B86" s="12" t="s">
        <v>106</v>
      </c>
      <c r="C86" s="174" t="s">
        <v>3886</v>
      </c>
      <c r="D86" t="s">
        <v>1965</v>
      </c>
      <c r="E86"/>
      <c r="L86" s="4"/>
    </row>
    <row r="87" spans="1:14" x14ac:dyDescent="0.3">
      <c r="A87" s="12"/>
      <c r="B87" s="12"/>
      <c r="D87" t="s">
        <v>1915</v>
      </c>
      <c r="E87"/>
    </row>
    <row r="88" spans="1:14" s="86" customFormat="1" x14ac:dyDescent="0.3">
      <c r="A88" s="131" t="s">
        <v>3876</v>
      </c>
      <c r="B88" s="131"/>
      <c r="C88" s="87"/>
      <c r="D88" s="86" t="s">
        <v>1915</v>
      </c>
      <c r="E88"/>
      <c r="K88" s="88"/>
      <c r="N88" s="87"/>
    </row>
    <row r="89" spans="1:14" x14ac:dyDescent="0.3">
      <c r="A89" s="12">
        <v>1</v>
      </c>
      <c r="B89" s="12" t="s">
        <v>107</v>
      </c>
      <c r="C89" s="10">
        <v>3</v>
      </c>
      <c r="D89" t="s">
        <v>1966</v>
      </c>
      <c r="E89"/>
      <c r="L89" s="4"/>
    </row>
    <row r="90" spans="1:14" x14ac:dyDescent="0.3">
      <c r="A90" s="12">
        <v>2</v>
      </c>
      <c r="B90" s="12" t="s">
        <v>108</v>
      </c>
      <c r="C90" s="10">
        <v>0</v>
      </c>
      <c r="D90" t="s">
        <v>1967</v>
      </c>
      <c r="E90"/>
      <c r="L90" s="4"/>
    </row>
    <row r="91" spans="1:14" x14ac:dyDescent="0.3">
      <c r="A91" s="12">
        <v>3</v>
      </c>
      <c r="B91" s="12" t="s">
        <v>109</v>
      </c>
      <c r="C91" s="10">
        <v>0.2</v>
      </c>
      <c r="D91" t="s">
        <v>1968</v>
      </c>
      <c r="E91"/>
      <c r="L91" s="4"/>
    </row>
    <row r="92" spans="1:14" x14ac:dyDescent="0.3">
      <c r="A92" s="12">
        <v>4</v>
      </c>
      <c r="B92" s="12" t="s">
        <v>110</v>
      </c>
      <c r="C92" s="10">
        <v>0</v>
      </c>
      <c r="D92" t="s">
        <v>1969</v>
      </c>
      <c r="E92"/>
      <c r="L92" s="4"/>
    </row>
    <row r="93" spans="1:14" x14ac:dyDescent="0.3">
      <c r="A93" s="12">
        <v>5</v>
      </c>
      <c r="B93" s="12" t="s">
        <v>1771</v>
      </c>
      <c r="C93" s="10">
        <v>0.01</v>
      </c>
      <c r="D93" t="s">
        <v>1970</v>
      </c>
      <c r="E93"/>
      <c r="L93" s="4"/>
    </row>
    <row r="94" spans="1:14" x14ac:dyDescent="0.3">
      <c r="A94" s="12">
        <v>6</v>
      </c>
      <c r="B94" s="12" t="s">
        <v>1772</v>
      </c>
      <c r="C94" s="10">
        <v>0.01</v>
      </c>
      <c r="D94" t="s">
        <v>1971</v>
      </c>
      <c r="E94"/>
      <c r="L94" s="4"/>
    </row>
    <row r="95" spans="1:14" x14ac:dyDescent="0.3">
      <c r="A95" s="12">
        <v>7</v>
      </c>
      <c r="B95" s="12" t="s">
        <v>111</v>
      </c>
      <c r="C95" s="10">
        <v>0.56000000000000005</v>
      </c>
      <c r="D95" t="s">
        <v>1972</v>
      </c>
      <c r="E95"/>
      <c r="L95" s="4"/>
    </row>
    <row r="96" spans="1:14" x14ac:dyDescent="0.3">
      <c r="A96" s="12">
        <v>8</v>
      </c>
      <c r="B96" s="12" t="s">
        <v>112</v>
      </c>
      <c r="C96" s="10">
        <v>0.12</v>
      </c>
      <c r="D96" t="s">
        <v>1973</v>
      </c>
      <c r="E96"/>
      <c r="L96" s="4"/>
    </row>
    <row r="97" spans="1:5" x14ac:dyDescent="0.3">
      <c r="A97" s="12">
        <v>9</v>
      </c>
      <c r="B97" s="12" t="s">
        <v>113</v>
      </c>
      <c r="D97" t="s">
        <v>1974</v>
      </c>
      <c r="E97"/>
    </row>
    <row r="98" spans="1:5" x14ac:dyDescent="0.3">
      <c r="A98" s="12">
        <v>10</v>
      </c>
      <c r="B98" s="12" t="s">
        <v>114</v>
      </c>
      <c r="D98" t="s">
        <v>1975</v>
      </c>
      <c r="E98"/>
    </row>
    <row r="99" spans="1:5" x14ac:dyDescent="0.3">
      <c r="A99" s="12"/>
      <c r="B99" s="12"/>
      <c r="E99"/>
    </row>
    <row r="100" spans="1:5" x14ac:dyDescent="0.3">
      <c r="A100" s="12"/>
      <c r="B100" s="12"/>
      <c r="E100"/>
    </row>
    <row r="101" spans="1:5" x14ac:dyDescent="0.3">
      <c r="A101" s="12"/>
      <c r="B101" s="12"/>
      <c r="E101"/>
    </row>
    <row r="102" spans="1:5" x14ac:dyDescent="0.3">
      <c r="A102" s="12"/>
      <c r="B102" s="12"/>
      <c r="E102"/>
    </row>
    <row r="103" spans="1:5" x14ac:dyDescent="0.3">
      <c r="A103" s="12"/>
      <c r="B103" s="12"/>
      <c r="E103"/>
    </row>
    <row r="104" spans="1:5" x14ac:dyDescent="0.3">
      <c r="A104" s="12"/>
      <c r="B104" s="12"/>
      <c r="E104"/>
    </row>
    <row r="105" spans="1:5" x14ac:dyDescent="0.3">
      <c r="A105" s="12"/>
      <c r="B105" s="12"/>
      <c r="E105"/>
    </row>
    <row r="106" spans="1:5" x14ac:dyDescent="0.3">
      <c r="A106" s="12"/>
      <c r="B106" s="12"/>
      <c r="E106"/>
    </row>
    <row r="107" spans="1:5" x14ac:dyDescent="0.3">
      <c r="A107" s="12"/>
      <c r="B107" s="12"/>
      <c r="E107"/>
    </row>
    <row r="108" spans="1:5" x14ac:dyDescent="0.3">
      <c r="A108" s="12"/>
      <c r="B108" s="12"/>
      <c r="E108"/>
    </row>
    <row r="109" spans="1:5" x14ac:dyDescent="0.3">
      <c r="A109" s="12"/>
      <c r="B109" s="12"/>
      <c r="E109"/>
    </row>
    <row r="110" spans="1:5" x14ac:dyDescent="0.3">
      <c r="A110" s="12"/>
      <c r="B110" s="12"/>
      <c r="E110"/>
    </row>
    <row r="111" spans="1:5" x14ac:dyDescent="0.3">
      <c r="A111" s="12"/>
      <c r="B111" s="12"/>
      <c r="E111"/>
    </row>
    <row r="112" spans="1:5" x14ac:dyDescent="0.3">
      <c r="A112" s="12"/>
      <c r="B112" s="12"/>
      <c r="E112"/>
    </row>
    <row r="113" spans="1:5" x14ac:dyDescent="0.3">
      <c r="A113" s="12"/>
      <c r="B113" s="12"/>
      <c r="E113"/>
    </row>
    <row r="114" spans="1:5" x14ac:dyDescent="0.3">
      <c r="A114" s="12"/>
      <c r="B114" s="12"/>
      <c r="E114"/>
    </row>
    <row r="115" spans="1:5" x14ac:dyDescent="0.3">
      <c r="A115" s="12"/>
      <c r="B115" s="12"/>
      <c r="E115"/>
    </row>
    <row r="116" spans="1:5" x14ac:dyDescent="0.3">
      <c r="A116" s="12"/>
      <c r="B116" s="12"/>
      <c r="E116"/>
    </row>
    <row r="117" spans="1:5" x14ac:dyDescent="0.3">
      <c r="A117" s="12"/>
      <c r="B117" s="12"/>
      <c r="E117"/>
    </row>
    <row r="118" spans="1:5" x14ac:dyDescent="0.3">
      <c r="A118" s="12"/>
      <c r="B118" s="12"/>
      <c r="E118"/>
    </row>
    <row r="119" spans="1:5" x14ac:dyDescent="0.3">
      <c r="A119" s="12"/>
      <c r="B119" s="12"/>
      <c r="E119"/>
    </row>
    <row r="120" spans="1:5" x14ac:dyDescent="0.3">
      <c r="A120" s="12"/>
      <c r="B120" s="12"/>
      <c r="E120"/>
    </row>
    <row r="121" spans="1:5" x14ac:dyDescent="0.3">
      <c r="A121" s="12"/>
      <c r="B121" s="12"/>
      <c r="E121"/>
    </row>
    <row r="122" spans="1:5" x14ac:dyDescent="0.3">
      <c r="A122" s="12"/>
      <c r="B122" s="12"/>
      <c r="E122"/>
    </row>
    <row r="123" spans="1:5" x14ac:dyDescent="0.3">
      <c r="A123" s="12"/>
      <c r="B123" s="12"/>
      <c r="E123"/>
    </row>
    <row r="124" spans="1:5" x14ac:dyDescent="0.3">
      <c r="A124" s="12"/>
      <c r="B124" s="12"/>
      <c r="E124"/>
    </row>
    <row r="125" spans="1:5" x14ac:dyDescent="0.3">
      <c r="A125" s="12"/>
      <c r="B125" s="12"/>
      <c r="E125"/>
    </row>
    <row r="126" spans="1:5" x14ac:dyDescent="0.3">
      <c r="A126" s="12"/>
      <c r="B126" s="12"/>
      <c r="E126"/>
    </row>
    <row r="127" spans="1:5" x14ac:dyDescent="0.3">
      <c r="A127" s="12"/>
      <c r="B127" s="12"/>
      <c r="E127"/>
    </row>
    <row r="128" spans="1:5" x14ac:dyDescent="0.3">
      <c r="A128" s="12"/>
      <c r="B128" s="12"/>
      <c r="E128"/>
    </row>
    <row r="129" spans="1:5" x14ac:dyDescent="0.3">
      <c r="A129" s="12"/>
      <c r="B129" s="12"/>
      <c r="E129"/>
    </row>
    <row r="130" spans="1:5" x14ac:dyDescent="0.3">
      <c r="A130" s="12"/>
      <c r="B130" s="12"/>
      <c r="E130"/>
    </row>
    <row r="131" spans="1:5" x14ac:dyDescent="0.3">
      <c r="A131" s="12"/>
      <c r="B131" s="12"/>
      <c r="E131"/>
    </row>
    <row r="132" spans="1:5" x14ac:dyDescent="0.3">
      <c r="A132" s="12"/>
      <c r="B132" s="12"/>
      <c r="E132"/>
    </row>
    <row r="133" spans="1:5" x14ac:dyDescent="0.3">
      <c r="A133" s="12"/>
      <c r="B133" s="12"/>
      <c r="E133"/>
    </row>
    <row r="134" spans="1:5" x14ac:dyDescent="0.3">
      <c r="A134" s="12"/>
      <c r="B134" s="12"/>
      <c r="E134"/>
    </row>
    <row r="135" spans="1:5" x14ac:dyDescent="0.3">
      <c r="A135" s="12"/>
      <c r="B135" s="12"/>
      <c r="E135"/>
    </row>
    <row r="136" spans="1:5" x14ac:dyDescent="0.3">
      <c r="A136" s="12"/>
      <c r="B136" s="12"/>
      <c r="E136"/>
    </row>
    <row r="137" spans="1:5" x14ac:dyDescent="0.3">
      <c r="A137" s="12"/>
      <c r="B137" s="12"/>
      <c r="E137"/>
    </row>
    <row r="138" spans="1:5" x14ac:dyDescent="0.3">
      <c r="A138" s="12"/>
      <c r="B138" s="12"/>
      <c r="E138"/>
    </row>
    <row r="139" spans="1:5" x14ac:dyDescent="0.3">
      <c r="A139" s="12"/>
      <c r="B139" s="12"/>
      <c r="E139"/>
    </row>
    <row r="140" spans="1:5" x14ac:dyDescent="0.3">
      <c r="A140" s="12"/>
      <c r="B140" s="12"/>
      <c r="E140"/>
    </row>
    <row r="141" spans="1:5" x14ac:dyDescent="0.3">
      <c r="A141" s="12"/>
      <c r="B141" s="12"/>
      <c r="E141"/>
    </row>
    <row r="142" spans="1:5" x14ac:dyDescent="0.3">
      <c r="A142" s="12"/>
      <c r="B142" s="12"/>
      <c r="E142"/>
    </row>
    <row r="143" spans="1:5" x14ac:dyDescent="0.3">
      <c r="A143" s="12"/>
      <c r="B143" s="12"/>
      <c r="E143"/>
    </row>
    <row r="144" spans="1:5" x14ac:dyDescent="0.3">
      <c r="A144" s="12"/>
      <c r="B144" s="12"/>
      <c r="E144"/>
    </row>
    <row r="145" spans="1:5" x14ac:dyDescent="0.3">
      <c r="A145" s="12"/>
      <c r="B145" s="12"/>
      <c r="E145"/>
    </row>
    <row r="146" spans="1:5" x14ac:dyDescent="0.3">
      <c r="A146" s="12"/>
      <c r="B146" s="12"/>
      <c r="E146"/>
    </row>
    <row r="147" spans="1:5" x14ac:dyDescent="0.3">
      <c r="A147" s="12"/>
      <c r="B147" s="12"/>
      <c r="E147"/>
    </row>
    <row r="148" spans="1:5" x14ac:dyDescent="0.3">
      <c r="A148" s="12"/>
      <c r="B148" s="12"/>
      <c r="E148"/>
    </row>
    <row r="149" spans="1:5" x14ac:dyDescent="0.3">
      <c r="A149" s="12"/>
      <c r="B149" s="12"/>
      <c r="E149"/>
    </row>
    <row r="150" spans="1:5" x14ac:dyDescent="0.3">
      <c r="A150" s="12"/>
      <c r="B150" s="12"/>
      <c r="E150"/>
    </row>
    <row r="151" spans="1:5" x14ac:dyDescent="0.3">
      <c r="A151" s="12"/>
      <c r="B151" s="12"/>
      <c r="E151"/>
    </row>
    <row r="152" spans="1:5" x14ac:dyDescent="0.3">
      <c r="A152" s="12"/>
      <c r="B152" s="12"/>
      <c r="E152"/>
    </row>
    <row r="153" spans="1:5" x14ac:dyDescent="0.3">
      <c r="A153" s="12"/>
      <c r="B153" s="12"/>
      <c r="E153"/>
    </row>
    <row r="154" spans="1:5" x14ac:dyDescent="0.3">
      <c r="A154" s="12"/>
      <c r="B154" s="12"/>
      <c r="E154"/>
    </row>
    <row r="155" spans="1:5" x14ac:dyDescent="0.3">
      <c r="A155" s="12"/>
      <c r="B155" s="12"/>
      <c r="E155"/>
    </row>
    <row r="156" spans="1:5" x14ac:dyDescent="0.3">
      <c r="A156" s="12"/>
      <c r="B156" s="12"/>
      <c r="E156"/>
    </row>
    <row r="157" spans="1:5" x14ac:dyDescent="0.3">
      <c r="A157" s="12"/>
      <c r="B157" s="12"/>
      <c r="E157"/>
    </row>
    <row r="158" spans="1:5" x14ac:dyDescent="0.3">
      <c r="A158" s="12"/>
      <c r="B158" s="12"/>
      <c r="E158"/>
    </row>
    <row r="159" spans="1:5" x14ac:dyDescent="0.3">
      <c r="A159" s="12"/>
      <c r="B159" s="12"/>
      <c r="E159"/>
    </row>
    <row r="160" spans="1:5" x14ac:dyDescent="0.3">
      <c r="A160" s="12"/>
      <c r="B160" s="12"/>
      <c r="E160"/>
    </row>
    <row r="161" spans="1:5" x14ac:dyDescent="0.3">
      <c r="A161" s="12"/>
      <c r="B161" s="12"/>
      <c r="E161"/>
    </row>
    <row r="162" spans="1:5" x14ac:dyDescent="0.3">
      <c r="A162" s="12"/>
      <c r="B162" s="12"/>
      <c r="E162"/>
    </row>
    <row r="163" spans="1:5" x14ac:dyDescent="0.3">
      <c r="A163" s="12"/>
      <c r="B163" s="12"/>
      <c r="E163"/>
    </row>
    <row r="164" spans="1:5" x14ac:dyDescent="0.3">
      <c r="A164" s="12"/>
      <c r="B164" s="12"/>
      <c r="E164"/>
    </row>
    <row r="165" spans="1:5" x14ac:dyDescent="0.3">
      <c r="A165" s="12"/>
      <c r="B165" s="12"/>
      <c r="E165"/>
    </row>
    <row r="166" spans="1:5" x14ac:dyDescent="0.3">
      <c r="A166" s="12"/>
      <c r="B166" s="12"/>
      <c r="E166"/>
    </row>
    <row r="167" spans="1:5" x14ac:dyDescent="0.3">
      <c r="A167" s="12"/>
      <c r="B167" s="12"/>
      <c r="E167"/>
    </row>
    <row r="168" spans="1:5" x14ac:dyDescent="0.3">
      <c r="A168" s="12"/>
      <c r="B168" s="12"/>
      <c r="E168"/>
    </row>
    <row r="169" spans="1:5" x14ac:dyDescent="0.3">
      <c r="A169" s="12"/>
      <c r="B169" s="12"/>
      <c r="E169"/>
    </row>
    <row r="170" spans="1:5" x14ac:dyDescent="0.3">
      <c r="A170" s="12"/>
      <c r="B170" s="12"/>
      <c r="E170"/>
    </row>
    <row r="171" spans="1:5" x14ac:dyDescent="0.3">
      <c r="A171" s="12"/>
      <c r="B171" s="12"/>
      <c r="E171"/>
    </row>
    <row r="172" spans="1:5" x14ac:dyDescent="0.3">
      <c r="A172" s="12"/>
      <c r="B172" s="12"/>
      <c r="E172"/>
    </row>
    <row r="173" spans="1:5" x14ac:dyDescent="0.3">
      <c r="A173" s="12"/>
      <c r="B173" s="12"/>
      <c r="E173"/>
    </row>
    <row r="174" spans="1:5" x14ac:dyDescent="0.3">
      <c r="A174" s="12"/>
      <c r="B174" s="12"/>
      <c r="E174"/>
    </row>
    <row r="175" spans="1:5" x14ac:dyDescent="0.3">
      <c r="A175" s="12"/>
      <c r="B175" s="12"/>
      <c r="E175"/>
    </row>
    <row r="176" spans="1:5" x14ac:dyDescent="0.3">
      <c r="A176" s="12"/>
      <c r="B176" s="12"/>
      <c r="E176"/>
    </row>
    <row r="177" spans="1:5" x14ac:dyDescent="0.3">
      <c r="A177" s="12"/>
      <c r="B177" s="12"/>
      <c r="E177"/>
    </row>
    <row r="178" spans="1:5" x14ac:dyDescent="0.3">
      <c r="A178" s="12"/>
      <c r="B178" s="12"/>
      <c r="E178"/>
    </row>
    <row r="179" spans="1:5" x14ac:dyDescent="0.3">
      <c r="A179" s="12"/>
      <c r="B179" s="12"/>
      <c r="E179"/>
    </row>
    <row r="180" spans="1:5" x14ac:dyDescent="0.3">
      <c r="A180" s="12"/>
      <c r="B180" s="12"/>
      <c r="E180"/>
    </row>
    <row r="181" spans="1:5" x14ac:dyDescent="0.3">
      <c r="A181" s="12"/>
      <c r="B181" s="12"/>
      <c r="E181"/>
    </row>
    <row r="182" spans="1:5" x14ac:dyDescent="0.3">
      <c r="A182" s="12"/>
      <c r="B182" s="12"/>
      <c r="E182"/>
    </row>
    <row r="183" spans="1:5" x14ac:dyDescent="0.3">
      <c r="A183" s="12"/>
      <c r="B183" s="12"/>
      <c r="E183"/>
    </row>
    <row r="184" spans="1:5" x14ac:dyDescent="0.3">
      <c r="A184" s="12"/>
      <c r="B184" s="12"/>
      <c r="E184"/>
    </row>
    <row r="185" spans="1:5" x14ac:dyDescent="0.3">
      <c r="A185" s="12"/>
      <c r="B185" s="12"/>
      <c r="E185"/>
    </row>
    <row r="186" spans="1:5" x14ac:dyDescent="0.3">
      <c r="A186" s="12"/>
      <c r="B186" s="12"/>
      <c r="E186"/>
    </row>
    <row r="187" spans="1:5" x14ac:dyDescent="0.3">
      <c r="A187" s="12"/>
      <c r="B187" s="12"/>
      <c r="E187"/>
    </row>
    <row r="188" spans="1:5" x14ac:dyDescent="0.3">
      <c r="A188" s="12"/>
      <c r="B188" s="12"/>
      <c r="E188"/>
    </row>
    <row r="189" spans="1:5" x14ac:dyDescent="0.3">
      <c r="A189" s="12"/>
      <c r="B189" s="12"/>
      <c r="E189"/>
    </row>
    <row r="190" spans="1:5" x14ac:dyDescent="0.3">
      <c r="A190" s="12"/>
      <c r="B190" s="12"/>
      <c r="E190"/>
    </row>
    <row r="191" spans="1:5" x14ac:dyDescent="0.3">
      <c r="A191" s="12"/>
      <c r="B191" s="12"/>
      <c r="E191"/>
    </row>
    <row r="192" spans="1:5" x14ac:dyDescent="0.3">
      <c r="A192" s="12"/>
      <c r="B192" s="12"/>
      <c r="E192"/>
    </row>
    <row r="193" spans="1:5" x14ac:dyDescent="0.3">
      <c r="A193" s="12"/>
      <c r="B193" s="12"/>
      <c r="E193"/>
    </row>
    <row r="194" spans="1:5" x14ac:dyDescent="0.3">
      <c r="A194" s="12"/>
      <c r="B194" s="12"/>
      <c r="E194"/>
    </row>
    <row r="195" spans="1:5" x14ac:dyDescent="0.3">
      <c r="A195" s="12"/>
      <c r="B195" s="12"/>
      <c r="E195"/>
    </row>
    <row r="196" spans="1:5" x14ac:dyDescent="0.3">
      <c r="A196" s="12"/>
      <c r="B196" s="12"/>
      <c r="E196"/>
    </row>
    <row r="197" spans="1:5" x14ac:dyDescent="0.3">
      <c r="A197" s="12"/>
      <c r="B197" s="12"/>
      <c r="E197"/>
    </row>
    <row r="198" spans="1:5" x14ac:dyDescent="0.3">
      <c r="A198" s="12"/>
      <c r="B198" s="12"/>
      <c r="E198"/>
    </row>
    <row r="199" spans="1:5" x14ac:dyDescent="0.3">
      <c r="A199" s="12"/>
      <c r="B199" s="12"/>
      <c r="E199"/>
    </row>
    <row r="200" spans="1:5" x14ac:dyDescent="0.3">
      <c r="A200" s="12"/>
      <c r="B200" s="12"/>
      <c r="E200"/>
    </row>
    <row r="201" spans="1:5" x14ac:dyDescent="0.3">
      <c r="A201" s="12"/>
      <c r="B201" s="12"/>
      <c r="E201"/>
    </row>
    <row r="202" spans="1:5" x14ac:dyDescent="0.3">
      <c r="A202" s="12"/>
      <c r="B202" s="12"/>
      <c r="E202"/>
    </row>
    <row r="203" spans="1:5" x14ac:dyDescent="0.3">
      <c r="A203" s="12"/>
      <c r="B203" s="12"/>
      <c r="E203"/>
    </row>
    <row r="204" spans="1:5" x14ac:dyDescent="0.3">
      <c r="A204" s="12"/>
      <c r="B204" s="12"/>
      <c r="E204"/>
    </row>
    <row r="205" spans="1:5" x14ac:dyDescent="0.3">
      <c r="A205" s="12"/>
      <c r="B205" s="12"/>
      <c r="E205"/>
    </row>
    <row r="206" spans="1:5" x14ac:dyDescent="0.3">
      <c r="A206" s="12"/>
      <c r="B206" s="12"/>
      <c r="E206"/>
    </row>
    <row r="207" spans="1:5" x14ac:dyDescent="0.3">
      <c r="A207" s="12"/>
      <c r="B207" s="12"/>
      <c r="E207"/>
    </row>
    <row r="208" spans="1:5" x14ac:dyDescent="0.3">
      <c r="A208" s="12"/>
      <c r="B208" s="12"/>
      <c r="E208"/>
    </row>
    <row r="209" spans="1:5" x14ac:dyDescent="0.3">
      <c r="A209" s="12"/>
      <c r="B209" s="12"/>
      <c r="E209"/>
    </row>
    <row r="210" spans="1:5" x14ac:dyDescent="0.3">
      <c r="A210" s="12"/>
      <c r="B210" s="12"/>
      <c r="E210"/>
    </row>
    <row r="211" spans="1:5" x14ac:dyDescent="0.3">
      <c r="E211"/>
    </row>
    <row r="212" spans="1:5" x14ac:dyDescent="0.3">
      <c r="E212"/>
    </row>
    <row r="213" spans="1:5" x14ac:dyDescent="0.3">
      <c r="E213"/>
    </row>
    <row r="214" spans="1:5" x14ac:dyDescent="0.3">
      <c r="E214"/>
    </row>
    <row r="215" spans="1:5" x14ac:dyDescent="0.3">
      <c r="E215"/>
    </row>
    <row r="216" spans="1:5" x14ac:dyDescent="0.3">
      <c r="E216"/>
    </row>
    <row r="217" spans="1:5" x14ac:dyDescent="0.3">
      <c r="E217"/>
    </row>
    <row r="218" spans="1:5" x14ac:dyDescent="0.3">
      <c r="E218"/>
    </row>
    <row r="219" spans="1:5" x14ac:dyDescent="0.3">
      <c r="E219"/>
    </row>
    <row r="220" spans="1:5" x14ac:dyDescent="0.3">
      <c r="E220"/>
    </row>
  </sheetData>
  <sortState ref="A93:D126">
    <sortCondition ref="A93:A126"/>
  </sortState>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Run">
          <controlPr defaultSize="0" autoLine="0" r:id="rId5">
            <anchor moveWithCells="1">
              <from>
                <xdr:col>10</xdr:col>
                <xdr:colOff>121920</xdr:colOff>
                <xdr:row>0</xdr:row>
                <xdr:rowOff>220980</xdr:rowOff>
              </from>
              <to>
                <xdr:col>11</xdr:col>
                <xdr:colOff>533400</xdr:colOff>
                <xdr:row>1</xdr:row>
                <xdr:rowOff>205740</xdr:rowOff>
              </to>
            </anchor>
          </controlPr>
        </control>
      </mc:Choice>
      <mc:Fallback>
        <control shapeId="1032" r:id="rId4" name="cmdRun"/>
      </mc:Fallback>
    </mc:AlternateContent>
    <mc:AlternateContent xmlns:mc="http://schemas.openxmlformats.org/markup-compatibility/2006">
      <mc:Choice Requires="x14">
        <control shapeId="1028" r:id="rId6" name="cmdRead">
          <controlPr defaultSize="0" autoLine="0" r:id="rId7">
            <anchor moveWithCells="1">
              <from>
                <xdr:col>6</xdr:col>
                <xdr:colOff>373380</xdr:colOff>
                <xdr:row>0</xdr:row>
                <xdr:rowOff>220980</xdr:rowOff>
              </from>
              <to>
                <xdr:col>8</xdr:col>
                <xdr:colOff>175260</xdr:colOff>
                <xdr:row>1</xdr:row>
                <xdr:rowOff>205740</xdr:rowOff>
              </to>
            </anchor>
          </controlPr>
        </control>
      </mc:Choice>
      <mc:Fallback>
        <control shapeId="1028" r:id="rId6" name="cmdRead"/>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220980</xdr:rowOff>
              </from>
              <to>
                <xdr:col>10</xdr:col>
                <xdr:colOff>30480</xdr:colOff>
                <xdr:row>1</xdr:row>
                <xdr:rowOff>205740</xdr:rowOff>
              </to>
            </anchor>
          </controlPr>
        </control>
      </mc:Choice>
      <mc:Fallback>
        <control shapeId="1025" r:id="rId8" name="cmdWrite"/>
      </mc:Fallback>
    </mc:AlternateContent>
    <mc:AlternateContent xmlns:mc="http://schemas.openxmlformats.org/markup-compatibility/2006">
      <mc:Choice Requires="x14">
        <control shapeId="1034" r:id="rId10" name="cmbBoxCont">
          <controlPr defaultSize="0" autoLine="0" linkedCell="B2" r:id="rId11">
            <anchor moveWithCells="1">
              <from>
                <xdr:col>1</xdr:col>
                <xdr:colOff>22860</xdr:colOff>
                <xdr:row>1</xdr:row>
                <xdr:rowOff>22860</xdr:rowOff>
              </from>
              <to>
                <xdr:col>3</xdr:col>
                <xdr:colOff>22860</xdr:colOff>
                <xdr:row>2</xdr:row>
                <xdr:rowOff>7620</xdr:rowOff>
              </to>
            </anchor>
          </controlPr>
        </control>
      </mc:Choice>
      <mc:Fallback>
        <control shapeId="1034" r:id="rId10" name="cmbBoxCont"/>
      </mc:Fallback>
    </mc:AlternateContent>
    <mc:AlternateContent xmlns:mc="http://schemas.openxmlformats.org/markup-compatibility/2006">
      <mc:Choice Requires="x14">
        <control shapeId="1036" r:id="rId12" name="cmdGetCont">
          <controlPr defaultSize="0" autoLine="0" r:id="rId13">
            <anchor moveWithCells="1">
              <from>
                <xdr:col>4</xdr:col>
                <xdr:colOff>457200</xdr:colOff>
                <xdr:row>0</xdr:row>
                <xdr:rowOff>220980</xdr:rowOff>
              </from>
              <to>
                <xdr:col>6</xdr:col>
                <xdr:colOff>243840</xdr:colOff>
                <xdr:row>1</xdr:row>
                <xdr:rowOff>205740</xdr:rowOff>
              </to>
            </anchor>
          </controlPr>
        </control>
      </mc:Choice>
      <mc:Fallback>
        <control shapeId="1036" r:id="rId12" name="cmdGetCon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G595"/>
  <sheetViews>
    <sheetView workbookViewId="0">
      <pane xSplit="13" ySplit="5" topLeftCell="N6" activePane="bottomRight" state="frozen"/>
      <selection pane="topRight" activeCell="N1" sqref="N1"/>
      <selection pane="bottomLeft" activeCell="A6" sqref="A6"/>
      <selection pane="bottomRight"/>
    </sheetView>
  </sheetViews>
  <sheetFormatPr defaultRowHeight="14.4" x14ac:dyDescent="0.3"/>
  <cols>
    <col min="1" max="1" width="12.44140625" customWidth="1"/>
    <col min="2" max="2" width="12.6640625" customWidth="1"/>
    <col min="3" max="3" width="7.33203125" customWidth="1"/>
    <col min="10" max="10" width="9.109375" style="28"/>
    <col min="11" max="25" width="9.109375" style="126"/>
    <col min="26" max="26" width="9.109375" style="142"/>
    <col min="27" max="32" width="9.109375" style="126"/>
    <col min="33" max="33" width="29.6640625" bestFit="1" customWidth="1"/>
  </cols>
  <sheetData>
    <row r="1" spans="1:33" ht="25.2" customHeight="1" x14ac:dyDescent="0.3">
      <c r="A1" s="125" t="s">
        <v>1832</v>
      </c>
      <c r="J1"/>
      <c r="K1"/>
      <c r="L1"/>
      <c r="M1"/>
      <c r="N1"/>
      <c r="O1"/>
      <c r="P1"/>
      <c r="Q1"/>
      <c r="R1"/>
      <c r="S1"/>
      <c r="T1"/>
      <c r="U1"/>
      <c r="V1"/>
      <c r="W1"/>
      <c r="X1"/>
      <c r="Y1"/>
      <c r="Z1"/>
      <c r="AA1"/>
      <c r="AB1"/>
      <c r="AC1"/>
      <c r="AD1"/>
      <c r="AE1"/>
      <c r="AF1"/>
    </row>
    <row r="2" spans="1:33" ht="19.95" customHeight="1" x14ac:dyDescent="0.3">
      <c r="A2" s="31" t="s">
        <v>1637</v>
      </c>
      <c r="B2" s="116" t="s">
        <v>2147</v>
      </c>
      <c r="C2" s="116"/>
      <c r="D2" s="31"/>
      <c r="E2" s="117"/>
      <c r="J2"/>
      <c r="K2"/>
      <c r="L2"/>
      <c r="M2"/>
      <c r="N2"/>
      <c r="O2"/>
      <c r="P2"/>
      <c r="Q2"/>
      <c r="R2"/>
      <c r="S2"/>
      <c r="T2"/>
      <c r="U2"/>
      <c r="V2"/>
      <c r="W2"/>
      <c r="X2"/>
      <c r="Y2"/>
      <c r="Z2"/>
      <c r="AA2"/>
      <c r="AB2"/>
      <c r="AC2"/>
      <c r="AD2"/>
      <c r="AE2"/>
      <c r="AF2"/>
    </row>
    <row r="3" spans="1:33" ht="15.6" customHeight="1" x14ac:dyDescent="0.3">
      <c r="A3" s="120" t="s">
        <v>1462</v>
      </c>
      <c r="B3" s="121"/>
      <c r="C3" s="122" t="s">
        <v>1463</v>
      </c>
      <c r="D3" s="116"/>
      <c r="J3"/>
      <c r="K3"/>
      <c r="L3"/>
      <c r="M3"/>
      <c r="N3"/>
      <c r="O3"/>
      <c r="P3"/>
      <c r="Q3"/>
      <c r="R3"/>
      <c r="S3"/>
      <c r="T3"/>
      <c r="U3"/>
      <c r="V3"/>
      <c r="W3"/>
      <c r="X3"/>
      <c r="Y3"/>
      <c r="Z3"/>
      <c r="AA3"/>
      <c r="AB3"/>
      <c r="AC3"/>
      <c r="AD3"/>
      <c r="AE3"/>
      <c r="AF3"/>
    </row>
    <row r="4" spans="1:33" s="5" customFormat="1" ht="12" x14ac:dyDescent="0.25">
      <c r="A4" s="173" t="s">
        <v>115</v>
      </c>
      <c r="B4" s="173" t="s">
        <v>1769</v>
      </c>
      <c r="C4" s="173"/>
      <c r="D4" s="5">
        <v>1</v>
      </c>
      <c r="E4" s="5">
        <v>2</v>
      </c>
      <c r="F4" s="5">
        <v>3</v>
      </c>
      <c r="G4" s="5">
        <v>4</v>
      </c>
      <c r="H4" s="5">
        <v>5</v>
      </c>
      <c r="I4" s="5">
        <v>6</v>
      </c>
      <c r="J4" s="5">
        <v>7</v>
      </c>
      <c r="K4" s="5">
        <v>8</v>
      </c>
      <c r="L4" s="5">
        <v>9</v>
      </c>
      <c r="M4" s="5">
        <v>10</v>
      </c>
      <c r="N4" s="5">
        <v>11</v>
      </c>
      <c r="O4" s="5">
        <v>12</v>
      </c>
      <c r="P4" s="5">
        <v>13</v>
      </c>
      <c r="Q4" s="5">
        <v>14</v>
      </c>
      <c r="R4" s="5">
        <v>15</v>
      </c>
      <c r="S4" s="5">
        <v>16</v>
      </c>
      <c r="T4" s="5">
        <v>17</v>
      </c>
      <c r="U4" s="5">
        <v>18</v>
      </c>
      <c r="V4" s="5">
        <v>19</v>
      </c>
      <c r="W4" s="5">
        <v>20</v>
      </c>
      <c r="X4" s="5">
        <v>21</v>
      </c>
      <c r="Y4" s="5">
        <v>22</v>
      </c>
      <c r="Z4" s="5">
        <v>23</v>
      </c>
      <c r="AA4" s="5">
        <v>24</v>
      </c>
      <c r="AB4" s="5">
        <v>25</v>
      </c>
      <c r="AC4" s="5">
        <v>26</v>
      </c>
      <c r="AD4" s="5">
        <v>27</v>
      </c>
      <c r="AE4" s="5">
        <v>28</v>
      </c>
      <c r="AF4" s="5">
        <v>29</v>
      </c>
      <c r="AG4" s="5">
        <v>30</v>
      </c>
    </row>
    <row r="5" spans="1:33" s="8" customFormat="1" x14ac:dyDescent="0.3">
      <c r="A5" s="8" t="s">
        <v>116</v>
      </c>
      <c r="B5" s="8" t="s">
        <v>117</v>
      </c>
      <c r="C5" s="8" t="s">
        <v>118</v>
      </c>
      <c r="D5" s="8" t="s">
        <v>119</v>
      </c>
      <c r="E5" s="8" t="s">
        <v>120</v>
      </c>
      <c r="F5" s="8" t="s">
        <v>121</v>
      </c>
      <c r="G5" s="8" t="s">
        <v>122</v>
      </c>
      <c r="H5" s="8" t="s">
        <v>123</v>
      </c>
      <c r="I5" s="8" t="s">
        <v>124</v>
      </c>
      <c r="J5" s="8" t="s">
        <v>125</v>
      </c>
      <c r="K5" s="8" t="s">
        <v>126</v>
      </c>
      <c r="L5" s="8" t="s">
        <v>127</v>
      </c>
      <c r="M5" s="8" t="s">
        <v>128</v>
      </c>
      <c r="N5" s="8" t="s">
        <v>129</v>
      </c>
      <c r="O5" s="8" t="s">
        <v>130</v>
      </c>
      <c r="P5" s="8" t="s">
        <v>131</v>
      </c>
      <c r="Q5" s="8" t="s">
        <v>132</v>
      </c>
      <c r="R5" s="8" t="s">
        <v>133</v>
      </c>
      <c r="S5" s="8" t="s">
        <v>134</v>
      </c>
      <c r="T5" s="8" t="s">
        <v>135</v>
      </c>
      <c r="U5" s="8" t="s">
        <v>136</v>
      </c>
      <c r="V5" s="8" t="s">
        <v>137</v>
      </c>
      <c r="W5" s="8" t="s">
        <v>138</v>
      </c>
      <c r="X5" s="8" t="s">
        <v>139</v>
      </c>
      <c r="Y5" s="8" t="s">
        <v>140</v>
      </c>
      <c r="Z5" s="8" t="s">
        <v>141</v>
      </c>
      <c r="AA5" s="8" t="s">
        <v>142</v>
      </c>
      <c r="AB5" s="8" t="s">
        <v>143</v>
      </c>
      <c r="AC5" s="8" t="s">
        <v>144</v>
      </c>
      <c r="AD5" s="8" t="s">
        <v>145</v>
      </c>
      <c r="AE5" s="8" t="s">
        <v>146</v>
      </c>
      <c r="AF5" s="8" t="s">
        <v>147</v>
      </c>
      <c r="AG5" s="8" t="s">
        <v>148</v>
      </c>
    </row>
    <row r="6" spans="1:33" x14ac:dyDescent="0.3">
      <c r="A6">
        <v>1</v>
      </c>
      <c r="B6" t="s">
        <v>149</v>
      </c>
      <c r="C6" t="s">
        <v>150</v>
      </c>
      <c r="D6">
        <v>16237</v>
      </c>
      <c r="E6">
        <v>17861</v>
      </c>
      <c r="F6">
        <v>320</v>
      </c>
      <c r="G6">
        <v>12000</v>
      </c>
      <c r="H6">
        <v>30</v>
      </c>
      <c r="I6">
        <v>0.3</v>
      </c>
      <c r="J6" s="28">
        <v>0</v>
      </c>
      <c r="K6" s="126">
        <v>7.0000000000000001E-3</v>
      </c>
      <c r="L6" s="126">
        <v>2</v>
      </c>
      <c r="M6" s="126">
        <v>0.1</v>
      </c>
      <c r="N6" s="126">
        <v>0.36599999999999999</v>
      </c>
      <c r="O6" s="126">
        <v>0.68</v>
      </c>
      <c r="P6" s="126">
        <v>0.92</v>
      </c>
      <c r="Q6" s="126">
        <v>0</v>
      </c>
      <c r="R6" s="126">
        <v>0</v>
      </c>
      <c r="S6" s="126">
        <v>0</v>
      </c>
      <c r="T6" s="126">
        <v>0</v>
      </c>
      <c r="U6" s="126">
        <v>0</v>
      </c>
      <c r="V6" s="126">
        <v>0</v>
      </c>
      <c r="W6" s="126">
        <v>0</v>
      </c>
      <c r="X6" s="126">
        <v>0</v>
      </c>
      <c r="Y6" s="126">
        <v>0</v>
      </c>
      <c r="Z6" s="142">
        <v>4</v>
      </c>
      <c r="AA6" s="126">
        <v>0</v>
      </c>
      <c r="AB6" s="126">
        <v>0</v>
      </c>
      <c r="AC6" s="126">
        <v>0</v>
      </c>
      <c r="AD6" s="126">
        <v>0</v>
      </c>
      <c r="AE6" s="126">
        <v>0</v>
      </c>
      <c r="AF6" s="126">
        <v>0.15</v>
      </c>
      <c r="AG6" t="s">
        <v>2816</v>
      </c>
    </row>
    <row r="7" spans="1:33" x14ac:dyDescent="0.3">
      <c r="A7">
        <v>2</v>
      </c>
      <c r="B7" t="s">
        <v>151</v>
      </c>
      <c r="C7" t="s">
        <v>150</v>
      </c>
      <c r="D7">
        <v>16600</v>
      </c>
      <c r="E7">
        <v>18260</v>
      </c>
      <c r="F7">
        <v>320</v>
      </c>
      <c r="G7">
        <v>12000</v>
      </c>
      <c r="H7">
        <v>30</v>
      </c>
      <c r="I7">
        <v>0.3</v>
      </c>
      <c r="J7" s="28">
        <v>0</v>
      </c>
      <c r="K7" s="126">
        <v>7.0000000000000001E-3</v>
      </c>
      <c r="L7" s="126">
        <v>2</v>
      </c>
      <c r="M7" s="126">
        <v>0.1</v>
      </c>
      <c r="N7" s="126">
        <v>0.30499999999999999</v>
      </c>
      <c r="O7" s="126">
        <v>0.68</v>
      </c>
      <c r="P7" s="126">
        <v>0.92</v>
      </c>
      <c r="Q7" s="126">
        <v>0</v>
      </c>
      <c r="R7" s="126">
        <v>0</v>
      </c>
      <c r="S7" s="126">
        <v>0</v>
      </c>
      <c r="T7" s="126">
        <v>0</v>
      </c>
      <c r="U7" s="126">
        <v>0</v>
      </c>
      <c r="V7" s="126">
        <v>0</v>
      </c>
      <c r="W7" s="126">
        <v>0</v>
      </c>
      <c r="X7" s="126">
        <v>0</v>
      </c>
      <c r="Y7" s="126">
        <v>0</v>
      </c>
      <c r="Z7" s="142">
        <v>4</v>
      </c>
      <c r="AA7" s="126">
        <v>0</v>
      </c>
      <c r="AB7" s="126">
        <v>0</v>
      </c>
      <c r="AC7" s="126">
        <v>0</v>
      </c>
      <c r="AD7" s="126">
        <v>0</v>
      </c>
      <c r="AE7" s="126">
        <v>0</v>
      </c>
      <c r="AF7" s="126">
        <v>0.15</v>
      </c>
      <c r="AG7" t="s">
        <v>2409</v>
      </c>
    </row>
    <row r="8" spans="1:33" x14ac:dyDescent="0.3">
      <c r="A8">
        <v>3</v>
      </c>
      <c r="B8" t="s">
        <v>152</v>
      </c>
      <c r="C8" t="s">
        <v>150</v>
      </c>
      <c r="D8">
        <v>16600</v>
      </c>
      <c r="E8">
        <v>18260</v>
      </c>
      <c r="F8">
        <v>320</v>
      </c>
      <c r="G8">
        <v>12000</v>
      </c>
      <c r="H8">
        <v>30</v>
      </c>
      <c r="I8">
        <v>0.3</v>
      </c>
      <c r="J8" s="28">
        <v>0</v>
      </c>
      <c r="K8" s="126">
        <v>7.0000000000000001E-3</v>
      </c>
      <c r="L8" s="126">
        <v>2</v>
      </c>
      <c r="M8" s="126">
        <v>0.1</v>
      </c>
      <c r="N8" s="126">
        <v>0.223</v>
      </c>
      <c r="O8" s="126">
        <v>0.68</v>
      </c>
      <c r="P8" s="126">
        <v>0.92</v>
      </c>
      <c r="Q8" s="126">
        <v>0</v>
      </c>
      <c r="R8" s="126">
        <v>0</v>
      </c>
      <c r="S8" s="126">
        <v>0</v>
      </c>
      <c r="T8" s="126">
        <v>0</v>
      </c>
      <c r="U8" s="126">
        <v>0</v>
      </c>
      <c r="V8" s="126">
        <v>0</v>
      </c>
      <c r="W8" s="126">
        <v>0</v>
      </c>
      <c r="X8" s="126">
        <v>0</v>
      </c>
      <c r="Y8" s="126">
        <v>0</v>
      </c>
      <c r="Z8" s="142">
        <v>4</v>
      </c>
      <c r="AA8" s="126">
        <v>0</v>
      </c>
      <c r="AB8" s="126">
        <v>0</v>
      </c>
      <c r="AC8" s="126">
        <v>0</v>
      </c>
      <c r="AD8" s="126">
        <v>0</v>
      </c>
      <c r="AE8" s="126">
        <v>0</v>
      </c>
      <c r="AF8" s="126">
        <v>0.15</v>
      </c>
      <c r="AG8" t="s">
        <v>2817</v>
      </c>
    </row>
    <row r="9" spans="1:33" x14ac:dyDescent="0.3">
      <c r="A9">
        <v>4</v>
      </c>
      <c r="B9" t="s">
        <v>153</v>
      </c>
      <c r="C9" t="s">
        <v>150</v>
      </c>
      <c r="D9">
        <v>22000</v>
      </c>
      <c r="E9">
        <v>24200</v>
      </c>
      <c r="F9">
        <v>340</v>
      </c>
      <c r="G9">
        <v>12000</v>
      </c>
      <c r="H9">
        <v>41</v>
      </c>
      <c r="I9">
        <v>0.3</v>
      </c>
      <c r="J9" s="28">
        <v>0</v>
      </c>
      <c r="K9" s="126">
        <v>7.0000000000000001E-3</v>
      </c>
      <c r="L9" s="126">
        <v>2</v>
      </c>
      <c r="M9" s="126">
        <v>0.1</v>
      </c>
      <c r="N9" s="126">
        <v>0.36599999999999999</v>
      </c>
      <c r="O9" s="126">
        <v>0.68</v>
      </c>
      <c r="P9" s="126">
        <v>0.92</v>
      </c>
      <c r="Q9" s="126">
        <v>0</v>
      </c>
      <c r="R9" s="126">
        <v>0</v>
      </c>
      <c r="S9" s="126">
        <v>0</v>
      </c>
      <c r="T9" s="126">
        <v>0</v>
      </c>
      <c r="U9" s="126">
        <v>0</v>
      </c>
      <c r="V9" s="126">
        <v>0</v>
      </c>
      <c r="W9" s="126">
        <v>0</v>
      </c>
      <c r="X9" s="126">
        <v>0</v>
      </c>
      <c r="Y9" s="126">
        <v>0</v>
      </c>
      <c r="Z9" s="142">
        <v>4</v>
      </c>
      <c r="AA9" s="126">
        <v>0</v>
      </c>
      <c r="AB9" s="126">
        <v>0</v>
      </c>
      <c r="AC9" s="126">
        <v>0</v>
      </c>
      <c r="AD9" s="126">
        <v>0</v>
      </c>
      <c r="AE9" s="126">
        <v>0</v>
      </c>
      <c r="AF9" s="126">
        <v>0.15</v>
      </c>
      <c r="AG9" t="s">
        <v>2410</v>
      </c>
    </row>
    <row r="10" spans="1:33" x14ac:dyDescent="0.3">
      <c r="A10">
        <v>5</v>
      </c>
      <c r="B10" t="s">
        <v>154</v>
      </c>
      <c r="C10" t="s">
        <v>150</v>
      </c>
      <c r="D10">
        <v>22000</v>
      </c>
      <c r="E10">
        <v>24200</v>
      </c>
      <c r="F10">
        <v>340</v>
      </c>
      <c r="G10">
        <v>12000</v>
      </c>
      <c r="H10">
        <v>41</v>
      </c>
      <c r="I10">
        <v>0.3</v>
      </c>
      <c r="J10" s="28">
        <v>0</v>
      </c>
      <c r="K10" s="126">
        <v>7.0000000000000001E-3</v>
      </c>
      <c r="L10" s="126">
        <v>2</v>
      </c>
      <c r="M10" s="126">
        <v>0.1</v>
      </c>
      <c r="N10" s="126">
        <v>0.30499999999999999</v>
      </c>
      <c r="O10" s="126">
        <v>0.68</v>
      </c>
      <c r="P10" s="126">
        <v>0.92</v>
      </c>
      <c r="Q10" s="126">
        <v>0</v>
      </c>
      <c r="R10" s="126">
        <v>0</v>
      </c>
      <c r="S10" s="126">
        <v>0</v>
      </c>
      <c r="T10" s="126">
        <v>0</v>
      </c>
      <c r="U10" s="126">
        <v>0</v>
      </c>
      <c r="V10" s="126">
        <v>0</v>
      </c>
      <c r="W10" s="126">
        <v>0</v>
      </c>
      <c r="X10" s="126">
        <v>0</v>
      </c>
      <c r="Y10" s="126">
        <v>0</v>
      </c>
      <c r="Z10" s="142">
        <v>4</v>
      </c>
      <c r="AA10" s="126">
        <v>0</v>
      </c>
      <c r="AB10" s="126">
        <v>0</v>
      </c>
      <c r="AC10" s="126">
        <v>0</v>
      </c>
      <c r="AD10" s="126">
        <v>0</v>
      </c>
      <c r="AE10" s="126">
        <v>0</v>
      </c>
      <c r="AF10" s="126">
        <v>0.15</v>
      </c>
      <c r="AG10" t="s">
        <v>2411</v>
      </c>
    </row>
    <row r="11" spans="1:33" x14ac:dyDescent="0.3">
      <c r="A11">
        <v>6</v>
      </c>
      <c r="B11" t="s">
        <v>155</v>
      </c>
      <c r="C11" t="s">
        <v>150</v>
      </c>
      <c r="D11">
        <v>22000</v>
      </c>
      <c r="E11">
        <v>24200</v>
      </c>
      <c r="F11">
        <v>340</v>
      </c>
      <c r="G11">
        <v>12000</v>
      </c>
      <c r="H11">
        <v>41</v>
      </c>
      <c r="I11">
        <v>0.3</v>
      </c>
      <c r="J11" s="28">
        <v>0</v>
      </c>
      <c r="K11" s="126">
        <v>7.0000000000000001E-3</v>
      </c>
      <c r="L11" s="126">
        <v>2</v>
      </c>
      <c r="M11" s="126">
        <v>0.1</v>
      </c>
      <c r="N11" s="126">
        <v>0.223</v>
      </c>
      <c r="O11" s="126">
        <v>0.68</v>
      </c>
      <c r="P11" s="126">
        <v>0.92</v>
      </c>
      <c r="Q11" s="126">
        <v>0</v>
      </c>
      <c r="R11" s="126">
        <v>0</v>
      </c>
      <c r="S11" s="126">
        <v>0</v>
      </c>
      <c r="T11" s="126">
        <v>0</v>
      </c>
      <c r="U11" s="126">
        <v>0</v>
      </c>
      <c r="V11" s="126">
        <v>0</v>
      </c>
      <c r="W11" s="126">
        <v>0</v>
      </c>
      <c r="X11" s="126">
        <v>0</v>
      </c>
      <c r="Y11" s="126">
        <v>0</v>
      </c>
      <c r="Z11" s="142">
        <v>4</v>
      </c>
      <c r="AA11" s="126">
        <v>0</v>
      </c>
      <c r="AB11" s="126">
        <v>0</v>
      </c>
      <c r="AC11" s="126">
        <v>0</v>
      </c>
      <c r="AD11" s="126">
        <v>0</v>
      </c>
      <c r="AE11" s="126">
        <v>0</v>
      </c>
      <c r="AF11" s="126">
        <v>0.15</v>
      </c>
      <c r="AG11" t="s">
        <v>2818</v>
      </c>
    </row>
    <row r="12" spans="1:33" x14ac:dyDescent="0.3">
      <c r="A12">
        <v>7</v>
      </c>
      <c r="B12" t="s">
        <v>156</v>
      </c>
      <c r="C12" t="s">
        <v>150</v>
      </c>
      <c r="D12">
        <v>34200</v>
      </c>
      <c r="E12">
        <v>37620</v>
      </c>
      <c r="F12">
        <v>550</v>
      </c>
      <c r="G12">
        <v>12000</v>
      </c>
      <c r="H12">
        <v>63</v>
      </c>
      <c r="I12">
        <v>0.3</v>
      </c>
      <c r="J12" s="28">
        <v>0</v>
      </c>
      <c r="K12" s="126">
        <v>7.0000000000000001E-3</v>
      </c>
      <c r="L12" s="126">
        <v>2</v>
      </c>
      <c r="M12" s="126">
        <v>0.1</v>
      </c>
      <c r="N12" s="126">
        <v>0.36599999999999999</v>
      </c>
      <c r="O12" s="126">
        <v>0.68</v>
      </c>
      <c r="P12" s="126">
        <v>0.92</v>
      </c>
      <c r="Q12" s="126">
        <v>0</v>
      </c>
      <c r="R12" s="126">
        <v>0</v>
      </c>
      <c r="S12" s="126">
        <v>0</v>
      </c>
      <c r="T12" s="126">
        <v>0</v>
      </c>
      <c r="U12" s="126">
        <v>0</v>
      </c>
      <c r="V12" s="126">
        <v>0</v>
      </c>
      <c r="W12" s="126">
        <v>0</v>
      </c>
      <c r="X12" s="126">
        <v>0</v>
      </c>
      <c r="Y12" s="126">
        <v>0</v>
      </c>
      <c r="Z12" s="142">
        <v>4</v>
      </c>
      <c r="AA12" s="126">
        <v>0</v>
      </c>
      <c r="AB12" s="126">
        <v>0</v>
      </c>
      <c r="AC12" s="126">
        <v>0</v>
      </c>
      <c r="AD12" s="126">
        <v>0</v>
      </c>
      <c r="AE12" s="126">
        <v>0</v>
      </c>
      <c r="AF12" s="126">
        <v>0.15</v>
      </c>
      <c r="AG12" t="s">
        <v>2412</v>
      </c>
    </row>
    <row r="13" spans="1:33" x14ac:dyDescent="0.3">
      <c r="A13">
        <v>8</v>
      </c>
      <c r="B13" t="s">
        <v>157</v>
      </c>
      <c r="C13" t="s">
        <v>150</v>
      </c>
      <c r="D13">
        <v>34200</v>
      </c>
      <c r="E13">
        <v>37620</v>
      </c>
      <c r="F13">
        <v>550</v>
      </c>
      <c r="G13">
        <v>12000</v>
      </c>
      <c r="H13">
        <v>63</v>
      </c>
      <c r="I13">
        <v>0.3</v>
      </c>
      <c r="J13" s="28">
        <v>0</v>
      </c>
      <c r="K13" s="126">
        <v>7.0000000000000001E-3</v>
      </c>
      <c r="L13" s="126">
        <v>2</v>
      </c>
      <c r="M13" s="126">
        <v>0.1</v>
      </c>
      <c r="N13" s="126">
        <v>0.30499999999999999</v>
      </c>
      <c r="O13" s="126">
        <v>0.68</v>
      </c>
      <c r="P13" s="126">
        <v>0.92</v>
      </c>
      <c r="Q13" s="126">
        <v>0</v>
      </c>
      <c r="R13" s="126">
        <v>0</v>
      </c>
      <c r="S13" s="126">
        <v>0</v>
      </c>
      <c r="T13" s="126">
        <v>0</v>
      </c>
      <c r="U13" s="126">
        <v>0</v>
      </c>
      <c r="V13" s="126">
        <v>0</v>
      </c>
      <c r="W13" s="126">
        <v>0</v>
      </c>
      <c r="X13" s="126">
        <v>0</v>
      </c>
      <c r="Y13" s="126">
        <v>0</v>
      </c>
      <c r="Z13" s="142">
        <v>4</v>
      </c>
      <c r="AA13" s="126">
        <v>0</v>
      </c>
      <c r="AB13" s="126">
        <v>0</v>
      </c>
      <c r="AC13" s="126">
        <v>0</v>
      </c>
      <c r="AD13" s="126">
        <v>0</v>
      </c>
      <c r="AE13" s="126">
        <v>0</v>
      </c>
      <c r="AF13" s="126">
        <v>0.15</v>
      </c>
      <c r="AG13" t="s">
        <v>2413</v>
      </c>
    </row>
    <row r="14" spans="1:33" x14ac:dyDescent="0.3">
      <c r="A14">
        <v>9</v>
      </c>
      <c r="B14" t="s">
        <v>158</v>
      </c>
      <c r="C14" t="s">
        <v>150</v>
      </c>
      <c r="D14">
        <v>34200</v>
      </c>
      <c r="E14">
        <v>37620</v>
      </c>
      <c r="F14">
        <v>550</v>
      </c>
      <c r="G14">
        <v>12000</v>
      </c>
      <c r="H14">
        <v>63</v>
      </c>
      <c r="I14">
        <v>0.3</v>
      </c>
      <c r="J14" s="28">
        <v>0</v>
      </c>
      <c r="K14" s="126">
        <v>7.0000000000000001E-3</v>
      </c>
      <c r="L14" s="126">
        <v>2</v>
      </c>
      <c r="M14" s="126">
        <v>0.1</v>
      </c>
      <c r="N14" s="126">
        <v>0.223</v>
      </c>
      <c r="O14" s="126">
        <v>0.68</v>
      </c>
      <c r="P14" s="126">
        <v>0.92</v>
      </c>
      <c r="Q14" s="126">
        <v>0</v>
      </c>
      <c r="R14" s="126">
        <v>0</v>
      </c>
      <c r="S14" s="126">
        <v>0</v>
      </c>
      <c r="T14" s="126">
        <v>0</v>
      </c>
      <c r="U14" s="126">
        <v>0</v>
      </c>
      <c r="V14" s="126">
        <v>0</v>
      </c>
      <c r="W14" s="126">
        <v>0</v>
      </c>
      <c r="X14" s="126">
        <v>0</v>
      </c>
      <c r="Y14" s="126">
        <v>0</v>
      </c>
      <c r="Z14" s="142">
        <v>4</v>
      </c>
      <c r="AA14" s="126">
        <v>0</v>
      </c>
      <c r="AB14" s="126">
        <v>0</v>
      </c>
      <c r="AC14" s="126">
        <v>0</v>
      </c>
      <c r="AD14" s="126">
        <v>0</v>
      </c>
      <c r="AE14" s="126">
        <v>0</v>
      </c>
      <c r="AF14" s="126">
        <v>0.15</v>
      </c>
      <c r="AG14" t="s">
        <v>2819</v>
      </c>
    </row>
    <row r="15" spans="1:33" x14ac:dyDescent="0.3">
      <c r="A15">
        <v>10</v>
      </c>
      <c r="B15" t="s">
        <v>159</v>
      </c>
      <c r="C15" t="s">
        <v>150</v>
      </c>
      <c r="D15">
        <v>43400</v>
      </c>
      <c r="E15">
        <v>47740</v>
      </c>
      <c r="F15">
        <v>525</v>
      </c>
      <c r="G15">
        <v>12000</v>
      </c>
      <c r="H15">
        <v>75</v>
      </c>
      <c r="I15">
        <v>0.3</v>
      </c>
      <c r="J15" s="28">
        <v>0</v>
      </c>
      <c r="K15" s="126">
        <v>7.0000000000000001E-3</v>
      </c>
      <c r="L15" s="126">
        <v>2</v>
      </c>
      <c r="M15" s="126">
        <v>0.1</v>
      </c>
      <c r="N15" s="126">
        <v>0.36599999999999999</v>
      </c>
      <c r="O15" s="126">
        <v>0.68</v>
      </c>
      <c r="P15" s="126">
        <v>0.92</v>
      </c>
      <c r="Q15" s="126">
        <v>0</v>
      </c>
      <c r="R15" s="126">
        <v>0</v>
      </c>
      <c r="S15" s="126">
        <v>0</v>
      </c>
      <c r="T15" s="126">
        <v>0</v>
      </c>
      <c r="U15" s="126">
        <v>0</v>
      </c>
      <c r="V15" s="126">
        <v>0</v>
      </c>
      <c r="W15" s="126">
        <v>0</v>
      </c>
      <c r="X15" s="126">
        <v>0</v>
      </c>
      <c r="Y15" s="126">
        <v>0</v>
      </c>
      <c r="Z15" s="142">
        <v>4</v>
      </c>
      <c r="AA15" s="126">
        <v>0</v>
      </c>
      <c r="AB15" s="126">
        <v>0</v>
      </c>
      <c r="AC15" s="126">
        <v>0</v>
      </c>
      <c r="AD15" s="126">
        <v>0</v>
      </c>
      <c r="AE15" s="126">
        <v>0</v>
      </c>
      <c r="AF15" s="126">
        <v>0.15</v>
      </c>
      <c r="AG15" t="s">
        <v>2414</v>
      </c>
    </row>
    <row r="16" spans="1:33" x14ac:dyDescent="0.3">
      <c r="A16">
        <v>11</v>
      </c>
      <c r="B16" t="s">
        <v>160</v>
      </c>
      <c r="C16" t="s">
        <v>150</v>
      </c>
      <c r="D16">
        <v>2190</v>
      </c>
      <c r="E16">
        <v>2409</v>
      </c>
      <c r="F16">
        <v>900</v>
      </c>
      <c r="G16">
        <v>9000</v>
      </c>
      <c r="H16">
        <v>0</v>
      </c>
      <c r="I16">
        <v>0.3</v>
      </c>
      <c r="J16" s="28">
        <v>3.22</v>
      </c>
      <c r="K16" s="126">
        <v>1</v>
      </c>
      <c r="L16" s="126">
        <v>2E-3</v>
      </c>
      <c r="M16" s="126">
        <v>0.1</v>
      </c>
      <c r="N16" s="126">
        <v>0</v>
      </c>
      <c r="O16" s="126">
        <v>0.6</v>
      </c>
      <c r="P16" s="126">
        <v>0.88500000000000001</v>
      </c>
      <c r="Q16" s="126">
        <v>0.75</v>
      </c>
      <c r="R16" s="126">
        <v>0</v>
      </c>
      <c r="S16" s="126">
        <v>0</v>
      </c>
      <c r="T16" s="126">
        <v>0</v>
      </c>
      <c r="U16" s="126">
        <v>0</v>
      </c>
      <c r="V16" s="126">
        <v>0</v>
      </c>
      <c r="W16" s="126">
        <v>0</v>
      </c>
      <c r="X16" s="126">
        <v>0</v>
      </c>
      <c r="Y16" s="126">
        <v>0</v>
      </c>
      <c r="Z16" s="142">
        <v>4</v>
      </c>
      <c r="AA16" s="126">
        <v>0</v>
      </c>
      <c r="AB16" s="126">
        <v>0</v>
      </c>
      <c r="AC16" s="126">
        <v>0</v>
      </c>
      <c r="AD16" s="126">
        <v>0</v>
      </c>
      <c r="AE16" s="126">
        <v>0</v>
      </c>
      <c r="AF16" s="126">
        <v>0.15</v>
      </c>
      <c r="AG16" t="s">
        <v>2415</v>
      </c>
    </row>
    <row r="17" spans="1:33" x14ac:dyDescent="0.3">
      <c r="A17">
        <v>12</v>
      </c>
      <c r="B17" t="s">
        <v>161</v>
      </c>
      <c r="C17" t="s">
        <v>150</v>
      </c>
      <c r="D17">
        <v>43400</v>
      </c>
      <c r="E17">
        <v>47740</v>
      </c>
      <c r="F17">
        <v>525</v>
      </c>
      <c r="G17">
        <v>12000</v>
      </c>
      <c r="H17">
        <v>75</v>
      </c>
      <c r="I17">
        <v>0.3</v>
      </c>
      <c r="J17" s="28">
        <v>0</v>
      </c>
      <c r="K17" s="126">
        <v>7.0000000000000001E-3</v>
      </c>
      <c r="L17" s="126">
        <v>2</v>
      </c>
      <c r="M17" s="126">
        <v>0.1</v>
      </c>
      <c r="N17" s="126">
        <v>0.223</v>
      </c>
      <c r="O17" s="126">
        <v>0.68</v>
      </c>
      <c r="P17" s="126">
        <v>0.92</v>
      </c>
      <c r="Q17" s="126">
        <v>0</v>
      </c>
      <c r="R17" s="126">
        <v>0</v>
      </c>
      <c r="S17" s="126">
        <v>0</v>
      </c>
      <c r="T17" s="126">
        <v>0</v>
      </c>
      <c r="U17" s="126">
        <v>0</v>
      </c>
      <c r="V17" s="126">
        <v>0</v>
      </c>
      <c r="W17" s="126">
        <v>0</v>
      </c>
      <c r="X17" s="126">
        <v>0</v>
      </c>
      <c r="Y17" s="126">
        <v>0</v>
      </c>
      <c r="Z17" s="142">
        <v>4</v>
      </c>
      <c r="AA17" s="126">
        <v>0</v>
      </c>
      <c r="AB17" s="126">
        <v>0</v>
      </c>
      <c r="AC17" s="126">
        <v>0</v>
      </c>
      <c r="AD17" s="126">
        <v>0</v>
      </c>
      <c r="AE17" s="126">
        <v>0</v>
      </c>
      <c r="AF17" s="126">
        <v>0.15</v>
      </c>
      <c r="AG17" t="s">
        <v>2820</v>
      </c>
    </row>
    <row r="18" spans="1:33" x14ac:dyDescent="0.3">
      <c r="A18">
        <v>15</v>
      </c>
      <c r="B18" t="s">
        <v>162</v>
      </c>
      <c r="C18" t="s">
        <v>150</v>
      </c>
      <c r="D18">
        <v>56288</v>
      </c>
      <c r="E18">
        <v>61916</v>
      </c>
      <c r="F18">
        <v>640</v>
      </c>
      <c r="G18">
        <v>12000</v>
      </c>
      <c r="H18">
        <v>101</v>
      </c>
      <c r="I18">
        <v>0.3</v>
      </c>
      <c r="J18" s="28">
        <v>0</v>
      </c>
      <c r="K18" s="126">
        <v>7.0000000000000001E-3</v>
      </c>
      <c r="L18" s="126">
        <v>2</v>
      </c>
      <c r="M18" s="126">
        <v>0.1</v>
      </c>
      <c r="N18" s="126">
        <v>0.223</v>
      </c>
      <c r="O18" s="126">
        <v>0.68</v>
      </c>
      <c r="P18" s="126">
        <v>0.92</v>
      </c>
      <c r="Q18" s="126">
        <v>0</v>
      </c>
      <c r="R18" s="126">
        <v>0</v>
      </c>
      <c r="S18" s="126">
        <v>0</v>
      </c>
      <c r="T18" s="126">
        <v>0</v>
      </c>
      <c r="U18" s="126">
        <v>0</v>
      </c>
      <c r="V18" s="126">
        <v>0</v>
      </c>
      <c r="W18" s="126">
        <v>0</v>
      </c>
      <c r="X18" s="126">
        <v>0</v>
      </c>
      <c r="Y18" s="126">
        <v>0</v>
      </c>
      <c r="Z18" s="142">
        <v>4</v>
      </c>
      <c r="AA18" s="126">
        <v>0</v>
      </c>
      <c r="AB18" s="126">
        <v>0</v>
      </c>
      <c r="AC18" s="126">
        <v>0</v>
      </c>
      <c r="AD18" s="126">
        <v>0</v>
      </c>
      <c r="AE18" s="126">
        <v>0</v>
      </c>
      <c r="AF18" s="126">
        <v>0.15</v>
      </c>
      <c r="AG18" t="s">
        <v>2821</v>
      </c>
    </row>
    <row r="19" spans="1:33" x14ac:dyDescent="0.3">
      <c r="A19">
        <v>18</v>
      </c>
      <c r="B19" t="s">
        <v>163</v>
      </c>
      <c r="C19" t="s">
        <v>150</v>
      </c>
      <c r="D19">
        <v>71619</v>
      </c>
      <c r="E19">
        <v>78781</v>
      </c>
      <c r="F19">
        <v>660</v>
      </c>
      <c r="G19">
        <v>12000</v>
      </c>
      <c r="H19">
        <v>119</v>
      </c>
      <c r="I19">
        <v>0.3</v>
      </c>
      <c r="J19" s="28">
        <v>0</v>
      </c>
      <c r="K19" s="126">
        <v>7.0000000000000001E-3</v>
      </c>
      <c r="L19" s="126">
        <v>2</v>
      </c>
      <c r="M19" s="126">
        <v>0.1</v>
      </c>
      <c r="N19" s="126">
        <v>0.223</v>
      </c>
      <c r="O19" s="126">
        <v>0.68</v>
      </c>
      <c r="P19" s="126">
        <v>0.92</v>
      </c>
      <c r="Q19" s="126">
        <v>0</v>
      </c>
      <c r="R19" s="126">
        <v>0</v>
      </c>
      <c r="S19" s="126">
        <v>0</v>
      </c>
      <c r="T19" s="126">
        <v>0</v>
      </c>
      <c r="U19" s="126">
        <v>0</v>
      </c>
      <c r="V19" s="126">
        <v>0</v>
      </c>
      <c r="W19" s="126">
        <v>0</v>
      </c>
      <c r="X19" s="126">
        <v>0</v>
      </c>
      <c r="Y19" s="126">
        <v>0</v>
      </c>
      <c r="Z19" s="142">
        <v>4</v>
      </c>
      <c r="AA19" s="126">
        <v>0</v>
      </c>
      <c r="AB19" s="126">
        <v>0</v>
      </c>
      <c r="AC19" s="126">
        <v>0</v>
      </c>
      <c r="AD19" s="126">
        <v>0</v>
      </c>
      <c r="AE19" s="126">
        <v>0</v>
      </c>
      <c r="AF19" s="126">
        <v>0.15</v>
      </c>
      <c r="AG19" t="s">
        <v>2822</v>
      </c>
    </row>
    <row r="20" spans="1:33" x14ac:dyDescent="0.3">
      <c r="A20">
        <v>21</v>
      </c>
      <c r="B20" t="s">
        <v>164</v>
      </c>
      <c r="C20" t="s">
        <v>150</v>
      </c>
      <c r="D20">
        <v>84254</v>
      </c>
      <c r="E20">
        <v>92679</v>
      </c>
      <c r="F20">
        <v>660</v>
      </c>
      <c r="G20">
        <v>12000</v>
      </c>
      <c r="H20">
        <v>130</v>
      </c>
      <c r="I20">
        <v>0.3</v>
      </c>
      <c r="J20" s="28">
        <v>0</v>
      </c>
      <c r="K20" s="126">
        <v>7.0000000000000001E-3</v>
      </c>
      <c r="L20" s="126">
        <v>2</v>
      </c>
      <c r="M20" s="126">
        <v>0.1</v>
      </c>
      <c r="N20" s="126">
        <v>0.223</v>
      </c>
      <c r="O20" s="126">
        <v>0.68</v>
      </c>
      <c r="P20" s="126">
        <v>0.92</v>
      </c>
      <c r="Q20" s="126">
        <v>0</v>
      </c>
      <c r="R20" s="126">
        <v>0</v>
      </c>
      <c r="S20" s="126">
        <v>0</v>
      </c>
      <c r="T20" s="126">
        <v>0</v>
      </c>
      <c r="U20" s="126">
        <v>0</v>
      </c>
      <c r="V20" s="126">
        <v>0</v>
      </c>
      <c r="W20" s="126">
        <v>0</v>
      </c>
      <c r="X20" s="126">
        <v>0</v>
      </c>
      <c r="Y20" s="126">
        <v>0</v>
      </c>
      <c r="Z20" s="142">
        <v>4</v>
      </c>
      <c r="AA20" s="126">
        <v>0</v>
      </c>
      <c r="AB20" s="126">
        <v>0</v>
      </c>
      <c r="AC20" s="126">
        <v>0</v>
      </c>
      <c r="AD20" s="126">
        <v>0</v>
      </c>
      <c r="AE20" s="126">
        <v>0</v>
      </c>
      <c r="AF20" s="126">
        <v>0.15</v>
      </c>
      <c r="AG20" t="s">
        <v>2823</v>
      </c>
    </row>
    <row r="21" spans="1:33" x14ac:dyDescent="0.3">
      <c r="A21">
        <v>24</v>
      </c>
      <c r="B21" t="s">
        <v>165</v>
      </c>
      <c r="C21" t="s">
        <v>150</v>
      </c>
      <c r="D21">
        <v>103428</v>
      </c>
      <c r="E21">
        <v>113771</v>
      </c>
      <c r="F21">
        <v>685</v>
      </c>
      <c r="G21">
        <v>12000</v>
      </c>
      <c r="H21">
        <v>153</v>
      </c>
      <c r="I21">
        <v>0.3</v>
      </c>
      <c r="J21" s="28">
        <v>0</v>
      </c>
      <c r="K21" s="126">
        <v>7.0000000000000001E-3</v>
      </c>
      <c r="L21" s="126">
        <v>2</v>
      </c>
      <c r="M21" s="126">
        <v>0.1</v>
      </c>
      <c r="N21" s="126">
        <v>0.223</v>
      </c>
      <c r="O21" s="126">
        <v>0.68</v>
      </c>
      <c r="P21" s="126">
        <v>0.92</v>
      </c>
      <c r="Q21" s="126">
        <v>0</v>
      </c>
      <c r="R21" s="126">
        <v>0</v>
      </c>
      <c r="S21" s="126">
        <v>0</v>
      </c>
      <c r="T21" s="126">
        <v>0</v>
      </c>
      <c r="U21" s="126">
        <v>0</v>
      </c>
      <c r="V21" s="126">
        <v>0</v>
      </c>
      <c r="W21" s="126">
        <v>0</v>
      </c>
      <c r="X21" s="126">
        <v>0</v>
      </c>
      <c r="Y21" s="126">
        <v>0</v>
      </c>
      <c r="Z21" s="142">
        <v>4</v>
      </c>
      <c r="AA21" s="126">
        <v>0</v>
      </c>
      <c r="AB21" s="126">
        <v>0</v>
      </c>
      <c r="AC21" s="126">
        <v>0</v>
      </c>
      <c r="AD21" s="126">
        <v>0</v>
      </c>
      <c r="AE21" s="126">
        <v>0</v>
      </c>
      <c r="AF21" s="126">
        <v>0.15</v>
      </c>
      <c r="AG21" t="s">
        <v>2824</v>
      </c>
    </row>
    <row r="22" spans="1:33" x14ac:dyDescent="0.3">
      <c r="A22">
        <v>27</v>
      </c>
      <c r="B22" t="s">
        <v>166</v>
      </c>
      <c r="C22" t="s">
        <v>150</v>
      </c>
      <c r="D22">
        <v>116240</v>
      </c>
      <c r="E22">
        <v>127864</v>
      </c>
      <c r="F22">
        <v>800</v>
      </c>
      <c r="G22">
        <v>12000</v>
      </c>
      <c r="H22">
        <v>168</v>
      </c>
      <c r="I22">
        <v>0.3</v>
      </c>
      <c r="J22" s="28">
        <v>0</v>
      </c>
      <c r="K22" s="126">
        <v>7.0000000000000001E-3</v>
      </c>
      <c r="L22" s="126">
        <v>2</v>
      </c>
      <c r="M22" s="126">
        <v>0.1</v>
      </c>
      <c r="N22" s="126">
        <v>0.223</v>
      </c>
      <c r="O22" s="126">
        <v>0.68</v>
      </c>
      <c r="P22" s="126">
        <v>0.92</v>
      </c>
      <c r="Q22" s="126">
        <v>0</v>
      </c>
      <c r="R22" s="126">
        <v>0</v>
      </c>
      <c r="S22" s="126">
        <v>0</v>
      </c>
      <c r="T22" s="126">
        <v>0</v>
      </c>
      <c r="U22" s="126">
        <v>0</v>
      </c>
      <c r="V22" s="126">
        <v>0</v>
      </c>
      <c r="W22" s="126">
        <v>0</v>
      </c>
      <c r="X22" s="126">
        <v>0</v>
      </c>
      <c r="Y22" s="126">
        <v>0</v>
      </c>
      <c r="Z22" s="142">
        <v>4</v>
      </c>
      <c r="AA22" s="126">
        <v>0</v>
      </c>
      <c r="AB22" s="126">
        <v>0</v>
      </c>
      <c r="AC22" s="126">
        <v>0</v>
      </c>
      <c r="AD22" s="126">
        <v>0</v>
      </c>
      <c r="AE22" s="126">
        <v>0</v>
      </c>
      <c r="AF22" s="126">
        <v>0.15</v>
      </c>
      <c r="AG22" t="s">
        <v>2825</v>
      </c>
    </row>
    <row r="23" spans="1:33" x14ac:dyDescent="0.3">
      <c r="A23">
        <v>30</v>
      </c>
      <c r="B23" t="s">
        <v>167</v>
      </c>
      <c r="C23" t="s">
        <v>150</v>
      </c>
      <c r="D23">
        <v>147253</v>
      </c>
      <c r="E23">
        <v>161978</v>
      </c>
      <c r="F23">
        <v>999</v>
      </c>
      <c r="G23">
        <v>12000</v>
      </c>
      <c r="H23">
        <v>216</v>
      </c>
      <c r="I23">
        <v>0.3</v>
      </c>
      <c r="J23" s="28">
        <v>0</v>
      </c>
      <c r="K23" s="126">
        <v>7.0000000000000001E-3</v>
      </c>
      <c r="L23" s="126">
        <v>2</v>
      </c>
      <c r="M23" s="126">
        <v>0.1</v>
      </c>
      <c r="N23" s="126">
        <v>0.223</v>
      </c>
      <c r="O23" s="126">
        <v>0.68</v>
      </c>
      <c r="P23" s="126">
        <v>0.92</v>
      </c>
      <c r="Q23" s="126">
        <v>0</v>
      </c>
      <c r="R23" s="126">
        <v>0</v>
      </c>
      <c r="S23" s="126">
        <v>0</v>
      </c>
      <c r="T23" s="126">
        <v>0</v>
      </c>
      <c r="U23" s="126">
        <v>0</v>
      </c>
      <c r="V23" s="126">
        <v>0</v>
      </c>
      <c r="W23" s="126">
        <v>0</v>
      </c>
      <c r="X23" s="126">
        <v>0</v>
      </c>
      <c r="Y23" s="126">
        <v>0</v>
      </c>
      <c r="Z23" s="142">
        <v>4</v>
      </c>
      <c r="AA23" s="126">
        <v>0</v>
      </c>
      <c r="AB23" s="126">
        <v>0</v>
      </c>
      <c r="AC23" s="126">
        <v>0</v>
      </c>
      <c r="AD23" s="126">
        <v>0</v>
      </c>
      <c r="AE23" s="126">
        <v>0</v>
      </c>
      <c r="AF23" s="126">
        <v>0.15</v>
      </c>
      <c r="AG23" t="s">
        <v>2826</v>
      </c>
    </row>
    <row r="24" spans="1:33" x14ac:dyDescent="0.3">
      <c r="A24">
        <v>33</v>
      </c>
      <c r="B24" t="s">
        <v>168</v>
      </c>
      <c r="C24" t="s">
        <v>150</v>
      </c>
      <c r="D24">
        <v>15908</v>
      </c>
      <c r="E24">
        <v>17499</v>
      </c>
      <c r="F24">
        <v>320</v>
      </c>
      <c r="G24">
        <v>12000</v>
      </c>
      <c r="H24">
        <v>30</v>
      </c>
      <c r="I24">
        <v>0.3</v>
      </c>
      <c r="J24" s="28">
        <v>0</v>
      </c>
      <c r="K24" s="126">
        <v>3.0000000000000001E-3</v>
      </c>
      <c r="L24" s="126">
        <v>2</v>
      </c>
      <c r="M24" s="126">
        <v>0.1</v>
      </c>
      <c r="N24" s="126">
        <v>0.223</v>
      </c>
      <c r="O24" s="126">
        <v>0.68</v>
      </c>
      <c r="P24" s="126">
        <v>0.92</v>
      </c>
      <c r="Q24" s="126">
        <v>0</v>
      </c>
      <c r="R24" s="126">
        <v>0</v>
      </c>
      <c r="S24" s="126">
        <v>0</v>
      </c>
      <c r="T24" s="126">
        <v>0</v>
      </c>
      <c r="U24" s="126">
        <v>0</v>
      </c>
      <c r="V24" s="126">
        <v>0</v>
      </c>
      <c r="W24" s="126">
        <v>0</v>
      </c>
      <c r="X24" s="126">
        <v>0</v>
      </c>
      <c r="Y24" s="126">
        <v>0</v>
      </c>
      <c r="Z24" s="142">
        <v>4</v>
      </c>
      <c r="AA24" s="126">
        <v>0</v>
      </c>
      <c r="AB24" s="126">
        <v>0</v>
      </c>
      <c r="AC24" s="126">
        <v>0</v>
      </c>
      <c r="AD24" s="126">
        <v>0</v>
      </c>
      <c r="AE24" s="126">
        <v>0</v>
      </c>
      <c r="AF24" s="126">
        <v>0.15</v>
      </c>
      <c r="AG24" t="s">
        <v>2827</v>
      </c>
    </row>
    <row r="25" spans="1:33" x14ac:dyDescent="0.3">
      <c r="A25">
        <v>36</v>
      </c>
      <c r="B25" t="s">
        <v>169</v>
      </c>
      <c r="C25" t="s">
        <v>150</v>
      </c>
      <c r="D25">
        <v>18650</v>
      </c>
      <c r="E25">
        <v>20515</v>
      </c>
      <c r="F25">
        <v>340</v>
      </c>
      <c r="G25">
        <v>12000</v>
      </c>
      <c r="H25">
        <v>41</v>
      </c>
      <c r="I25">
        <v>0.3</v>
      </c>
      <c r="J25" s="28">
        <v>0</v>
      </c>
      <c r="K25" s="126">
        <v>3.0000000000000001E-3</v>
      </c>
      <c r="L25" s="126">
        <v>2</v>
      </c>
      <c r="M25" s="126">
        <v>0.1</v>
      </c>
      <c r="N25" s="126">
        <v>0.223</v>
      </c>
      <c r="O25" s="126">
        <v>0.68</v>
      </c>
      <c r="P25" s="126">
        <v>0.92</v>
      </c>
      <c r="Q25" s="126">
        <v>0</v>
      </c>
      <c r="R25" s="126">
        <v>0</v>
      </c>
      <c r="S25" s="126">
        <v>0</v>
      </c>
      <c r="T25" s="126">
        <v>0</v>
      </c>
      <c r="U25" s="126">
        <v>0</v>
      </c>
      <c r="V25" s="126">
        <v>0</v>
      </c>
      <c r="W25" s="126">
        <v>0</v>
      </c>
      <c r="X25" s="126">
        <v>0</v>
      </c>
      <c r="Y25" s="126">
        <v>0</v>
      </c>
      <c r="Z25" s="142">
        <v>4</v>
      </c>
      <c r="AA25" s="126">
        <v>0</v>
      </c>
      <c r="AB25" s="126">
        <v>0</v>
      </c>
      <c r="AC25" s="126">
        <v>0</v>
      </c>
      <c r="AD25" s="126">
        <v>0</v>
      </c>
      <c r="AE25" s="126">
        <v>0</v>
      </c>
      <c r="AF25" s="126">
        <v>0.15</v>
      </c>
      <c r="AG25" t="s">
        <v>2828</v>
      </c>
    </row>
    <row r="26" spans="1:33" x14ac:dyDescent="0.3">
      <c r="A26">
        <v>39</v>
      </c>
      <c r="B26" t="s">
        <v>170</v>
      </c>
      <c r="C26" t="s">
        <v>150</v>
      </c>
      <c r="D26">
        <v>29862</v>
      </c>
      <c r="E26">
        <v>32848</v>
      </c>
      <c r="F26">
        <v>550</v>
      </c>
      <c r="G26">
        <v>12000</v>
      </c>
      <c r="H26">
        <v>63</v>
      </c>
      <c r="I26">
        <v>0.3</v>
      </c>
      <c r="J26" s="28">
        <v>0</v>
      </c>
      <c r="K26" s="126">
        <v>3.0000000000000001E-3</v>
      </c>
      <c r="L26" s="126">
        <v>2</v>
      </c>
      <c r="M26" s="126">
        <v>0.1</v>
      </c>
      <c r="N26" s="126">
        <v>0.223</v>
      </c>
      <c r="O26" s="126">
        <v>0.68</v>
      </c>
      <c r="P26" s="126">
        <v>0.92</v>
      </c>
      <c r="Q26" s="126">
        <v>0</v>
      </c>
      <c r="R26" s="126">
        <v>0</v>
      </c>
      <c r="S26" s="126">
        <v>0</v>
      </c>
      <c r="T26" s="126">
        <v>0</v>
      </c>
      <c r="U26" s="126">
        <v>0</v>
      </c>
      <c r="V26" s="126">
        <v>0</v>
      </c>
      <c r="W26" s="126">
        <v>0</v>
      </c>
      <c r="X26" s="126">
        <v>0</v>
      </c>
      <c r="Y26" s="126">
        <v>0</v>
      </c>
      <c r="Z26" s="142">
        <v>4</v>
      </c>
      <c r="AA26" s="126">
        <v>0</v>
      </c>
      <c r="AB26" s="126">
        <v>0</v>
      </c>
      <c r="AC26" s="126">
        <v>0</v>
      </c>
      <c r="AD26" s="126">
        <v>0</v>
      </c>
      <c r="AE26" s="126">
        <v>0</v>
      </c>
      <c r="AF26" s="126">
        <v>0.15</v>
      </c>
      <c r="AG26" t="s">
        <v>2829</v>
      </c>
    </row>
    <row r="27" spans="1:33" x14ac:dyDescent="0.3">
      <c r="A27">
        <v>42</v>
      </c>
      <c r="B27" t="s">
        <v>171</v>
      </c>
      <c r="C27" t="s">
        <v>150</v>
      </c>
      <c r="D27">
        <v>38492</v>
      </c>
      <c r="E27">
        <v>42342</v>
      </c>
      <c r="F27">
        <v>525</v>
      </c>
      <c r="G27">
        <v>12000</v>
      </c>
      <c r="H27">
        <v>75</v>
      </c>
      <c r="I27">
        <v>0.3</v>
      </c>
      <c r="J27" s="28">
        <v>0</v>
      </c>
      <c r="K27" s="126">
        <v>3.0000000000000001E-3</v>
      </c>
      <c r="L27" s="126">
        <v>2</v>
      </c>
      <c r="M27" s="126">
        <v>0.1</v>
      </c>
      <c r="N27" s="126">
        <v>0.223</v>
      </c>
      <c r="O27" s="126">
        <v>0.68</v>
      </c>
      <c r="P27" s="126">
        <v>0.92</v>
      </c>
      <c r="Q27" s="126">
        <v>0</v>
      </c>
      <c r="R27" s="126">
        <v>0</v>
      </c>
      <c r="S27" s="126">
        <v>0</v>
      </c>
      <c r="T27" s="126">
        <v>0</v>
      </c>
      <c r="U27" s="126">
        <v>0</v>
      </c>
      <c r="V27" s="126">
        <v>0</v>
      </c>
      <c r="W27" s="126">
        <v>0</v>
      </c>
      <c r="X27" s="126">
        <v>0</v>
      </c>
      <c r="Y27" s="126">
        <v>0</v>
      </c>
      <c r="Z27" s="142">
        <v>4</v>
      </c>
      <c r="AA27" s="126">
        <v>0</v>
      </c>
      <c r="AB27" s="126">
        <v>0</v>
      </c>
      <c r="AC27" s="126">
        <v>0</v>
      </c>
      <c r="AD27" s="126">
        <v>0</v>
      </c>
      <c r="AE27" s="126">
        <v>0</v>
      </c>
      <c r="AF27" s="126">
        <v>0.15</v>
      </c>
      <c r="AG27" t="s">
        <v>2830</v>
      </c>
    </row>
    <row r="28" spans="1:33" x14ac:dyDescent="0.3">
      <c r="A28">
        <v>45</v>
      </c>
      <c r="B28" t="s">
        <v>172</v>
      </c>
      <c r="C28" t="s">
        <v>150</v>
      </c>
      <c r="D28">
        <v>54791</v>
      </c>
      <c r="E28">
        <v>60270</v>
      </c>
      <c r="F28">
        <v>640</v>
      </c>
      <c r="G28">
        <v>12000</v>
      </c>
      <c r="H28">
        <v>101</v>
      </c>
      <c r="I28">
        <v>0.3</v>
      </c>
      <c r="J28" s="28">
        <v>0</v>
      </c>
      <c r="K28" s="126">
        <v>3.0000000000000001E-3</v>
      </c>
      <c r="L28" s="126">
        <v>2</v>
      </c>
      <c r="M28" s="126">
        <v>0.1</v>
      </c>
      <c r="N28" s="126">
        <v>0.223</v>
      </c>
      <c r="O28" s="126">
        <v>0.68</v>
      </c>
      <c r="P28" s="126">
        <v>0.92</v>
      </c>
      <c r="Q28" s="126">
        <v>0</v>
      </c>
      <c r="R28" s="126">
        <v>0</v>
      </c>
      <c r="S28" s="126">
        <v>0</v>
      </c>
      <c r="T28" s="126">
        <v>0</v>
      </c>
      <c r="U28" s="126">
        <v>0</v>
      </c>
      <c r="V28" s="126">
        <v>0</v>
      </c>
      <c r="W28" s="126">
        <v>0</v>
      </c>
      <c r="X28" s="126">
        <v>0</v>
      </c>
      <c r="Y28" s="126">
        <v>0</v>
      </c>
      <c r="Z28" s="142">
        <v>4</v>
      </c>
      <c r="AA28" s="126">
        <v>0</v>
      </c>
      <c r="AB28" s="126">
        <v>0</v>
      </c>
      <c r="AC28" s="126">
        <v>0</v>
      </c>
      <c r="AD28" s="126">
        <v>0</v>
      </c>
      <c r="AE28" s="126">
        <v>0</v>
      </c>
      <c r="AF28" s="126">
        <v>0.15</v>
      </c>
      <c r="AG28" t="s">
        <v>2831</v>
      </c>
    </row>
    <row r="29" spans="1:33" x14ac:dyDescent="0.3">
      <c r="A29">
        <v>48</v>
      </c>
      <c r="B29" t="s">
        <v>173</v>
      </c>
      <c r="C29" t="s">
        <v>150</v>
      </c>
      <c r="D29">
        <v>69716</v>
      </c>
      <c r="E29">
        <v>76687</v>
      </c>
      <c r="F29">
        <v>660</v>
      </c>
      <c r="G29">
        <v>12000</v>
      </c>
      <c r="H29">
        <v>119</v>
      </c>
      <c r="I29">
        <v>0.3</v>
      </c>
      <c r="J29" s="28">
        <v>0</v>
      </c>
      <c r="K29" s="126">
        <v>3.0000000000000001E-3</v>
      </c>
      <c r="L29" s="126">
        <v>2</v>
      </c>
      <c r="M29" s="126">
        <v>0.1</v>
      </c>
      <c r="N29" s="126">
        <v>0.223</v>
      </c>
      <c r="O29" s="126">
        <v>0.68</v>
      </c>
      <c r="P29" s="126">
        <v>0.92</v>
      </c>
      <c r="Q29" s="126">
        <v>0</v>
      </c>
      <c r="R29" s="126">
        <v>0</v>
      </c>
      <c r="S29" s="126">
        <v>0</v>
      </c>
      <c r="T29" s="126">
        <v>0</v>
      </c>
      <c r="U29" s="126">
        <v>0</v>
      </c>
      <c r="V29" s="126">
        <v>0</v>
      </c>
      <c r="W29" s="126">
        <v>0</v>
      </c>
      <c r="X29" s="126">
        <v>0</v>
      </c>
      <c r="Y29" s="126">
        <v>0</v>
      </c>
      <c r="Z29" s="142">
        <v>4</v>
      </c>
      <c r="AA29" s="126">
        <v>0</v>
      </c>
      <c r="AB29" s="126">
        <v>0</v>
      </c>
      <c r="AC29" s="126">
        <v>0</v>
      </c>
      <c r="AD29" s="126">
        <v>0</v>
      </c>
      <c r="AE29" s="126">
        <v>0</v>
      </c>
      <c r="AF29" s="126">
        <v>0.15</v>
      </c>
      <c r="AG29" t="s">
        <v>2832</v>
      </c>
    </row>
    <row r="30" spans="1:33" x14ac:dyDescent="0.3">
      <c r="A30">
        <v>51</v>
      </c>
      <c r="B30" t="s">
        <v>174</v>
      </c>
      <c r="C30" t="s">
        <v>150</v>
      </c>
      <c r="D30">
        <v>81881</v>
      </c>
      <c r="E30">
        <v>90069</v>
      </c>
      <c r="F30">
        <v>660</v>
      </c>
      <c r="G30">
        <v>12000</v>
      </c>
      <c r="H30">
        <v>130</v>
      </c>
      <c r="I30">
        <v>0.3</v>
      </c>
      <c r="J30" s="28">
        <v>0</v>
      </c>
      <c r="K30" s="126">
        <v>3.0000000000000001E-3</v>
      </c>
      <c r="L30" s="126">
        <v>2</v>
      </c>
      <c r="M30" s="126">
        <v>0.1</v>
      </c>
      <c r="N30" s="126">
        <v>0.223</v>
      </c>
      <c r="O30" s="126">
        <v>0.68</v>
      </c>
      <c r="P30" s="126">
        <v>0.92</v>
      </c>
      <c r="Q30" s="126">
        <v>0</v>
      </c>
      <c r="R30" s="126">
        <v>0</v>
      </c>
      <c r="S30" s="126">
        <v>0</v>
      </c>
      <c r="T30" s="126">
        <v>0</v>
      </c>
      <c r="U30" s="126">
        <v>0</v>
      </c>
      <c r="V30" s="126">
        <v>0</v>
      </c>
      <c r="W30" s="126">
        <v>0</v>
      </c>
      <c r="X30" s="126">
        <v>0</v>
      </c>
      <c r="Y30" s="126">
        <v>0</v>
      </c>
      <c r="Z30" s="142">
        <v>4</v>
      </c>
      <c r="AA30" s="126">
        <v>0</v>
      </c>
      <c r="AB30" s="126">
        <v>0</v>
      </c>
      <c r="AC30" s="126">
        <v>0</v>
      </c>
      <c r="AD30" s="126">
        <v>0</v>
      </c>
      <c r="AE30" s="126">
        <v>0</v>
      </c>
      <c r="AF30" s="126">
        <v>0.15</v>
      </c>
      <c r="AG30" t="s">
        <v>2833</v>
      </c>
    </row>
    <row r="31" spans="1:33" x14ac:dyDescent="0.3">
      <c r="A31">
        <v>54</v>
      </c>
      <c r="B31" t="s">
        <v>175</v>
      </c>
      <c r="C31" t="s">
        <v>150</v>
      </c>
      <c r="D31">
        <v>100515</v>
      </c>
      <c r="E31">
        <v>110567</v>
      </c>
      <c r="F31">
        <v>685</v>
      </c>
      <c r="G31">
        <v>12000</v>
      </c>
      <c r="H31">
        <v>153</v>
      </c>
      <c r="I31">
        <v>0.3</v>
      </c>
      <c r="J31" s="28">
        <v>0</v>
      </c>
      <c r="K31" s="126">
        <v>3.0000000000000001E-3</v>
      </c>
      <c r="L31" s="126">
        <v>2</v>
      </c>
      <c r="M31" s="126">
        <v>0.1</v>
      </c>
      <c r="N31" s="126">
        <v>0.223</v>
      </c>
      <c r="O31" s="126">
        <v>0.68</v>
      </c>
      <c r="P31" s="126">
        <v>0.92</v>
      </c>
      <c r="Q31" s="126">
        <v>0</v>
      </c>
      <c r="R31" s="126">
        <v>0</v>
      </c>
      <c r="S31" s="126">
        <v>0</v>
      </c>
      <c r="T31" s="126">
        <v>0</v>
      </c>
      <c r="U31" s="126">
        <v>0</v>
      </c>
      <c r="V31" s="126">
        <v>0</v>
      </c>
      <c r="W31" s="126">
        <v>0</v>
      </c>
      <c r="X31" s="126">
        <v>0</v>
      </c>
      <c r="Y31" s="126">
        <v>0</v>
      </c>
      <c r="Z31" s="142">
        <v>4</v>
      </c>
      <c r="AA31" s="126">
        <v>0</v>
      </c>
      <c r="AB31" s="126">
        <v>0</v>
      </c>
      <c r="AC31" s="126">
        <v>0</v>
      </c>
      <c r="AD31" s="126">
        <v>0</v>
      </c>
      <c r="AE31" s="126">
        <v>0</v>
      </c>
      <c r="AF31" s="126">
        <v>0.15</v>
      </c>
      <c r="AG31" t="s">
        <v>2834</v>
      </c>
    </row>
    <row r="32" spans="1:33" x14ac:dyDescent="0.3">
      <c r="A32">
        <v>57</v>
      </c>
      <c r="B32" t="s">
        <v>176</v>
      </c>
      <c r="C32" t="s">
        <v>150</v>
      </c>
      <c r="D32">
        <v>127000</v>
      </c>
      <c r="E32">
        <v>139700</v>
      </c>
      <c r="F32">
        <v>800</v>
      </c>
      <c r="G32">
        <v>12000</v>
      </c>
      <c r="H32">
        <v>168</v>
      </c>
      <c r="I32">
        <v>0.3</v>
      </c>
      <c r="J32" s="28">
        <v>0</v>
      </c>
      <c r="K32" s="126">
        <v>3.0000000000000001E-3</v>
      </c>
      <c r="L32" s="126">
        <v>2</v>
      </c>
      <c r="M32" s="126">
        <v>0.1</v>
      </c>
      <c r="N32" s="126">
        <v>0.223</v>
      </c>
      <c r="O32" s="126">
        <v>0.68</v>
      </c>
      <c r="P32" s="126">
        <v>0.92</v>
      </c>
      <c r="Q32" s="126">
        <v>0</v>
      </c>
      <c r="R32" s="126">
        <v>0</v>
      </c>
      <c r="S32" s="126">
        <v>0</v>
      </c>
      <c r="T32" s="126">
        <v>0</v>
      </c>
      <c r="U32" s="126">
        <v>0</v>
      </c>
      <c r="V32" s="126">
        <v>0</v>
      </c>
      <c r="W32" s="126">
        <v>0</v>
      </c>
      <c r="X32" s="126">
        <v>0</v>
      </c>
      <c r="Y32" s="126">
        <v>0</v>
      </c>
      <c r="Z32" s="142">
        <v>4</v>
      </c>
      <c r="AA32" s="126">
        <v>0</v>
      </c>
      <c r="AB32" s="126">
        <v>0</v>
      </c>
      <c r="AC32" s="126">
        <v>0</v>
      </c>
      <c r="AD32" s="126">
        <v>0</v>
      </c>
      <c r="AE32" s="126">
        <v>0</v>
      </c>
      <c r="AF32" s="126">
        <v>0.15</v>
      </c>
      <c r="AG32" t="s">
        <v>2835</v>
      </c>
    </row>
    <row r="33" spans="1:33" x14ac:dyDescent="0.3">
      <c r="A33">
        <v>60</v>
      </c>
      <c r="B33" t="s">
        <v>177</v>
      </c>
      <c r="C33" t="s">
        <v>150</v>
      </c>
      <c r="D33">
        <v>143107</v>
      </c>
      <c r="E33">
        <v>157418</v>
      </c>
      <c r="F33">
        <v>999</v>
      </c>
      <c r="G33">
        <v>12000</v>
      </c>
      <c r="H33">
        <v>216</v>
      </c>
      <c r="I33">
        <v>0.3</v>
      </c>
      <c r="J33" s="28">
        <v>0</v>
      </c>
      <c r="K33" s="126">
        <v>3.0000000000000001E-3</v>
      </c>
      <c r="L33" s="126">
        <v>2</v>
      </c>
      <c r="M33" s="126">
        <v>0.1</v>
      </c>
      <c r="N33" s="126">
        <v>0.223</v>
      </c>
      <c r="O33" s="126">
        <v>0.68</v>
      </c>
      <c r="P33" s="126">
        <v>0.92</v>
      </c>
      <c r="Q33" s="126">
        <v>0</v>
      </c>
      <c r="R33" s="126">
        <v>0</v>
      </c>
      <c r="S33" s="126">
        <v>0</v>
      </c>
      <c r="T33" s="126">
        <v>0</v>
      </c>
      <c r="U33" s="126">
        <v>0</v>
      </c>
      <c r="V33" s="126">
        <v>0</v>
      </c>
      <c r="W33" s="126">
        <v>0</v>
      </c>
      <c r="X33" s="126">
        <v>0</v>
      </c>
      <c r="Y33" s="126">
        <v>0</v>
      </c>
      <c r="Z33" s="142">
        <v>4</v>
      </c>
      <c r="AA33" s="126">
        <v>0</v>
      </c>
      <c r="AB33" s="126">
        <v>0</v>
      </c>
      <c r="AC33" s="126">
        <v>0</v>
      </c>
      <c r="AD33" s="126">
        <v>0</v>
      </c>
      <c r="AE33" s="126">
        <v>0</v>
      </c>
      <c r="AF33" s="126">
        <v>0.15</v>
      </c>
      <c r="AG33" t="s">
        <v>2836</v>
      </c>
    </row>
    <row r="34" spans="1:33" x14ac:dyDescent="0.3">
      <c r="A34">
        <v>63</v>
      </c>
      <c r="B34" t="s">
        <v>178</v>
      </c>
      <c r="C34" t="s">
        <v>150</v>
      </c>
      <c r="D34">
        <v>159080</v>
      </c>
      <c r="E34">
        <v>174990</v>
      </c>
      <c r="F34">
        <v>320</v>
      </c>
      <c r="G34">
        <v>12000</v>
      </c>
      <c r="H34">
        <v>30</v>
      </c>
      <c r="I34">
        <v>0.3</v>
      </c>
      <c r="J34" s="28">
        <v>0</v>
      </c>
      <c r="K34" s="126">
        <v>3.0000000000000001E-3</v>
      </c>
      <c r="L34" s="126">
        <v>2</v>
      </c>
      <c r="M34" s="126">
        <v>0.1</v>
      </c>
      <c r="N34" s="126">
        <v>0.223</v>
      </c>
      <c r="O34" s="126">
        <v>0.68</v>
      </c>
      <c r="P34" s="126">
        <v>0.92</v>
      </c>
      <c r="Q34" s="126">
        <v>0</v>
      </c>
      <c r="R34" s="126">
        <v>0</v>
      </c>
      <c r="S34" s="126">
        <v>0</v>
      </c>
      <c r="T34" s="126">
        <v>0</v>
      </c>
      <c r="U34" s="126">
        <v>0</v>
      </c>
      <c r="V34" s="126">
        <v>0</v>
      </c>
      <c r="W34" s="126">
        <v>0</v>
      </c>
      <c r="X34" s="126">
        <v>0</v>
      </c>
      <c r="Y34" s="126">
        <v>0</v>
      </c>
      <c r="Z34" s="142">
        <v>4</v>
      </c>
      <c r="AA34" s="126">
        <v>0</v>
      </c>
      <c r="AB34" s="126">
        <v>0</v>
      </c>
      <c r="AC34" s="126">
        <v>0</v>
      </c>
      <c r="AD34" s="126">
        <v>0</v>
      </c>
      <c r="AE34" s="126">
        <v>0</v>
      </c>
      <c r="AF34" s="126">
        <v>0.15</v>
      </c>
      <c r="AG34" t="s">
        <v>2416</v>
      </c>
    </row>
    <row r="35" spans="1:33" x14ac:dyDescent="0.3">
      <c r="A35">
        <v>66</v>
      </c>
      <c r="B35" t="s">
        <v>179</v>
      </c>
      <c r="C35" t="s">
        <v>150</v>
      </c>
      <c r="D35">
        <v>18650</v>
      </c>
      <c r="E35">
        <v>20515</v>
      </c>
      <c r="F35">
        <v>340</v>
      </c>
      <c r="G35">
        <v>12000</v>
      </c>
      <c r="H35">
        <v>41</v>
      </c>
      <c r="I35">
        <v>0.3</v>
      </c>
      <c r="J35" s="28">
        <v>0</v>
      </c>
      <c r="K35" s="126">
        <v>3.0000000000000001E-3</v>
      </c>
      <c r="L35" s="126">
        <v>2</v>
      </c>
      <c r="M35" s="126">
        <v>0.1</v>
      </c>
      <c r="N35" s="126">
        <v>0.223</v>
      </c>
      <c r="O35" s="126">
        <v>0.68</v>
      </c>
      <c r="P35" s="126">
        <v>0.92</v>
      </c>
      <c r="Q35" s="126">
        <v>0</v>
      </c>
      <c r="R35" s="126">
        <v>0</v>
      </c>
      <c r="S35" s="126">
        <v>0</v>
      </c>
      <c r="T35" s="126">
        <v>0</v>
      </c>
      <c r="U35" s="126">
        <v>0</v>
      </c>
      <c r="V35" s="126">
        <v>0</v>
      </c>
      <c r="W35" s="126">
        <v>0</v>
      </c>
      <c r="X35" s="126">
        <v>0</v>
      </c>
      <c r="Y35" s="126">
        <v>0</v>
      </c>
      <c r="Z35" s="142">
        <v>4</v>
      </c>
      <c r="AA35" s="126">
        <v>0</v>
      </c>
      <c r="AB35" s="126">
        <v>0</v>
      </c>
      <c r="AC35" s="126">
        <v>0</v>
      </c>
      <c r="AD35" s="126">
        <v>0</v>
      </c>
      <c r="AE35" s="126">
        <v>0</v>
      </c>
      <c r="AF35" s="126">
        <v>0.15</v>
      </c>
      <c r="AG35" t="s">
        <v>2417</v>
      </c>
    </row>
    <row r="36" spans="1:33" x14ac:dyDescent="0.3">
      <c r="A36">
        <v>69</v>
      </c>
      <c r="B36" t="s">
        <v>180</v>
      </c>
      <c r="C36" t="s">
        <v>150</v>
      </c>
      <c r="D36">
        <v>29862</v>
      </c>
      <c r="E36">
        <v>32848</v>
      </c>
      <c r="F36">
        <v>550</v>
      </c>
      <c r="G36">
        <v>12000</v>
      </c>
      <c r="H36">
        <v>63</v>
      </c>
      <c r="I36">
        <v>0.3</v>
      </c>
      <c r="J36" s="28">
        <v>0</v>
      </c>
      <c r="K36" s="126">
        <v>3.0000000000000001E-3</v>
      </c>
      <c r="L36" s="126">
        <v>2</v>
      </c>
      <c r="M36" s="126">
        <v>0.1</v>
      </c>
      <c r="N36" s="126">
        <v>0.223</v>
      </c>
      <c r="O36" s="126">
        <v>0.68</v>
      </c>
      <c r="P36" s="126">
        <v>0.92</v>
      </c>
      <c r="Q36" s="126">
        <v>0</v>
      </c>
      <c r="R36" s="126">
        <v>0</v>
      </c>
      <c r="S36" s="126">
        <v>0</v>
      </c>
      <c r="T36" s="126">
        <v>0</v>
      </c>
      <c r="U36" s="126">
        <v>0</v>
      </c>
      <c r="V36" s="126">
        <v>0</v>
      </c>
      <c r="W36" s="126">
        <v>0</v>
      </c>
      <c r="X36" s="126">
        <v>0</v>
      </c>
      <c r="Y36" s="126">
        <v>0</v>
      </c>
      <c r="Z36" s="142">
        <v>4</v>
      </c>
      <c r="AA36" s="126">
        <v>0</v>
      </c>
      <c r="AB36" s="126">
        <v>0</v>
      </c>
      <c r="AC36" s="126">
        <v>0</v>
      </c>
      <c r="AD36" s="126">
        <v>0</v>
      </c>
      <c r="AE36" s="126">
        <v>0</v>
      </c>
      <c r="AF36" s="126">
        <v>0.15</v>
      </c>
      <c r="AG36" t="s">
        <v>2418</v>
      </c>
    </row>
    <row r="37" spans="1:33" x14ac:dyDescent="0.3">
      <c r="A37">
        <v>72</v>
      </c>
      <c r="B37" t="s">
        <v>181</v>
      </c>
      <c r="C37" t="s">
        <v>150</v>
      </c>
      <c r="D37">
        <v>38492</v>
      </c>
      <c r="E37">
        <v>42342</v>
      </c>
      <c r="F37">
        <v>525</v>
      </c>
      <c r="G37">
        <v>12000</v>
      </c>
      <c r="H37">
        <v>75</v>
      </c>
      <c r="I37">
        <v>0.3</v>
      </c>
      <c r="J37" s="28">
        <v>0</v>
      </c>
      <c r="K37" s="126">
        <v>3.0000000000000001E-3</v>
      </c>
      <c r="L37" s="126">
        <v>2</v>
      </c>
      <c r="M37" s="126">
        <v>0.1</v>
      </c>
      <c r="N37" s="126">
        <v>0.223</v>
      </c>
      <c r="O37" s="126">
        <v>0.68</v>
      </c>
      <c r="P37" s="126">
        <v>0.92</v>
      </c>
      <c r="Q37" s="126">
        <v>0</v>
      </c>
      <c r="R37" s="126">
        <v>0</v>
      </c>
      <c r="S37" s="126">
        <v>0</v>
      </c>
      <c r="T37" s="126">
        <v>0</v>
      </c>
      <c r="U37" s="126">
        <v>0</v>
      </c>
      <c r="V37" s="126">
        <v>0</v>
      </c>
      <c r="W37" s="126">
        <v>0</v>
      </c>
      <c r="X37" s="126">
        <v>0</v>
      </c>
      <c r="Y37" s="126">
        <v>0</v>
      </c>
      <c r="Z37" s="142">
        <v>4</v>
      </c>
      <c r="AA37" s="126">
        <v>0</v>
      </c>
      <c r="AB37" s="126">
        <v>0</v>
      </c>
      <c r="AC37" s="126">
        <v>0</v>
      </c>
      <c r="AD37" s="126">
        <v>0</v>
      </c>
      <c r="AE37" s="126">
        <v>0</v>
      </c>
      <c r="AF37" s="126">
        <v>0.15</v>
      </c>
      <c r="AG37" t="s">
        <v>2419</v>
      </c>
    </row>
    <row r="38" spans="1:33" x14ac:dyDescent="0.3">
      <c r="A38">
        <v>75</v>
      </c>
      <c r="B38" t="s">
        <v>182</v>
      </c>
      <c r="C38" t="s">
        <v>150</v>
      </c>
      <c r="D38">
        <v>54791</v>
      </c>
      <c r="E38">
        <v>60270</v>
      </c>
      <c r="F38">
        <v>640</v>
      </c>
      <c r="G38">
        <v>12000</v>
      </c>
      <c r="H38">
        <v>101</v>
      </c>
      <c r="I38">
        <v>0.3</v>
      </c>
      <c r="J38" s="28">
        <v>0</v>
      </c>
      <c r="K38" s="126">
        <v>3.0000000000000001E-3</v>
      </c>
      <c r="L38" s="126">
        <v>2</v>
      </c>
      <c r="M38" s="126">
        <v>0.1</v>
      </c>
      <c r="N38" s="126">
        <v>0.223</v>
      </c>
      <c r="O38" s="126">
        <v>0.68</v>
      </c>
      <c r="P38" s="126">
        <v>0.92</v>
      </c>
      <c r="Q38" s="126">
        <v>0</v>
      </c>
      <c r="R38" s="126">
        <v>0</v>
      </c>
      <c r="S38" s="126">
        <v>0</v>
      </c>
      <c r="T38" s="126">
        <v>0</v>
      </c>
      <c r="U38" s="126">
        <v>0</v>
      </c>
      <c r="V38" s="126">
        <v>0</v>
      </c>
      <c r="W38" s="126">
        <v>0</v>
      </c>
      <c r="X38" s="126">
        <v>0</v>
      </c>
      <c r="Y38" s="126">
        <v>0</v>
      </c>
      <c r="Z38" s="142">
        <v>4</v>
      </c>
      <c r="AA38" s="126">
        <v>0</v>
      </c>
      <c r="AB38" s="126">
        <v>0</v>
      </c>
      <c r="AC38" s="126">
        <v>0</v>
      </c>
      <c r="AD38" s="126">
        <v>0</v>
      </c>
      <c r="AE38" s="126">
        <v>0</v>
      </c>
      <c r="AF38" s="126">
        <v>0.15</v>
      </c>
      <c r="AG38" t="s">
        <v>2420</v>
      </c>
    </row>
    <row r="39" spans="1:33" x14ac:dyDescent="0.3">
      <c r="A39">
        <v>81</v>
      </c>
      <c r="B39" t="s">
        <v>183</v>
      </c>
      <c r="C39" t="s">
        <v>150</v>
      </c>
      <c r="D39">
        <v>81881</v>
      </c>
      <c r="E39">
        <v>90069</v>
      </c>
      <c r="F39">
        <v>660</v>
      </c>
      <c r="G39">
        <v>12000</v>
      </c>
      <c r="H39">
        <v>130</v>
      </c>
      <c r="I39">
        <v>0.3</v>
      </c>
      <c r="J39" s="28">
        <v>0</v>
      </c>
      <c r="K39" s="126">
        <v>3.0000000000000001E-3</v>
      </c>
      <c r="L39" s="126">
        <v>2</v>
      </c>
      <c r="M39" s="126">
        <v>0.1</v>
      </c>
      <c r="N39" s="126">
        <v>0.223</v>
      </c>
      <c r="O39" s="126">
        <v>0.68</v>
      </c>
      <c r="P39" s="126">
        <v>0.92</v>
      </c>
      <c r="Q39" s="126">
        <v>0</v>
      </c>
      <c r="R39" s="126">
        <v>0</v>
      </c>
      <c r="S39" s="126">
        <v>0</v>
      </c>
      <c r="T39" s="126">
        <v>0</v>
      </c>
      <c r="U39" s="126">
        <v>0</v>
      </c>
      <c r="V39" s="126">
        <v>0</v>
      </c>
      <c r="W39" s="126">
        <v>0</v>
      </c>
      <c r="X39" s="126">
        <v>0</v>
      </c>
      <c r="Y39" s="126">
        <v>0</v>
      </c>
      <c r="Z39" s="142">
        <v>4</v>
      </c>
      <c r="AA39" s="126">
        <v>0</v>
      </c>
      <c r="AB39" s="126">
        <v>0</v>
      </c>
      <c r="AC39" s="126">
        <v>0</v>
      </c>
      <c r="AD39" s="126">
        <v>0</v>
      </c>
      <c r="AE39" s="126">
        <v>0</v>
      </c>
      <c r="AF39" s="126">
        <v>0.15</v>
      </c>
      <c r="AG39" t="s">
        <v>2421</v>
      </c>
    </row>
    <row r="40" spans="1:33" x14ac:dyDescent="0.3">
      <c r="A40">
        <v>84</v>
      </c>
      <c r="B40" t="s">
        <v>184</v>
      </c>
      <c r="C40" t="s">
        <v>150</v>
      </c>
      <c r="D40">
        <v>100515</v>
      </c>
      <c r="E40">
        <v>110567</v>
      </c>
      <c r="F40">
        <v>685</v>
      </c>
      <c r="G40">
        <v>12000</v>
      </c>
      <c r="H40">
        <v>153</v>
      </c>
      <c r="I40">
        <v>0.3</v>
      </c>
      <c r="J40" s="28">
        <v>0</v>
      </c>
      <c r="K40" s="126">
        <v>3.0000000000000001E-3</v>
      </c>
      <c r="L40" s="126">
        <v>2</v>
      </c>
      <c r="M40" s="126">
        <v>0.1</v>
      </c>
      <c r="N40" s="126">
        <v>0.223</v>
      </c>
      <c r="O40" s="126">
        <v>0.68</v>
      </c>
      <c r="P40" s="126">
        <v>0.92</v>
      </c>
      <c r="Q40" s="126">
        <v>0</v>
      </c>
      <c r="R40" s="126">
        <v>0</v>
      </c>
      <c r="S40" s="126">
        <v>0</v>
      </c>
      <c r="T40" s="126">
        <v>0</v>
      </c>
      <c r="U40" s="126">
        <v>0</v>
      </c>
      <c r="V40" s="126">
        <v>0</v>
      </c>
      <c r="W40" s="126">
        <v>0</v>
      </c>
      <c r="X40" s="126">
        <v>0</v>
      </c>
      <c r="Y40" s="126">
        <v>0</v>
      </c>
      <c r="Z40" s="142">
        <v>4</v>
      </c>
      <c r="AA40" s="126">
        <v>0</v>
      </c>
      <c r="AB40" s="126">
        <v>0</v>
      </c>
      <c r="AC40" s="126">
        <v>0</v>
      </c>
      <c r="AD40" s="126">
        <v>0</v>
      </c>
      <c r="AE40" s="126">
        <v>0</v>
      </c>
      <c r="AF40" s="126">
        <v>0.15</v>
      </c>
      <c r="AG40" t="s">
        <v>2422</v>
      </c>
    </row>
    <row r="41" spans="1:33" x14ac:dyDescent="0.3">
      <c r="A41">
        <v>87</v>
      </c>
      <c r="B41" t="s">
        <v>185</v>
      </c>
      <c r="C41" t="s">
        <v>150</v>
      </c>
      <c r="D41">
        <v>112969</v>
      </c>
      <c r="E41">
        <v>124266</v>
      </c>
      <c r="F41">
        <v>800</v>
      </c>
      <c r="G41">
        <v>12000</v>
      </c>
      <c r="H41">
        <v>168</v>
      </c>
      <c r="I41">
        <v>0.3</v>
      </c>
      <c r="J41" s="28">
        <v>0</v>
      </c>
      <c r="K41" s="126">
        <v>3.0000000000000001E-3</v>
      </c>
      <c r="L41" s="126">
        <v>2</v>
      </c>
      <c r="M41" s="126">
        <v>0.1</v>
      </c>
      <c r="N41" s="126">
        <v>0.223</v>
      </c>
      <c r="O41" s="126">
        <v>0.68</v>
      </c>
      <c r="P41" s="126">
        <v>0.92</v>
      </c>
      <c r="Q41" s="126">
        <v>0</v>
      </c>
      <c r="R41" s="126">
        <v>0</v>
      </c>
      <c r="S41" s="126">
        <v>0</v>
      </c>
      <c r="T41" s="126">
        <v>0</v>
      </c>
      <c r="U41" s="126">
        <v>0</v>
      </c>
      <c r="V41" s="126">
        <v>0</v>
      </c>
      <c r="W41" s="126">
        <v>0</v>
      </c>
      <c r="X41" s="126">
        <v>0</v>
      </c>
      <c r="Y41" s="126">
        <v>0</v>
      </c>
      <c r="Z41" s="142">
        <v>4</v>
      </c>
      <c r="AA41" s="126">
        <v>0</v>
      </c>
      <c r="AB41" s="126">
        <v>0</v>
      </c>
      <c r="AC41" s="126">
        <v>0</v>
      </c>
      <c r="AD41" s="126">
        <v>0</v>
      </c>
      <c r="AE41" s="126">
        <v>0</v>
      </c>
      <c r="AF41" s="126">
        <v>0.15</v>
      </c>
      <c r="AG41" t="s">
        <v>2423</v>
      </c>
    </row>
    <row r="42" spans="1:33" x14ac:dyDescent="0.3">
      <c r="A42">
        <v>90</v>
      </c>
      <c r="B42" t="s">
        <v>186</v>
      </c>
      <c r="C42" t="s">
        <v>150</v>
      </c>
      <c r="D42">
        <v>143107</v>
      </c>
      <c r="E42">
        <v>157418</v>
      </c>
      <c r="F42">
        <v>999</v>
      </c>
      <c r="G42">
        <v>12000</v>
      </c>
      <c r="H42">
        <v>216</v>
      </c>
      <c r="I42">
        <v>0.3</v>
      </c>
      <c r="J42" s="28">
        <v>0</v>
      </c>
      <c r="K42" s="126">
        <v>3.0000000000000001E-3</v>
      </c>
      <c r="L42" s="126">
        <v>2</v>
      </c>
      <c r="M42" s="126">
        <v>0.1</v>
      </c>
      <c r="N42" s="126">
        <v>0.223</v>
      </c>
      <c r="O42" s="126">
        <v>0.68</v>
      </c>
      <c r="P42" s="126">
        <v>0.92</v>
      </c>
      <c r="Q42" s="126">
        <v>0</v>
      </c>
      <c r="R42" s="126">
        <v>0</v>
      </c>
      <c r="S42" s="126">
        <v>0</v>
      </c>
      <c r="T42" s="126">
        <v>0</v>
      </c>
      <c r="U42" s="126">
        <v>0</v>
      </c>
      <c r="V42" s="126">
        <v>0</v>
      </c>
      <c r="W42" s="126">
        <v>0</v>
      </c>
      <c r="X42" s="126">
        <v>0</v>
      </c>
      <c r="Y42" s="126">
        <v>0</v>
      </c>
      <c r="Z42" s="142">
        <v>4</v>
      </c>
      <c r="AA42" s="126">
        <v>0</v>
      </c>
      <c r="AB42" s="126">
        <v>0</v>
      </c>
      <c r="AC42" s="126">
        <v>0</v>
      </c>
      <c r="AD42" s="126">
        <v>0</v>
      </c>
      <c r="AE42" s="126">
        <v>0</v>
      </c>
      <c r="AF42" s="126">
        <v>0.15</v>
      </c>
      <c r="AG42" t="s">
        <v>2424</v>
      </c>
    </row>
    <row r="43" spans="1:33" x14ac:dyDescent="0.3">
      <c r="A43">
        <v>93</v>
      </c>
      <c r="B43" t="s">
        <v>188</v>
      </c>
      <c r="C43" t="s">
        <v>150</v>
      </c>
      <c r="D43">
        <v>15908</v>
      </c>
      <c r="E43">
        <v>17499</v>
      </c>
      <c r="F43">
        <v>320</v>
      </c>
      <c r="G43">
        <v>12000</v>
      </c>
      <c r="H43">
        <v>30</v>
      </c>
      <c r="I43">
        <v>0.3</v>
      </c>
      <c r="J43" s="28">
        <v>0</v>
      </c>
      <c r="K43" s="126">
        <v>3.0000000000000001E-3</v>
      </c>
      <c r="L43" s="126">
        <v>2</v>
      </c>
      <c r="M43" s="126">
        <v>0.1</v>
      </c>
      <c r="N43" s="126">
        <v>0.223</v>
      </c>
      <c r="O43" s="126">
        <v>0.68</v>
      </c>
      <c r="P43" s="126">
        <v>0.92</v>
      </c>
      <c r="Q43" s="126">
        <v>0</v>
      </c>
      <c r="R43" s="126">
        <v>0</v>
      </c>
      <c r="S43" s="126">
        <v>0.05</v>
      </c>
      <c r="T43" s="126">
        <v>5</v>
      </c>
      <c r="U43" s="126">
        <v>0</v>
      </c>
      <c r="V43" s="126">
        <v>0</v>
      </c>
      <c r="W43" s="126">
        <v>0</v>
      </c>
      <c r="X43" s="126">
        <v>0</v>
      </c>
      <c r="Y43" s="126">
        <v>0</v>
      </c>
      <c r="Z43" s="142">
        <v>4</v>
      </c>
      <c r="AA43" s="126">
        <v>0</v>
      </c>
      <c r="AB43" s="126">
        <v>0</v>
      </c>
      <c r="AC43" s="126">
        <v>0</v>
      </c>
      <c r="AD43" s="126">
        <v>0</v>
      </c>
      <c r="AE43" s="126">
        <v>0</v>
      </c>
      <c r="AF43" s="126">
        <v>0.15</v>
      </c>
      <c r="AG43" t="s">
        <v>2425</v>
      </c>
    </row>
    <row r="44" spans="1:33" x14ac:dyDescent="0.3">
      <c r="A44">
        <v>96</v>
      </c>
      <c r="B44" t="s">
        <v>189</v>
      </c>
      <c r="C44" t="s">
        <v>150</v>
      </c>
      <c r="D44">
        <v>18650</v>
      </c>
      <c r="E44">
        <v>20515</v>
      </c>
      <c r="F44">
        <v>340</v>
      </c>
      <c r="G44">
        <v>12000</v>
      </c>
      <c r="H44">
        <v>41</v>
      </c>
      <c r="I44">
        <v>0.3</v>
      </c>
      <c r="J44" s="28">
        <v>0</v>
      </c>
      <c r="K44" s="126">
        <v>3.0000000000000001E-3</v>
      </c>
      <c r="L44" s="126">
        <v>2</v>
      </c>
      <c r="M44" s="126">
        <v>0.1</v>
      </c>
      <c r="N44" s="126">
        <v>0.223</v>
      </c>
      <c r="O44" s="126">
        <v>0.68</v>
      </c>
      <c r="P44" s="126">
        <v>0.92</v>
      </c>
      <c r="Q44" s="126">
        <v>0</v>
      </c>
      <c r="R44" s="126">
        <v>0</v>
      </c>
      <c r="S44" s="126">
        <v>0</v>
      </c>
      <c r="T44" s="126">
        <v>0</v>
      </c>
      <c r="U44" s="126">
        <v>0</v>
      </c>
      <c r="V44" s="126">
        <v>0</v>
      </c>
      <c r="W44" s="126">
        <v>0</v>
      </c>
      <c r="X44" s="126">
        <v>0</v>
      </c>
      <c r="Y44" s="126">
        <v>0</v>
      </c>
      <c r="Z44" s="142">
        <v>4</v>
      </c>
      <c r="AA44" s="126">
        <v>0</v>
      </c>
      <c r="AB44" s="126">
        <v>0</v>
      </c>
      <c r="AC44" s="126">
        <v>0</v>
      </c>
      <c r="AD44" s="126">
        <v>0</v>
      </c>
      <c r="AE44" s="126">
        <v>0</v>
      </c>
      <c r="AF44" s="126">
        <v>0.15</v>
      </c>
      <c r="AG44" t="s">
        <v>2426</v>
      </c>
    </row>
    <row r="45" spans="1:33" x14ac:dyDescent="0.3">
      <c r="A45">
        <v>99</v>
      </c>
      <c r="B45" t="s">
        <v>190</v>
      </c>
      <c r="C45" t="s">
        <v>150</v>
      </c>
      <c r="D45">
        <v>29862</v>
      </c>
      <c r="E45">
        <v>32848</v>
      </c>
      <c r="F45">
        <v>550</v>
      </c>
      <c r="G45">
        <v>12000</v>
      </c>
      <c r="H45">
        <v>63</v>
      </c>
      <c r="I45">
        <v>0.3</v>
      </c>
      <c r="J45" s="28">
        <v>0</v>
      </c>
      <c r="K45" s="126">
        <v>3.0000000000000001E-3</v>
      </c>
      <c r="L45" s="126">
        <v>2</v>
      </c>
      <c r="M45" s="126">
        <v>0.1</v>
      </c>
      <c r="N45" s="126">
        <v>0.223</v>
      </c>
      <c r="O45" s="126">
        <v>0.68</v>
      </c>
      <c r="P45" s="126">
        <v>0.92</v>
      </c>
      <c r="Q45" s="126">
        <v>0</v>
      </c>
      <c r="R45" s="126">
        <v>0</v>
      </c>
      <c r="S45" s="126">
        <v>0</v>
      </c>
      <c r="T45" s="126">
        <v>0</v>
      </c>
      <c r="U45" s="126">
        <v>0</v>
      </c>
      <c r="V45" s="126">
        <v>0</v>
      </c>
      <c r="W45" s="126">
        <v>0</v>
      </c>
      <c r="X45" s="126">
        <v>0</v>
      </c>
      <c r="Y45" s="126">
        <v>0</v>
      </c>
      <c r="Z45" s="142">
        <v>4</v>
      </c>
      <c r="AA45" s="126">
        <v>0</v>
      </c>
      <c r="AB45" s="126">
        <v>0</v>
      </c>
      <c r="AC45" s="126">
        <v>0</v>
      </c>
      <c r="AD45" s="126">
        <v>0</v>
      </c>
      <c r="AE45" s="126">
        <v>0</v>
      </c>
      <c r="AF45" s="126">
        <v>0.15</v>
      </c>
      <c r="AG45" t="s">
        <v>2427</v>
      </c>
    </row>
    <row r="46" spans="1:33" x14ac:dyDescent="0.3">
      <c r="A46">
        <v>102</v>
      </c>
      <c r="B46" t="s">
        <v>191</v>
      </c>
      <c r="C46" t="s">
        <v>150</v>
      </c>
      <c r="D46">
        <v>38492</v>
      </c>
      <c r="E46">
        <v>42342</v>
      </c>
      <c r="F46">
        <v>525</v>
      </c>
      <c r="G46">
        <v>12000</v>
      </c>
      <c r="H46">
        <v>75</v>
      </c>
      <c r="I46">
        <v>0.3</v>
      </c>
      <c r="J46" s="28">
        <v>0</v>
      </c>
      <c r="K46" s="126">
        <v>3.0000000000000001E-3</v>
      </c>
      <c r="L46" s="126">
        <v>2</v>
      </c>
      <c r="M46" s="126">
        <v>0.1</v>
      </c>
      <c r="N46" s="126">
        <v>0.223</v>
      </c>
      <c r="O46" s="126">
        <v>0.68</v>
      </c>
      <c r="P46" s="126">
        <v>0.92</v>
      </c>
      <c r="Q46" s="126">
        <v>0</v>
      </c>
      <c r="R46" s="126">
        <v>0</v>
      </c>
      <c r="S46" s="126">
        <v>0</v>
      </c>
      <c r="T46" s="126">
        <v>0</v>
      </c>
      <c r="U46" s="126">
        <v>0</v>
      </c>
      <c r="V46" s="126">
        <v>0</v>
      </c>
      <c r="W46" s="126">
        <v>0</v>
      </c>
      <c r="X46" s="126">
        <v>0</v>
      </c>
      <c r="Y46" s="126">
        <v>0</v>
      </c>
      <c r="Z46" s="142">
        <v>4</v>
      </c>
      <c r="AA46" s="126">
        <v>0</v>
      </c>
      <c r="AB46" s="126">
        <v>0</v>
      </c>
      <c r="AC46" s="126">
        <v>0</v>
      </c>
      <c r="AD46" s="126">
        <v>0</v>
      </c>
      <c r="AE46" s="126">
        <v>0</v>
      </c>
      <c r="AF46" s="126">
        <v>0.15</v>
      </c>
      <c r="AG46" t="s">
        <v>2428</v>
      </c>
    </row>
    <row r="47" spans="1:33" x14ac:dyDescent="0.3">
      <c r="A47">
        <v>105</v>
      </c>
      <c r="B47" t="s">
        <v>192</v>
      </c>
      <c r="C47" t="s">
        <v>150</v>
      </c>
      <c r="D47">
        <v>54791</v>
      </c>
      <c r="E47">
        <v>60270</v>
      </c>
      <c r="F47">
        <v>640</v>
      </c>
      <c r="G47">
        <v>12000</v>
      </c>
      <c r="H47">
        <v>101</v>
      </c>
      <c r="I47">
        <v>0.3</v>
      </c>
      <c r="J47" s="28">
        <v>0</v>
      </c>
      <c r="K47" s="126">
        <v>3.0000000000000001E-3</v>
      </c>
      <c r="L47" s="126">
        <v>2</v>
      </c>
      <c r="M47" s="126">
        <v>0.1</v>
      </c>
      <c r="N47" s="126">
        <v>0.223</v>
      </c>
      <c r="O47" s="126">
        <v>0.68</v>
      </c>
      <c r="P47" s="126">
        <v>0.92</v>
      </c>
      <c r="Q47" s="126">
        <v>0</v>
      </c>
      <c r="R47" s="126">
        <v>0</v>
      </c>
      <c r="S47" s="126">
        <v>0</v>
      </c>
      <c r="T47" s="126">
        <v>0</v>
      </c>
      <c r="U47" s="126">
        <v>0</v>
      </c>
      <c r="V47" s="126">
        <v>0</v>
      </c>
      <c r="W47" s="126">
        <v>0</v>
      </c>
      <c r="X47" s="126">
        <v>0</v>
      </c>
      <c r="Y47" s="126">
        <v>0</v>
      </c>
      <c r="Z47" s="142">
        <v>4</v>
      </c>
      <c r="AA47" s="126">
        <v>0</v>
      </c>
      <c r="AB47" s="126">
        <v>0</v>
      </c>
      <c r="AC47" s="126">
        <v>0</v>
      </c>
      <c r="AD47" s="126">
        <v>0</v>
      </c>
      <c r="AE47" s="126">
        <v>0</v>
      </c>
      <c r="AF47" s="126">
        <v>0.15</v>
      </c>
      <c r="AG47" t="s">
        <v>2429</v>
      </c>
    </row>
    <row r="48" spans="1:33" x14ac:dyDescent="0.3">
      <c r="A48">
        <v>108</v>
      </c>
      <c r="B48" t="s">
        <v>193</v>
      </c>
      <c r="C48" t="s">
        <v>150</v>
      </c>
      <c r="D48">
        <v>69716</v>
      </c>
      <c r="E48">
        <v>76687</v>
      </c>
      <c r="F48">
        <v>660</v>
      </c>
      <c r="G48">
        <v>12000</v>
      </c>
      <c r="H48">
        <v>119</v>
      </c>
      <c r="I48">
        <v>0.3</v>
      </c>
      <c r="J48" s="28">
        <v>0</v>
      </c>
      <c r="K48" s="126">
        <v>3.0000000000000001E-3</v>
      </c>
      <c r="L48" s="126">
        <v>2</v>
      </c>
      <c r="M48" s="126">
        <v>0.1</v>
      </c>
      <c r="N48" s="126">
        <v>0.223</v>
      </c>
      <c r="O48" s="126">
        <v>0.68</v>
      </c>
      <c r="P48" s="126">
        <v>0.92</v>
      </c>
      <c r="Q48" s="126">
        <v>0</v>
      </c>
      <c r="R48" s="126">
        <v>0</v>
      </c>
      <c r="S48" s="126">
        <v>0</v>
      </c>
      <c r="T48" s="126">
        <v>0</v>
      </c>
      <c r="U48" s="126">
        <v>0</v>
      </c>
      <c r="V48" s="126">
        <v>0</v>
      </c>
      <c r="W48" s="126">
        <v>0</v>
      </c>
      <c r="X48" s="126">
        <v>0</v>
      </c>
      <c r="Y48" s="126">
        <v>0</v>
      </c>
      <c r="Z48" s="142">
        <v>4</v>
      </c>
      <c r="AA48" s="126">
        <v>0</v>
      </c>
      <c r="AB48" s="126">
        <v>0</v>
      </c>
      <c r="AC48" s="126">
        <v>0</v>
      </c>
      <c r="AD48" s="126">
        <v>0</v>
      </c>
      <c r="AE48" s="126">
        <v>0</v>
      </c>
      <c r="AF48" s="126">
        <v>0.15</v>
      </c>
      <c r="AG48" t="s">
        <v>2430</v>
      </c>
    </row>
    <row r="49" spans="1:33" x14ac:dyDescent="0.3">
      <c r="A49">
        <v>111</v>
      </c>
      <c r="B49" t="s">
        <v>194</v>
      </c>
      <c r="C49" t="s">
        <v>150</v>
      </c>
      <c r="D49">
        <v>81881</v>
      </c>
      <c r="E49">
        <v>90069</v>
      </c>
      <c r="F49">
        <v>660</v>
      </c>
      <c r="G49">
        <v>12000</v>
      </c>
      <c r="H49">
        <v>130</v>
      </c>
      <c r="I49">
        <v>0.3</v>
      </c>
      <c r="J49" s="28">
        <v>0</v>
      </c>
      <c r="K49" s="126">
        <v>3.0000000000000001E-3</v>
      </c>
      <c r="L49" s="126">
        <v>2</v>
      </c>
      <c r="M49" s="126">
        <v>0.1</v>
      </c>
      <c r="N49" s="126">
        <v>0.223</v>
      </c>
      <c r="O49" s="126">
        <v>0.68</v>
      </c>
      <c r="P49" s="126">
        <v>0.92</v>
      </c>
      <c r="Q49" s="126">
        <v>0</v>
      </c>
      <c r="R49" s="126">
        <v>0</v>
      </c>
      <c r="S49" s="126">
        <v>0</v>
      </c>
      <c r="T49" s="126">
        <v>0</v>
      </c>
      <c r="U49" s="126">
        <v>0</v>
      </c>
      <c r="V49" s="126">
        <v>0</v>
      </c>
      <c r="W49" s="126">
        <v>0</v>
      </c>
      <c r="X49" s="126">
        <v>0</v>
      </c>
      <c r="Y49" s="126">
        <v>0</v>
      </c>
      <c r="Z49" s="142">
        <v>4</v>
      </c>
      <c r="AA49" s="126">
        <v>0</v>
      </c>
      <c r="AB49" s="126">
        <v>0</v>
      </c>
      <c r="AC49" s="126">
        <v>0</v>
      </c>
      <c r="AD49" s="126">
        <v>0</v>
      </c>
      <c r="AE49" s="126">
        <v>0</v>
      </c>
      <c r="AF49" s="126">
        <v>0.15</v>
      </c>
      <c r="AG49" t="s">
        <v>2431</v>
      </c>
    </row>
    <row r="50" spans="1:33" x14ac:dyDescent="0.3">
      <c r="A50">
        <v>112</v>
      </c>
      <c r="B50" t="s">
        <v>195</v>
      </c>
      <c r="C50" t="s">
        <v>150</v>
      </c>
      <c r="D50">
        <v>100515</v>
      </c>
      <c r="E50">
        <v>110567</v>
      </c>
      <c r="F50">
        <v>685</v>
      </c>
      <c r="G50">
        <v>12000</v>
      </c>
      <c r="H50">
        <v>153</v>
      </c>
      <c r="I50">
        <v>0.3</v>
      </c>
      <c r="J50" s="28">
        <v>0</v>
      </c>
      <c r="K50" s="126">
        <v>3.0000000000000001E-3</v>
      </c>
      <c r="L50" s="126">
        <v>2</v>
      </c>
      <c r="M50" s="126">
        <v>0.1</v>
      </c>
      <c r="N50" s="126">
        <v>0.223</v>
      </c>
      <c r="O50" s="126">
        <v>0.68</v>
      </c>
      <c r="P50" s="126">
        <v>0.92</v>
      </c>
      <c r="Q50" s="126">
        <v>0</v>
      </c>
      <c r="R50" s="126">
        <v>0</v>
      </c>
      <c r="S50" s="126">
        <v>0</v>
      </c>
      <c r="T50" s="126">
        <v>0</v>
      </c>
      <c r="U50" s="126">
        <v>0</v>
      </c>
      <c r="V50" s="126">
        <v>0</v>
      </c>
      <c r="W50" s="126">
        <v>0</v>
      </c>
      <c r="X50" s="126">
        <v>0</v>
      </c>
      <c r="Y50" s="126">
        <v>0</v>
      </c>
      <c r="Z50" s="142">
        <v>4</v>
      </c>
      <c r="AA50" s="126">
        <v>0</v>
      </c>
      <c r="AB50" s="126">
        <v>0</v>
      </c>
      <c r="AC50" s="126">
        <v>0</v>
      </c>
      <c r="AD50" s="126">
        <v>0</v>
      </c>
      <c r="AE50" s="126">
        <v>0</v>
      </c>
      <c r="AF50" s="126">
        <v>0.15</v>
      </c>
      <c r="AG50" t="s">
        <v>2432</v>
      </c>
    </row>
    <row r="51" spans="1:33" x14ac:dyDescent="0.3">
      <c r="A51">
        <v>115</v>
      </c>
      <c r="B51" t="s">
        <v>196</v>
      </c>
      <c r="C51" t="s">
        <v>150</v>
      </c>
      <c r="D51">
        <v>112969</v>
      </c>
      <c r="E51">
        <v>124266</v>
      </c>
      <c r="F51">
        <v>800</v>
      </c>
      <c r="G51">
        <v>12000</v>
      </c>
      <c r="H51">
        <v>168</v>
      </c>
      <c r="I51">
        <v>0.3</v>
      </c>
      <c r="J51" s="28">
        <v>0</v>
      </c>
      <c r="K51" s="126">
        <v>3.0000000000000001E-3</v>
      </c>
      <c r="L51" s="126">
        <v>2</v>
      </c>
      <c r="M51" s="126">
        <v>0.1</v>
      </c>
      <c r="N51" s="126">
        <v>0.223</v>
      </c>
      <c r="O51" s="126">
        <v>0.68</v>
      </c>
      <c r="P51" s="126">
        <v>0.92</v>
      </c>
      <c r="Q51" s="126">
        <v>0</v>
      </c>
      <c r="R51" s="126">
        <v>0</v>
      </c>
      <c r="S51" s="126">
        <v>0</v>
      </c>
      <c r="T51" s="126">
        <v>0</v>
      </c>
      <c r="U51" s="126">
        <v>0</v>
      </c>
      <c r="V51" s="126">
        <v>0</v>
      </c>
      <c r="W51" s="126">
        <v>0</v>
      </c>
      <c r="X51" s="126">
        <v>0</v>
      </c>
      <c r="Y51" s="126">
        <v>0</v>
      </c>
      <c r="Z51" s="142">
        <v>4</v>
      </c>
      <c r="AA51" s="126">
        <v>0</v>
      </c>
      <c r="AB51" s="126">
        <v>0</v>
      </c>
      <c r="AC51" s="126">
        <v>0</v>
      </c>
      <c r="AD51" s="126">
        <v>0</v>
      </c>
      <c r="AE51" s="126">
        <v>0</v>
      </c>
      <c r="AF51" s="126">
        <v>0.15</v>
      </c>
      <c r="AG51" t="s">
        <v>2433</v>
      </c>
    </row>
    <row r="52" spans="1:33" x14ac:dyDescent="0.3">
      <c r="A52">
        <v>120</v>
      </c>
      <c r="B52" t="s">
        <v>197</v>
      </c>
      <c r="C52" t="s">
        <v>150</v>
      </c>
      <c r="D52">
        <v>143107</v>
      </c>
      <c r="E52">
        <v>157418</v>
      </c>
      <c r="F52">
        <v>999</v>
      </c>
      <c r="G52">
        <v>12000</v>
      </c>
      <c r="H52">
        <v>216</v>
      </c>
      <c r="I52">
        <v>0.3</v>
      </c>
      <c r="J52" s="28">
        <v>0</v>
      </c>
      <c r="K52" s="126">
        <v>3.0000000000000001E-3</v>
      </c>
      <c r="L52" s="126">
        <v>2</v>
      </c>
      <c r="M52" s="126">
        <v>0.1</v>
      </c>
      <c r="N52" s="126">
        <v>0.223</v>
      </c>
      <c r="O52" s="126">
        <v>0.68</v>
      </c>
      <c r="P52" s="126">
        <v>0.92</v>
      </c>
      <c r="Q52" s="126">
        <v>0</v>
      </c>
      <c r="R52" s="126">
        <v>0</v>
      </c>
      <c r="S52" s="126">
        <v>0</v>
      </c>
      <c r="T52" s="126">
        <v>0</v>
      </c>
      <c r="U52" s="126">
        <v>0</v>
      </c>
      <c r="V52" s="126">
        <v>0</v>
      </c>
      <c r="W52" s="126">
        <v>0</v>
      </c>
      <c r="X52" s="126">
        <v>0</v>
      </c>
      <c r="Y52" s="126">
        <v>0</v>
      </c>
      <c r="Z52" s="142">
        <v>4</v>
      </c>
      <c r="AA52" s="126">
        <v>0</v>
      </c>
      <c r="AB52" s="126">
        <v>0</v>
      </c>
      <c r="AC52" s="126">
        <v>0</v>
      </c>
      <c r="AD52" s="126">
        <v>0</v>
      </c>
      <c r="AE52" s="126">
        <v>0</v>
      </c>
      <c r="AF52" s="126">
        <v>0.15</v>
      </c>
      <c r="AG52" t="s">
        <v>2434</v>
      </c>
    </row>
    <row r="53" spans="1:33" x14ac:dyDescent="0.3">
      <c r="A53">
        <v>121</v>
      </c>
      <c r="B53" t="s">
        <v>198</v>
      </c>
      <c r="C53" t="s">
        <v>199</v>
      </c>
      <c r="D53">
        <v>44130</v>
      </c>
      <c r="E53">
        <v>48543</v>
      </c>
      <c r="F53">
        <v>100</v>
      </c>
      <c r="G53">
        <v>2000</v>
      </c>
      <c r="H53">
        <v>0</v>
      </c>
      <c r="I53">
        <v>7.3</v>
      </c>
      <c r="J53" s="28">
        <v>6.44</v>
      </c>
      <c r="K53" s="126">
        <v>0.32</v>
      </c>
      <c r="L53" s="126">
        <v>2.1</v>
      </c>
      <c r="M53" s="126">
        <v>0</v>
      </c>
      <c r="N53" s="126">
        <v>0</v>
      </c>
      <c r="O53" s="126">
        <v>0.6</v>
      </c>
      <c r="P53" s="126">
        <v>0.88500000000000001</v>
      </c>
      <c r="Q53" s="126">
        <v>0.65</v>
      </c>
      <c r="R53" s="126">
        <v>0</v>
      </c>
      <c r="S53" s="126">
        <v>0.2</v>
      </c>
      <c r="T53" s="126">
        <v>10</v>
      </c>
      <c r="U53" s="126">
        <v>40</v>
      </c>
      <c r="V53" s="126">
        <v>25</v>
      </c>
      <c r="W53" s="126">
        <v>0.17</v>
      </c>
      <c r="X53" s="126">
        <v>0</v>
      </c>
      <c r="Y53" s="126">
        <v>0</v>
      </c>
      <c r="Z53" s="142">
        <v>6</v>
      </c>
      <c r="AA53" s="126">
        <v>0</v>
      </c>
      <c r="AB53" s="126">
        <v>0</v>
      </c>
      <c r="AC53" s="126">
        <v>0</v>
      </c>
      <c r="AD53" s="126">
        <v>0</v>
      </c>
      <c r="AE53" s="126">
        <v>6.79</v>
      </c>
      <c r="AF53" s="126">
        <v>2.4380000000000002</v>
      </c>
      <c r="AG53" t="s">
        <v>2435</v>
      </c>
    </row>
    <row r="54" spans="1:33" x14ac:dyDescent="0.3">
      <c r="A54">
        <v>122</v>
      </c>
      <c r="B54" t="s">
        <v>2837</v>
      </c>
      <c r="C54" t="s">
        <v>199</v>
      </c>
      <c r="D54">
        <v>27100</v>
      </c>
      <c r="E54">
        <v>29810</v>
      </c>
      <c r="F54">
        <v>100</v>
      </c>
      <c r="G54">
        <v>2000</v>
      </c>
      <c r="H54">
        <v>0</v>
      </c>
      <c r="I54">
        <v>11</v>
      </c>
      <c r="J54" s="28">
        <v>6.44</v>
      </c>
      <c r="K54" s="126">
        <v>0.32</v>
      </c>
      <c r="L54" s="126">
        <v>2.1</v>
      </c>
      <c r="M54" s="126">
        <v>0</v>
      </c>
      <c r="N54" s="126">
        <v>0</v>
      </c>
      <c r="O54" s="126">
        <v>0.6</v>
      </c>
      <c r="P54" s="126">
        <v>0.88500000000000001</v>
      </c>
      <c r="Q54" s="126">
        <v>0.65</v>
      </c>
      <c r="R54" s="126">
        <v>0</v>
      </c>
      <c r="S54" s="126">
        <v>0.2</v>
      </c>
      <c r="T54" s="126">
        <v>10</v>
      </c>
      <c r="U54" s="126">
        <v>40</v>
      </c>
      <c r="V54" s="126">
        <v>25</v>
      </c>
      <c r="W54" s="126">
        <v>0.17</v>
      </c>
      <c r="X54" s="126">
        <v>0</v>
      </c>
      <c r="Y54" s="126">
        <v>0</v>
      </c>
      <c r="Z54" s="142">
        <v>6</v>
      </c>
      <c r="AA54" s="126">
        <v>0</v>
      </c>
      <c r="AB54" s="126">
        <v>0</v>
      </c>
      <c r="AC54" s="126">
        <v>0</v>
      </c>
      <c r="AD54" s="126">
        <v>0</v>
      </c>
      <c r="AE54" s="126">
        <v>6.79</v>
      </c>
      <c r="AF54" s="126">
        <v>6.3380000000000001</v>
      </c>
      <c r="AG54" t="s">
        <v>2838</v>
      </c>
    </row>
    <row r="55" spans="1:33" x14ac:dyDescent="0.3">
      <c r="A55">
        <v>123</v>
      </c>
      <c r="B55" t="s">
        <v>200</v>
      </c>
      <c r="C55" t="s">
        <v>199</v>
      </c>
      <c r="D55">
        <v>1155</v>
      </c>
      <c r="E55">
        <v>1270</v>
      </c>
      <c r="F55">
        <v>26</v>
      </c>
      <c r="G55">
        <v>390</v>
      </c>
      <c r="H55">
        <v>0</v>
      </c>
      <c r="I55">
        <v>1.4</v>
      </c>
      <c r="J55" s="28">
        <v>6.44</v>
      </c>
      <c r="K55" s="126">
        <v>0.32</v>
      </c>
      <c r="L55" s="126">
        <v>2.1</v>
      </c>
      <c r="M55" s="126">
        <v>0</v>
      </c>
      <c r="N55" s="126">
        <v>0</v>
      </c>
      <c r="O55" s="126">
        <v>0.68</v>
      </c>
      <c r="P55" s="126">
        <v>0.92</v>
      </c>
      <c r="Q55" s="126">
        <v>0.65</v>
      </c>
      <c r="R55" s="126">
        <v>0</v>
      </c>
      <c r="S55" s="126">
        <v>0.2</v>
      </c>
      <c r="T55" s="126">
        <v>10</v>
      </c>
      <c r="U55" s="126">
        <v>40</v>
      </c>
      <c r="V55" s="126">
        <v>25</v>
      </c>
      <c r="W55" s="126">
        <v>0.17</v>
      </c>
      <c r="X55" s="126">
        <v>0</v>
      </c>
      <c r="Y55" s="126">
        <v>0</v>
      </c>
      <c r="Z55" s="142">
        <v>5</v>
      </c>
      <c r="AA55" s="126">
        <v>0</v>
      </c>
      <c r="AB55" s="126">
        <v>0</v>
      </c>
      <c r="AC55" s="126">
        <v>0</v>
      </c>
      <c r="AD55" s="126">
        <v>0</v>
      </c>
      <c r="AE55" s="126">
        <v>6.79</v>
      </c>
      <c r="AF55" s="126">
        <v>0.58499999999999996</v>
      </c>
      <c r="AG55" t="s">
        <v>1880</v>
      </c>
    </row>
    <row r="56" spans="1:33" x14ac:dyDescent="0.3">
      <c r="A56">
        <v>124</v>
      </c>
      <c r="B56" t="s">
        <v>201</v>
      </c>
      <c r="C56" t="s">
        <v>199</v>
      </c>
      <c r="D56">
        <v>24577</v>
      </c>
      <c r="E56">
        <v>27035</v>
      </c>
      <c r="F56">
        <v>50</v>
      </c>
      <c r="G56">
        <v>1200</v>
      </c>
      <c r="H56">
        <v>0</v>
      </c>
      <c r="I56">
        <v>5.5</v>
      </c>
      <c r="J56" s="28">
        <v>5.63</v>
      </c>
      <c r="K56" s="126">
        <v>0.32</v>
      </c>
      <c r="L56" s="126">
        <v>2.1</v>
      </c>
      <c r="M56" s="126">
        <v>0.1</v>
      </c>
      <c r="N56" s="126">
        <v>0</v>
      </c>
      <c r="O56" s="126">
        <v>0.6</v>
      </c>
      <c r="P56" s="126">
        <v>0.88500000000000001</v>
      </c>
      <c r="Q56" s="126">
        <v>0.75</v>
      </c>
      <c r="R56" s="126">
        <v>0</v>
      </c>
      <c r="S56" s="126">
        <v>0.2</v>
      </c>
      <c r="T56" s="126">
        <v>10</v>
      </c>
      <c r="U56" s="126">
        <v>100</v>
      </c>
      <c r="V56" s="126">
        <v>25</v>
      </c>
      <c r="W56" s="126">
        <v>0.17</v>
      </c>
      <c r="X56" s="126">
        <v>0</v>
      </c>
      <c r="Y56" s="126">
        <v>0</v>
      </c>
      <c r="Z56" s="142">
        <v>5</v>
      </c>
      <c r="AA56" s="126">
        <v>0</v>
      </c>
      <c r="AB56" s="126">
        <v>0</v>
      </c>
      <c r="AC56" s="126">
        <v>0</v>
      </c>
      <c r="AD56" s="126">
        <v>0</v>
      </c>
      <c r="AE56" s="126">
        <v>6.79</v>
      </c>
      <c r="AF56" s="126">
        <v>2.4380000000000002</v>
      </c>
      <c r="AG56" t="s">
        <v>2436</v>
      </c>
    </row>
    <row r="57" spans="1:33" x14ac:dyDescent="0.3">
      <c r="A57">
        <v>125</v>
      </c>
      <c r="B57" t="s">
        <v>2839</v>
      </c>
      <c r="C57" t="s">
        <v>199</v>
      </c>
      <c r="D57">
        <v>2908</v>
      </c>
      <c r="E57">
        <v>3199</v>
      </c>
      <c r="F57">
        <v>150</v>
      </c>
      <c r="G57">
        <v>1500</v>
      </c>
      <c r="H57">
        <v>0</v>
      </c>
      <c r="I57">
        <v>1.8</v>
      </c>
      <c r="J57" s="28">
        <v>3.22</v>
      </c>
      <c r="K57" s="126">
        <v>0.32</v>
      </c>
      <c r="L57" s="126">
        <v>2.1</v>
      </c>
      <c r="M57" s="126">
        <v>0</v>
      </c>
      <c r="N57" s="126">
        <v>0</v>
      </c>
      <c r="O57" s="126">
        <v>0.6</v>
      </c>
      <c r="P57" s="126">
        <v>0.88500000000000001</v>
      </c>
      <c r="Q57" s="126">
        <v>0.6</v>
      </c>
      <c r="R57" s="126">
        <v>0</v>
      </c>
      <c r="S57" s="126">
        <v>0.3</v>
      </c>
      <c r="T57" s="126">
        <v>10</v>
      </c>
      <c r="U57" s="126">
        <v>100</v>
      </c>
      <c r="V57" s="126">
        <v>25</v>
      </c>
      <c r="W57" s="126">
        <v>0.17</v>
      </c>
      <c r="X57" s="126">
        <v>0</v>
      </c>
      <c r="Y57" s="126">
        <v>0</v>
      </c>
      <c r="Z57" s="142">
        <v>5</v>
      </c>
      <c r="AA57" s="126">
        <v>0</v>
      </c>
      <c r="AB57" s="126">
        <v>0</v>
      </c>
      <c r="AC57" s="126">
        <v>0</v>
      </c>
      <c r="AD57" s="126">
        <v>0</v>
      </c>
      <c r="AE57" s="126">
        <v>6.79</v>
      </c>
      <c r="AF57" s="126">
        <v>3.12</v>
      </c>
      <c r="AG57" t="s">
        <v>2840</v>
      </c>
    </row>
    <row r="58" spans="1:33" x14ac:dyDescent="0.3">
      <c r="A58">
        <v>126</v>
      </c>
      <c r="B58" t="s">
        <v>202</v>
      </c>
      <c r="C58" t="s">
        <v>199</v>
      </c>
      <c r="D58">
        <v>1400</v>
      </c>
      <c r="E58">
        <v>1540</v>
      </c>
      <c r="F58">
        <v>200</v>
      </c>
      <c r="G58">
        <v>2000</v>
      </c>
      <c r="H58">
        <v>0</v>
      </c>
      <c r="I58">
        <v>3.7</v>
      </c>
      <c r="J58" s="28">
        <v>3.22</v>
      </c>
      <c r="K58" s="126">
        <v>0.32</v>
      </c>
      <c r="L58" s="126">
        <v>2.1</v>
      </c>
      <c r="M58" s="126">
        <v>0.1</v>
      </c>
      <c r="N58" s="126">
        <v>0</v>
      </c>
      <c r="O58" s="126">
        <v>0.6</v>
      </c>
      <c r="P58" s="126">
        <v>0.88500000000000001</v>
      </c>
      <c r="Q58" s="126">
        <v>0.7</v>
      </c>
      <c r="R58" s="126">
        <v>0</v>
      </c>
      <c r="S58" s="126">
        <v>0.3</v>
      </c>
      <c r="T58" s="126">
        <v>10</v>
      </c>
      <c r="U58" s="126">
        <v>100</v>
      </c>
      <c r="V58" s="126">
        <v>25</v>
      </c>
      <c r="W58" s="126">
        <v>0.91</v>
      </c>
      <c r="X58" s="126">
        <v>0</v>
      </c>
      <c r="Y58" s="126">
        <v>0</v>
      </c>
      <c r="Z58" s="142">
        <v>5</v>
      </c>
      <c r="AA58" s="126">
        <v>0</v>
      </c>
      <c r="AB58" s="126">
        <v>0</v>
      </c>
      <c r="AC58" s="126">
        <v>0</v>
      </c>
      <c r="AD58" s="126">
        <v>0</v>
      </c>
      <c r="AE58" s="126">
        <v>6.79</v>
      </c>
      <c r="AF58" s="126">
        <v>3.12</v>
      </c>
      <c r="AG58" t="s">
        <v>2437</v>
      </c>
    </row>
    <row r="59" spans="1:33" x14ac:dyDescent="0.3">
      <c r="A59">
        <v>127</v>
      </c>
      <c r="B59" t="s">
        <v>2841</v>
      </c>
      <c r="C59" t="s">
        <v>199</v>
      </c>
      <c r="D59">
        <v>2800</v>
      </c>
      <c r="E59">
        <v>3080</v>
      </c>
      <c r="F59">
        <v>200</v>
      </c>
      <c r="G59">
        <v>2000</v>
      </c>
      <c r="H59">
        <v>0</v>
      </c>
      <c r="I59">
        <v>2</v>
      </c>
      <c r="J59" s="28">
        <v>8.0500000000000007</v>
      </c>
      <c r="K59" s="126">
        <v>0.32</v>
      </c>
      <c r="L59" s="126">
        <v>2.1</v>
      </c>
      <c r="M59" s="126">
        <v>0.1</v>
      </c>
      <c r="N59" s="126">
        <v>0</v>
      </c>
      <c r="O59" s="126">
        <v>0.6</v>
      </c>
      <c r="P59" s="126">
        <v>0.88500000000000001</v>
      </c>
      <c r="Q59" s="126">
        <v>0.65</v>
      </c>
      <c r="R59" s="126">
        <v>0</v>
      </c>
      <c r="S59" s="126">
        <v>0.05</v>
      </c>
      <c r="T59" s="126">
        <v>10</v>
      </c>
      <c r="U59" s="126">
        <v>40</v>
      </c>
      <c r="V59" s="126">
        <v>25</v>
      </c>
      <c r="W59" s="126">
        <v>1</v>
      </c>
      <c r="X59" s="126">
        <v>0</v>
      </c>
      <c r="Y59" s="126">
        <v>0</v>
      </c>
      <c r="Z59" s="142">
        <v>5</v>
      </c>
      <c r="AA59" s="126">
        <v>0</v>
      </c>
      <c r="AB59" s="126">
        <v>0</v>
      </c>
      <c r="AC59" s="126">
        <v>0</v>
      </c>
      <c r="AD59" s="126">
        <v>0</v>
      </c>
      <c r="AE59" s="126">
        <v>6.79</v>
      </c>
      <c r="AF59" s="126">
        <v>2.4380000000000002</v>
      </c>
      <c r="AG59" t="s">
        <v>2842</v>
      </c>
    </row>
    <row r="60" spans="1:33" x14ac:dyDescent="0.3">
      <c r="A60">
        <v>128</v>
      </c>
      <c r="B60" t="s">
        <v>2843</v>
      </c>
      <c r="C60" t="s">
        <v>199</v>
      </c>
      <c r="D60">
        <v>5525</v>
      </c>
      <c r="E60">
        <v>6078</v>
      </c>
      <c r="F60">
        <v>80</v>
      </c>
      <c r="G60">
        <v>1200</v>
      </c>
      <c r="H60">
        <v>0</v>
      </c>
      <c r="I60">
        <v>1.8</v>
      </c>
      <c r="J60" s="28">
        <v>5.63</v>
      </c>
      <c r="K60" s="126">
        <v>0.32</v>
      </c>
      <c r="L60" s="126">
        <v>2.1</v>
      </c>
      <c r="M60" s="126">
        <v>0.1</v>
      </c>
      <c r="N60" s="126">
        <v>0</v>
      </c>
      <c r="O60" s="126">
        <v>0.6</v>
      </c>
      <c r="P60" s="126">
        <v>0.88500000000000001</v>
      </c>
      <c r="Q60" s="126">
        <v>0.6</v>
      </c>
      <c r="R60" s="126">
        <v>0</v>
      </c>
      <c r="S60" s="126">
        <v>0.2</v>
      </c>
      <c r="T60" s="126">
        <v>10</v>
      </c>
      <c r="U60" s="126">
        <v>40</v>
      </c>
      <c r="V60" s="126">
        <v>25</v>
      </c>
      <c r="W60" s="126">
        <v>0.6</v>
      </c>
      <c r="X60" s="126">
        <v>0</v>
      </c>
      <c r="Y60" s="126">
        <v>0</v>
      </c>
      <c r="Z60" s="142">
        <v>5</v>
      </c>
      <c r="AA60" s="126">
        <v>0</v>
      </c>
      <c r="AB60" s="126">
        <v>0</v>
      </c>
      <c r="AC60" s="126">
        <v>0</v>
      </c>
      <c r="AD60" s="126">
        <v>0</v>
      </c>
      <c r="AE60" s="126">
        <v>6.79</v>
      </c>
      <c r="AF60" s="126">
        <v>2.4380000000000002</v>
      </c>
      <c r="AG60" t="s">
        <v>2844</v>
      </c>
    </row>
    <row r="61" spans="1:33" x14ac:dyDescent="0.3">
      <c r="A61">
        <v>129</v>
      </c>
      <c r="B61" t="s">
        <v>2845</v>
      </c>
      <c r="C61" t="s">
        <v>199</v>
      </c>
      <c r="D61">
        <v>13746</v>
      </c>
      <c r="E61">
        <v>15121</v>
      </c>
      <c r="F61">
        <v>90</v>
      </c>
      <c r="G61">
        <v>1500</v>
      </c>
      <c r="H61">
        <v>0</v>
      </c>
      <c r="I61">
        <v>6.1</v>
      </c>
      <c r="J61" s="28">
        <v>8.2100000000000009</v>
      </c>
      <c r="K61" s="126">
        <v>0.32</v>
      </c>
      <c r="L61" s="126">
        <v>2.1</v>
      </c>
      <c r="M61" s="126">
        <v>0.1</v>
      </c>
      <c r="N61" s="126">
        <v>0</v>
      </c>
      <c r="O61" s="126">
        <v>0.6</v>
      </c>
      <c r="P61" s="126">
        <v>0.88500000000000001</v>
      </c>
      <c r="Q61" s="126">
        <v>0.85</v>
      </c>
      <c r="R61" s="126">
        <v>0</v>
      </c>
      <c r="S61" s="126">
        <v>0.05</v>
      </c>
      <c r="T61" s="126">
        <v>10</v>
      </c>
      <c r="U61" s="126">
        <v>40</v>
      </c>
      <c r="V61" s="126">
        <v>25</v>
      </c>
      <c r="W61" s="126">
        <v>0.17</v>
      </c>
      <c r="X61" s="126">
        <v>0</v>
      </c>
      <c r="Y61" s="126">
        <v>0</v>
      </c>
      <c r="Z61" s="142">
        <v>6</v>
      </c>
      <c r="AA61" s="126">
        <v>0</v>
      </c>
      <c r="AB61" s="126">
        <v>0</v>
      </c>
      <c r="AC61" s="126">
        <v>0</v>
      </c>
      <c r="AD61" s="126">
        <v>0</v>
      </c>
      <c r="AE61" s="126">
        <v>6.79</v>
      </c>
      <c r="AF61" s="126">
        <v>2.4380000000000002</v>
      </c>
      <c r="AG61" t="s">
        <v>2846</v>
      </c>
    </row>
    <row r="62" spans="1:33" x14ac:dyDescent="0.3">
      <c r="A62">
        <v>130</v>
      </c>
      <c r="B62" t="s">
        <v>2847</v>
      </c>
      <c r="C62" t="s">
        <v>199</v>
      </c>
      <c r="D62">
        <v>7643</v>
      </c>
      <c r="E62">
        <v>8407</v>
      </c>
      <c r="F62">
        <v>95</v>
      </c>
      <c r="G62">
        <v>1500</v>
      </c>
      <c r="H62">
        <v>0</v>
      </c>
      <c r="I62">
        <v>4.0999999999999996</v>
      </c>
      <c r="J62" s="28">
        <v>9.17</v>
      </c>
      <c r="K62" s="126">
        <v>0.32</v>
      </c>
      <c r="L62" s="126">
        <v>2.1</v>
      </c>
      <c r="M62" s="126">
        <v>0.1</v>
      </c>
      <c r="N62" s="126">
        <v>0</v>
      </c>
      <c r="O62" s="126">
        <v>0.6</v>
      </c>
      <c r="P62" s="126">
        <v>0.88500000000000001</v>
      </c>
      <c r="Q62" s="126">
        <v>0.85</v>
      </c>
      <c r="R62" s="126">
        <v>0</v>
      </c>
      <c r="S62" s="126">
        <v>0.15</v>
      </c>
      <c r="T62" s="126">
        <v>10</v>
      </c>
      <c r="U62" s="126">
        <v>40</v>
      </c>
      <c r="V62" s="126">
        <v>75</v>
      </c>
      <c r="W62" s="126">
        <v>1</v>
      </c>
      <c r="X62" s="126">
        <v>0</v>
      </c>
      <c r="Y62" s="126">
        <v>0</v>
      </c>
      <c r="Z62" s="142">
        <v>5</v>
      </c>
      <c r="AA62" s="126">
        <v>0</v>
      </c>
      <c r="AB62" s="126">
        <v>0</v>
      </c>
      <c r="AC62" s="126">
        <v>0</v>
      </c>
      <c r="AD62" s="126">
        <v>0</v>
      </c>
      <c r="AE62" s="126">
        <v>6.79</v>
      </c>
      <c r="AF62" s="126">
        <v>52</v>
      </c>
      <c r="AG62" t="s">
        <v>2848</v>
      </c>
    </row>
    <row r="63" spans="1:33" x14ac:dyDescent="0.3">
      <c r="A63">
        <v>131</v>
      </c>
      <c r="B63" t="s">
        <v>2849</v>
      </c>
      <c r="C63" t="s">
        <v>199</v>
      </c>
      <c r="D63">
        <v>19368</v>
      </c>
      <c r="E63">
        <v>21305</v>
      </c>
      <c r="F63">
        <v>70</v>
      </c>
      <c r="G63">
        <v>1200</v>
      </c>
      <c r="H63">
        <v>0</v>
      </c>
      <c r="I63">
        <v>4.3</v>
      </c>
      <c r="J63" s="28">
        <v>5.79</v>
      </c>
      <c r="K63" s="126">
        <v>0.32</v>
      </c>
      <c r="L63" s="126">
        <v>2.1</v>
      </c>
      <c r="M63" s="126">
        <v>0.1</v>
      </c>
      <c r="N63" s="126">
        <v>0</v>
      </c>
      <c r="O63" s="126">
        <v>0.6</v>
      </c>
      <c r="P63" s="126">
        <v>0.88500000000000001</v>
      </c>
      <c r="Q63" s="126">
        <v>0.7</v>
      </c>
      <c r="R63" s="126">
        <v>0</v>
      </c>
      <c r="S63" s="126">
        <v>0.2</v>
      </c>
      <c r="T63" s="126">
        <v>10</v>
      </c>
      <c r="U63" s="126">
        <v>40</v>
      </c>
      <c r="V63" s="126">
        <v>25</v>
      </c>
      <c r="W63" s="126">
        <v>0.17</v>
      </c>
      <c r="X63" s="126">
        <v>0</v>
      </c>
      <c r="Y63" s="126">
        <v>0</v>
      </c>
      <c r="Z63" s="142">
        <v>6</v>
      </c>
      <c r="AA63" s="126">
        <v>0</v>
      </c>
      <c r="AB63" s="126">
        <v>0</v>
      </c>
      <c r="AC63" s="126">
        <v>0</v>
      </c>
      <c r="AD63" s="126">
        <v>0</v>
      </c>
      <c r="AE63" s="126">
        <v>6.79</v>
      </c>
      <c r="AF63" s="126">
        <v>2.4380000000000002</v>
      </c>
      <c r="AG63" t="s">
        <v>2850</v>
      </c>
    </row>
    <row r="64" spans="1:33" x14ac:dyDescent="0.3">
      <c r="A64">
        <v>132</v>
      </c>
      <c r="B64" t="s">
        <v>203</v>
      </c>
      <c r="C64" t="s">
        <v>199</v>
      </c>
      <c r="D64">
        <v>15808</v>
      </c>
      <c r="E64">
        <v>17389</v>
      </c>
      <c r="F64">
        <v>65</v>
      </c>
      <c r="G64">
        <v>1200</v>
      </c>
      <c r="H64">
        <v>0</v>
      </c>
      <c r="I64">
        <v>4.3</v>
      </c>
      <c r="J64" s="28">
        <v>4.0199999999999996</v>
      </c>
      <c r="K64" s="126">
        <v>0.32</v>
      </c>
      <c r="L64" s="126">
        <v>2.1</v>
      </c>
      <c r="M64" s="126">
        <v>0.1</v>
      </c>
      <c r="N64" s="126">
        <v>0</v>
      </c>
      <c r="O64" s="126">
        <v>0.6</v>
      </c>
      <c r="P64" s="126">
        <v>0.88500000000000001</v>
      </c>
      <c r="Q64" s="126">
        <v>0.7</v>
      </c>
      <c r="R64" s="126">
        <v>0</v>
      </c>
      <c r="S64" s="126">
        <v>0.1</v>
      </c>
      <c r="T64" s="126">
        <v>10</v>
      </c>
      <c r="U64" s="126">
        <v>40</v>
      </c>
      <c r="V64" s="126">
        <v>25</v>
      </c>
      <c r="W64" s="126">
        <v>0.17</v>
      </c>
      <c r="X64" s="126">
        <v>0</v>
      </c>
      <c r="Y64" s="126">
        <v>0</v>
      </c>
      <c r="Z64" s="142">
        <v>6</v>
      </c>
      <c r="AA64" s="126">
        <v>0</v>
      </c>
      <c r="AB64" s="126">
        <v>0</v>
      </c>
      <c r="AC64" s="126">
        <v>0</v>
      </c>
      <c r="AD64" s="126">
        <v>0</v>
      </c>
      <c r="AE64" s="126">
        <v>6.79</v>
      </c>
      <c r="AF64" s="126">
        <v>6.3380000000000001</v>
      </c>
      <c r="AG64" t="s">
        <v>2851</v>
      </c>
    </row>
    <row r="65" spans="1:33" x14ac:dyDescent="0.3">
      <c r="A65">
        <v>133</v>
      </c>
      <c r="B65" t="s">
        <v>2852</v>
      </c>
      <c r="C65" t="s">
        <v>199</v>
      </c>
      <c r="D65">
        <v>12100</v>
      </c>
      <c r="E65">
        <v>13310</v>
      </c>
      <c r="F65">
        <v>80</v>
      </c>
      <c r="G65">
        <v>1200</v>
      </c>
      <c r="H65">
        <v>0</v>
      </c>
      <c r="I65">
        <v>3</v>
      </c>
      <c r="J65" s="28">
        <v>5.63</v>
      </c>
      <c r="K65" s="126">
        <v>0.32</v>
      </c>
      <c r="L65" s="126">
        <v>2.1</v>
      </c>
      <c r="M65" s="126">
        <v>0.1</v>
      </c>
      <c r="N65" s="126">
        <v>0</v>
      </c>
      <c r="O65" s="126">
        <v>0.6</v>
      </c>
      <c r="P65" s="126">
        <v>0.88500000000000001</v>
      </c>
      <c r="Q65" s="126">
        <v>0.7</v>
      </c>
      <c r="R65" s="126">
        <v>0</v>
      </c>
      <c r="S65" s="126">
        <v>0.1</v>
      </c>
      <c r="T65" s="126">
        <v>10</v>
      </c>
      <c r="U65" s="126">
        <v>40</v>
      </c>
      <c r="V65" s="126">
        <v>25</v>
      </c>
      <c r="W65" s="126">
        <v>0.17</v>
      </c>
      <c r="X65" s="126">
        <v>0</v>
      </c>
      <c r="Y65" s="126">
        <v>0</v>
      </c>
      <c r="Z65" s="142">
        <v>6</v>
      </c>
      <c r="AA65" s="126">
        <v>0</v>
      </c>
      <c r="AB65" s="126">
        <v>0</v>
      </c>
      <c r="AC65" s="126">
        <v>0</v>
      </c>
      <c r="AD65" s="126">
        <v>0</v>
      </c>
      <c r="AE65" s="126">
        <v>6.79</v>
      </c>
      <c r="AF65" s="126">
        <v>6.3380000000000001</v>
      </c>
      <c r="AG65" t="s">
        <v>2853</v>
      </c>
    </row>
    <row r="66" spans="1:33" x14ac:dyDescent="0.3">
      <c r="A66">
        <v>134</v>
      </c>
      <c r="B66" t="s">
        <v>2854</v>
      </c>
      <c r="C66" t="s">
        <v>199</v>
      </c>
      <c r="D66">
        <v>15535</v>
      </c>
      <c r="E66">
        <v>17088</v>
      </c>
      <c r="F66">
        <v>70</v>
      </c>
      <c r="G66">
        <v>1200</v>
      </c>
      <c r="H66">
        <v>0</v>
      </c>
      <c r="I66">
        <v>6.1</v>
      </c>
      <c r="J66" s="28">
        <v>5.31</v>
      </c>
      <c r="K66" s="126">
        <v>0.32</v>
      </c>
      <c r="L66" s="126">
        <v>2.1</v>
      </c>
      <c r="M66" s="126">
        <v>0.1</v>
      </c>
      <c r="N66" s="126">
        <v>0</v>
      </c>
      <c r="O66" s="126">
        <v>0.6</v>
      </c>
      <c r="P66" s="126">
        <v>0.88500000000000001</v>
      </c>
      <c r="Q66" s="126">
        <v>0.7</v>
      </c>
      <c r="R66" s="126">
        <v>0</v>
      </c>
      <c r="S66" s="126">
        <v>0.4</v>
      </c>
      <c r="T66" s="126">
        <v>10</v>
      </c>
      <c r="U66" s="126">
        <v>40</v>
      </c>
      <c r="V66" s="126">
        <v>25</v>
      </c>
      <c r="W66" s="126">
        <v>0.17</v>
      </c>
      <c r="X66" s="126">
        <v>0</v>
      </c>
      <c r="Y66" s="126">
        <v>0</v>
      </c>
      <c r="Z66" s="142">
        <v>6</v>
      </c>
      <c r="AA66" s="126">
        <v>0</v>
      </c>
      <c r="AB66" s="126">
        <v>0</v>
      </c>
      <c r="AC66" s="126">
        <v>0</v>
      </c>
      <c r="AD66" s="126">
        <v>0</v>
      </c>
      <c r="AE66" s="126">
        <v>6.79</v>
      </c>
      <c r="AF66" s="126">
        <v>6.3380000000000001</v>
      </c>
      <c r="AG66" t="s">
        <v>2855</v>
      </c>
    </row>
    <row r="67" spans="1:33" x14ac:dyDescent="0.3">
      <c r="A67">
        <v>135</v>
      </c>
      <c r="B67" t="s">
        <v>2856</v>
      </c>
      <c r="C67" t="s">
        <v>199</v>
      </c>
      <c r="D67">
        <v>18500</v>
      </c>
      <c r="E67">
        <v>20350</v>
      </c>
      <c r="F67">
        <v>120</v>
      </c>
      <c r="G67">
        <v>1200</v>
      </c>
      <c r="H67">
        <v>0</v>
      </c>
      <c r="I67">
        <v>2</v>
      </c>
      <c r="J67" s="28">
        <v>5.63</v>
      </c>
      <c r="K67" s="126">
        <v>0.32</v>
      </c>
      <c r="L67" s="126">
        <v>2.1</v>
      </c>
      <c r="M67" s="126">
        <v>0.1</v>
      </c>
      <c r="N67" s="126">
        <v>0</v>
      </c>
      <c r="O67" s="126">
        <v>0.6</v>
      </c>
      <c r="P67" s="126">
        <v>0.8</v>
      </c>
      <c r="Q67" s="126">
        <v>0.65</v>
      </c>
      <c r="R67" s="126">
        <v>0</v>
      </c>
      <c r="S67" s="126">
        <v>0.1</v>
      </c>
      <c r="T67" s="126">
        <v>10</v>
      </c>
      <c r="U67" s="126">
        <v>40</v>
      </c>
      <c r="V67" s="126">
        <v>75</v>
      </c>
      <c r="W67" s="126">
        <v>1</v>
      </c>
      <c r="X67" s="126">
        <v>0</v>
      </c>
      <c r="Y67" s="126">
        <v>0</v>
      </c>
      <c r="Z67" s="142">
        <v>5</v>
      </c>
      <c r="AA67" s="126">
        <v>0</v>
      </c>
      <c r="AB67" s="126">
        <v>0</v>
      </c>
      <c r="AC67" s="126">
        <v>0</v>
      </c>
      <c r="AD67" s="126">
        <v>0</v>
      </c>
      <c r="AE67" s="126">
        <v>6.79</v>
      </c>
      <c r="AF67" s="126">
        <v>2.4380000000000002</v>
      </c>
      <c r="AG67" t="s">
        <v>2857</v>
      </c>
    </row>
    <row r="68" spans="1:33" x14ac:dyDescent="0.3">
      <c r="A68">
        <v>136</v>
      </c>
      <c r="B68" t="s">
        <v>204</v>
      </c>
      <c r="C68" t="s">
        <v>199</v>
      </c>
      <c r="D68">
        <v>25175</v>
      </c>
      <c r="E68">
        <v>27692</v>
      </c>
      <c r="F68">
        <v>55</v>
      </c>
      <c r="G68">
        <v>1200</v>
      </c>
      <c r="H68">
        <v>0</v>
      </c>
      <c r="I68">
        <v>6.1</v>
      </c>
      <c r="J68" s="28">
        <v>8.85</v>
      </c>
      <c r="K68" s="126">
        <v>0.32</v>
      </c>
      <c r="L68" s="126">
        <v>2.1</v>
      </c>
      <c r="M68" s="126">
        <v>0.1</v>
      </c>
      <c r="N68" s="126">
        <v>0</v>
      </c>
      <c r="O68" s="126">
        <v>0.6</v>
      </c>
      <c r="P68" s="126">
        <v>0.88500000000000001</v>
      </c>
      <c r="Q68" s="126">
        <v>0.65</v>
      </c>
      <c r="R68" s="126">
        <v>0</v>
      </c>
      <c r="S68" s="126">
        <v>0.1</v>
      </c>
      <c r="T68" s="126">
        <v>10</v>
      </c>
      <c r="U68" s="126">
        <v>40</v>
      </c>
      <c r="V68" s="126">
        <v>75</v>
      </c>
      <c r="W68" s="126">
        <v>0.5</v>
      </c>
      <c r="X68" s="126">
        <v>0</v>
      </c>
      <c r="Y68" s="126">
        <v>0</v>
      </c>
      <c r="Z68" s="142">
        <v>5</v>
      </c>
      <c r="AA68" s="126">
        <v>0</v>
      </c>
      <c r="AB68" s="126">
        <v>0</v>
      </c>
      <c r="AC68" s="126">
        <v>0</v>
      </c>
      <c r="AD68" s="126">
        <v>0</v>
      </c>
      <c r="AE68" s="126">
        <v>6.79</v>
      </c>
      <c r="AF68" s="126">
        <v>2.4380000000000002</v>
      </c>
      <c r="AG68" t="s">
        <v>2438</v>
      </c>
    </row>
    <row r="69" spans="1:33" x14ac:dyDescent="0.3">
      <c r="A69">
        <v>137</v>
      </c>
      <c r="B69" t="s">
        <v>2858</v>
      </c>
      <c r="C69" t="s">
        <v>199</v>
      </c>
      <c r="D69">
        <v>17375</v>
      </c>
      <c r="E69">
        <v>19113</v>
      </c>
      <c r="F69">
        <v>90</v>
      </c>
      <c r="G69">
        <v>1200</v>
      </c>
      <c r="H69">
        <v>0</v>
      </c>
      <c r="I69">
        <v>10</v>
      </c>
      <c r="J69" s="28">
        <v>8.3699999999999992</v>
      </c>
      <c r="K69" s="126">
        <v>0.32</v>
      </c>
      <c r="L69" s="126">
        <v>2.1</v>
      </c>
      <c r="M69" s="126">
        <v>0.1</v>
      </c>
      <c r="N69" s="126">
        <v>0</v>
      </c>
      <c r="O69" s="126">
        <v>0.6</v>
      </c>
      <c r="P69" s="126">
        <v>0.88500000000000001</v>
      </c>
      <c r="Q69" s="126">
        <v>0.6</v>
      </c>
      <c r="R69" s="126">
        <v>0</v>
      </c>
      <c r="S69" s="126">
        <v>0.1</v>
      </c>
      <c r="T69" s="126">
        <v>10</v>
      </c>
      <c r="U69" s="126">
        <v>40</v>
      </c>
      <c r="V69" s="126">
        <v>75</v>
      </c>
      <c r="W69" s="126">
        <v>1</v>
      </c>
      <c r="X69" s="126">
        <v>0</v>
      </c>
      <c r="Y69" s="126">
        <v>0</v>
      </c>
      <c r="Z69" s="142">
        <v>5</v>
      </c>
      <c r="AA69" s="126">
        <v>0</v>
      </c>
      <c r="AB69" s="126">
        <v>0</v>
      </c>
      <c r="AC69" s="126">
        <v>0</v>
      </c>
      <c r="AD69" s="126">
        <v>0</v>
      </c>
      <c r="AE69" s="126">
        <v>6.79</v>
      </c>
      <c r="AF69" s="126">
        <v>2.4380000000000002</v>
      </c>
      <c r="AG69" t="s">
        <v>2859</v>
      </c>
    </row>
    <row r="70" spans="1:33" x14ac:dyDescent="0.3">
      <c r="A70">
        <v>138</v>
      </c>
      <c r="B70" t="s">
        <v>2860</v>
      </c>
      <c r="C70" t="s">
        <v>199</v>
      </c>
      <c r="D70">
        <v>24724</v>
      </c>
      <c r="E70">
        <v>27197</v>
      </c>
      <c r="F70">
        <v>55</v>
      </c>
      <c r="G70">
        <v>1200</v>
      </c>
      <c r="H70">
        <v>0</v>
      </c>
      <c r="I70">
        <v>3</v>
      </c>
      <c r="J70" s="28">
        <v>4.83</v>
      </c>
      <c r="K70" s="126">
        <v>0.32</v>
      </c>
      <c r="L70" s="126">
        <v>2.1</v>
      </c>
      <c r="M70" s="126">
        <v>0.1</v>
      </c>
      <c r="N70" s="126">
        <v>0</v>
      </c>
      <c r="O70" s="126">
        <v>0.6</v>
      </c>
      <c r="P70" s="126">
        <v>0.88500000000000001</v>
      </c>
      <c r="Q70" s="126">
        <v>0.8</v>
      </c>
      <c r="R70" s="126">
        <v>0</v>
      </c>
      <c r="S70" s="126">
        <v>0.05</v>
      </c>
      <c r="T70" s="126">
        <v>10</v>
      </c>
      <c r="U70" s="126">
        <v>40</v>
      </c>
      <c r="V70" s="126">
        <v>25</v>
      </c>
      <c r="W70" s="126">
        <v>0.5</v>
      </c>
      <c r="X70" s="126">
        <v>0</v>
      </c>
      <c r="Y70" s="126">
        <v>0</v>
      </c>
      <c r="Z70" s="142">
        <v>5</v>
      </c>
      <c r="AA70" s="126">
        <v>0</v>
      </c>
      <c r="AB70" s="126">
        <v>0</v>
      </c>
      <c r="AC70" s="126">
        <v>0</v>
      </c>
      <c r="AD70" s="126">
        <v>0</v>
      </c>
      <c r="AE70" s="126">
        <v>6.79</v>
      </c>
      <c r="AF70" s="126">
        <v>2.4380000000000002</v>
      </c>
      <c r="AG70" t="s">
        <v>2861</v>
      </c>
    </row>
    <row r="71" spans="1:33" x14ac:dyDescent="0.3">
      <c r="A71">
        <v>139</v>
      </c>
      <c r="B71" t="s">
        <v>205</v>
      </c>
      <c r="C71" t="s">
        <v>199</v>
      </c>
      <c r="D71">
        <v>19556</v>
      </c>
      <c r="E71">
        <v>21512</v>
      </c>
      <c r="F71">
        <v>115</v>
      </c>
      <c r="G71">
        <v>1200</v>
      </c>
      <c r="H71">
        <v>0</v>
      </c>
      <c r="I71">
        <v>5.2</v>
      </c>
      <c r="J71" s="28">
        <v>4.99</v>
      </c>
      <c r="K71" s="126">
        <v>0.32</v>
      </c>
      <c r="L71" s="126">
        <v>2.1</v>
      </c>
      <c r="M71" s="126">
        <v>0.1</v>
      </c>
      <c r="N71" s="126">
        <v>0</v>
      </c>
      <c r="O71" s="126">
        <v>0.6</v>
      </c>
      <c r="P71" s="126">
        <v>0.88500000000000001</v>
      </c>
      <c r="Q71" s="126">
        <v>0.7</v>
      </c>
      <c r="R71" s="126">
        <v>0</v>
      </c>
      <c r="S71" s="126">
        <v>0.02</v>
      </c>
      <c r="T71" s="126">
        <v>10</v>
      </c>
      <c r="U71" s="126">
        <v>60</v>
      </c>
      <c r="V71" s="126">
        <v>10</v>
      </c>
      <c r="W71" s="126">
        <v>0.86</v>
      </c>
      <c r="X71" s="126">
        <v>0</v>
      </c>
      <c r="Y71" s="126">
        <v>0</v>
      </c>
      <c r="Z71" s="142">
        <v>5</v>
      </c>
      <c r="AA71" s="126">
        <v>0</v>
      </c>
      <c r="AB71" s="126">
        <v>0</v>
      </c>
      <c r="AC71" s="126">
        <v>0</v>
      </c>
      <c r="AD71" s="126">
        <v>0</v>
      </c>
      <c r="AE71" s="126">
        <v>6.79</v>
      </c>
      <c r="AF71" s="126">
        <v>2.4380000000000002</v>
      </c>
      <c r="AG71" t="s">
        <v>2439</v>
      </c>
    </row>
    <row r="72" spans="1:33" x14ac:dyDescent="0.3">
      <c r="A72">
        <v>140</v>
      </c>
      <c r="B72" t="s">
        <v>2862</v>
      </c>
      <c r="C72" t="s">
        <v>199</v>
      </c>
      <c r="D72">
        <v>12720</v>
      </c>
      <c r="E72">
        <v>13992</v>
      </c>
      <c r="F72">
        <v>60</v>
      </c>
      <c r="G72">
        <v>1200</v>
      </c>
      <c r="H72">
        <v>0</v>
      </c>
      <c r="I72">
        <v>4</v>
      </c>
      <c r="J72" s="28">
        <v>7.72</v>
      </c>
      <c r="K72" s="126">
        <v>0.32</v>
      </c>
      <c r="L72" s="126">
        <v>2.1</v>
      </c>
      <c r="M72" s="126">
        <v>0.1</v>
      </c>
      <c r="N72" s="126">
        <v>0</v>
      </c>
      <c r="O72" s="126">
        <v>0.6</v>
      </c>
      <c r="P72" s="126">
        <v>0.88500000000000001</v>
      </c>
      <c r="Q72" s="126">
        <v>0.6</v>
      </c>
      <c r="R72" s="126">
        <v>0</v>
      </c>
      <c r="S72" s="126">
        <v>0.1</v>
      </c>
      <c r="T72" s="126">
        <v>10</v>
      </c>
      <c r="U72" s="126">
        <v>40</v>
      </c>
      <c r="V72" s="126">
        <v>75</v>
      </c>
      <c r="W72" s="126">
        <v>1</v>
      </c>
      <c r="X72" s="126">
        <v>0</v>
      </c>
      <c r="Y72" s="126">
        <v>0</v>
      </c>
      <c r="Z72" s="142">
        <v>5</v>
      </c>
      <c r="AA72" s="126">
        <v>0</v>
      </c>
      <c r="AB72" s="126">
        <v>0</v>
      </c>
      <c r="AC72" s="126">
        <v>0</v>
      </c>
      <c r="AD72" s="126">
        <v>0</v>
      </c>
      <c r="AE72" s="126">
        <v>6.79</v>
      </c>
      <c r="AF72" s="126">
        <v>2.4380000000000002</v>
      </c>
      <c r="AG72" t="s">
        <v>2863</v>
      </c>
    </row>
    <row r="73" spans="1:33" x14ac:dyDescent="0.3">
      <c r="A73">
        <v>141</v>
      </c>
      <c r="B73" t="s">
        <v>2864</v>
      </c>
      <c r="C73" t="s">
        <v>199</v>
      </c>
      <c r="D73">
        <v>14895</v>
      </c>
      <c r="E73">
        <v>16385</v>
      </c>
      <c r="F73">
        <v>80</v>
      </c>
      <c r="G73">
        <v>1200</v>
      </c>
      <c r="H73">
        <v>0</v>
      </c>
      <c r="I73">
        <v>6</v>
      </c>
      <c r="J73" s="28">
        <v>7.72</v>
      </c>
      <c r="K73" s="126">
        <v>0.32</v>
      </c>
      <c r="L73" s="126">
        <v>2.1</v>
      </c>
      <c r="M73" s="126">
        <v>0.1</v>
      </c>
      <c r="N73" s="126">
        <v>0</v>
      </c>
      <c r="O73" s="126">
        <v>0.6</v>
      </c>
      <c r="P73" s="126">
        <v>0.88500000000000001</v>
      </c>
      <c r="Q73" s="126">
        <v>0.6</v>
      </c>
      <c r="R73" s="126">
        <v>0</v>
      </c>
      <c r="S73" s="126">
        <v>0.1</v>
      </c>
      <c r="T73" s="126">
        <v>10</v>
      </c>
      <c r="U73" s="126">
        <v>40</v>
      </c>
      <c r="V73" s="126">
        <v>75</v>
      </c>
      <c r="W73" s="126">
        <v>1</v>
      </c>
      <c r="X73" s="126">
        <v>0</v>
      </c>
      <c r="Y73" s="126">
        <v>0</v>
      </c>
      <c r="Z73" s="142">
        <v>5</v>
      </c>
      <c r="AA73" s="126">
        <v>0</v>
      </c>
      <c r="AB73" s="126">
        <v>0</v>
      </c>
      <c r="AC73" s="126">
        <v>0</v>
      </c>
      <c r="AD73" s="126">
        <v>0</v>
      </c>
      <c r="AE73" s="126">
        <v>6.79</v>
      </c>
      <c r="AF73" s="126">
        <v>2.4380000000000002</v>
      </c>
      <c r="AG73" t="s">
        <v>2865</v>
      </c>
    </row>
    <row r="74" spans="1:33" x14ac:dyDescent="0.3">
      <c r="A74">
        <v>142</v>
      </c>
      <c r="B74" t="s">
        <v>2866</v>
      </c>
      <c r="C74" t="s">
        <v>199</v>
      </c>
      <c r="D74">
        <v>27122</v>
      </c>
      <c r="E74">
        <v>29834</v>
      </c>
      <c r="F74">
        <v>100</v>
      </c>
      <c r="G74">
        <v>1200</v>
      </c>
      <c r="H74">
        <v>0</v>
      </c>
      <c r="I74">
        <v>8</v>
      </c>
      <c r="J74" s="28">
        <v>8.85</v>
      </c>
      <c r="K74" s="126">
        <v>0.32</v>
      </c>
      <c r="L74" s="126">
        <v>2.1</v>
      </c>
      <c r="M74" s="126">
        <v>0.1</v>
      </c>
      <c r="N74" s="126">
        <v>0</v>
      </c>
      <c r="O74" s="126">
        <v>0.6</v>
      </c>
      <c r="P74" s="126">
        <v>0.88500000000000001</v>
      </c>
      <c r="Q74" s="126">
        <v>0.6</v>
      </c>
      <c r="R74" s="126">
        <v>0</v>
      </c>
      <c r="S74" s="126">
        <v>0.1</v>
      </c>
      <c r="T74" s="126">
        <v>10</v>
      </c>
      <c r="U74" s="126">
        <v>40</v>
      </c>
      <c r="V74" s="126">
        <v>75</v>
      </c>
      <c r="W74" s="126">
        <v>1</v>
      </c>
      <c r="X74" s="126">
        <v>0</v>
      </c>
      <c r="Y74" s="126">
        <v>0</v>
      </c>
      <c r="Z74" s="142">
        <v>5</v>
      </c>
      <c r="AA74" s="126">
        <v>0</v>
      </c>
      <c r="AB74" s="126">
        <v>0</v>
      </c>
      <c r="AC74" s="126">
        <v>0</v>
      </c>
      <c r="AD74" s="126">
        <v>0</v>
      </c>
      <c r="AE74" s="126">
        <v>6.79</v>
      </c>
      <c r="AF74" s="126">
        <v>2.4380000000000002</v>
      </c>
      <c r="AG74" t="s">
        <v>2867</v>
      </c>
    </row>
    <row r="75" spans="1:33" x14ac:dyDescent="0.3">
      <c r="A75">
        <v>143</v>
      </c>
      <c r="B75" t="s">
        <v>206</v>
      </c>
      <c r="C75" t="s">
        <v>199</v>
      </c>
      <c r="D75">
        <v>19556</v>
      </c>
      <c r="E75">
        <v>21512</v>
      </c>
      <c r="F75">
        <v>115</v>
      </c>
      <c r="G75">
        <v>1200</v>
      </c>
      <c r="H75">
        <v>0</v>
      </c>
      <c r="I75">
        <v>6</v>
      </c>
      <c r="J75" s="28">
        <v>4.99</v>
      </c>
      <c r="K75" s="126">
        <v>0.32</v>
      </c>
      <c r="L75" s="126">
        <v>2.1</v>
      </c>
      <c r="M75" s="126">
        <v>0.1</v>
      </c>
      <c r="N75" s="126">
        <v>0</v>
      </c>
      <c r="O75" s="126">
        <v>0.6</v>
      </c>
      <c r="P75" s="126">
        <v>0.88500000000000001</v>
      </c>
      <c r="Q75" s="126">
        <v>0.7</v>
      </c>
      <c r="R75" s="126">
        <v>0</v>
      </c>
      <c r="S75" s="126">
        <v>0.05</v>
      </c>
      <c r="T75" s="126">
        <v>10</v>
      </c>
      <c r="U75" s="126">
        <v>40</v>
      </c>
      <c r="V75" s="126">
        <v>75</v>
      </c>
      <c r="W75" s="126">
        <v>1</v>
      </c>
      <c r="X75" s="126">
        <v>0</v>
      </c>
      <c r="Y75" s="126">
        <v>0</v>
      </c>
      <c r="Z75" s="142">
        <v>5</v>
      </c>
      <c r="AA75" s="126">
        <v>0</v>
      </c>
      <c r="AB75" s="126">
        <v>0</v>
      </c>
      <c r="AC75" s="126">
        <v>0</v>
      </c>
      <c r="AD75" s="126">
        <v>0</v>
      </c>
      <c r="AE75" s="126">
        <v>6.79</v>
      </c>
      <c r="AF75" s="126">
        <v>4.875</v>
      </c>
      <c r="AG75" t="s">
        <v>2440</v>
      </c>
    </row>
    <row r="76" spans="1:33" x14ac:dyDescent="0.3">
      <c r="A76">
        <v>144</v>
      </c>
      <c r="B76" t="s">
        <v>207</v>
      </c>
      <c r="C76" t="s">
        <v>247</v>
      </c>
      <c r="D76">
        <v>13557</v>
      </c>
      <c r="E76">
        <v>14913</v>
      </c>
      <c r="F76">
        <v>30</v>
      </c>
      <c r="G76">
        <v>1200</v>
      </c>
      <c r="H76">
        <v>0</v>
      </c>
      <c r="I76">
        <v>6.1</v>
      </c>
      <c r="J76" s="28">
        <v>4.83</v>
      </c>
      <c r="K76" s="126">
        <v>0.32</v>
      </c>
      <c r="L76" s="126">
        <v>2.1</v>
      </c>
      <c r="M76" s="126">
        <v>0.1</v>
      </c>
      <c r="N76" s="126">
        <v>0</v>
      </c>
      <c r="O76" s="126">
        <v>0.6</v>
      </c>
      <c r="P76" s="126">
        <v>0.88500000000000001</v>
      </c>
      <c r="Q76" s="126">
        <v>0.8</v>
      </c>
      <c r="R76" s="126">
        <v>0</v>
      </c>
      <c r="S76" s="126">
        <v>0</v>
      </c>
      <c r="T76" s="126">
        <v>0</v>
      </c>
      <c r="U76" s="126">
        <v>40</v>
      </c>
      <c r="V76" s="126">
        <v>25</v>
      </c>
      <c r="W76" s="126">
        <v>0.17</v>
      </c>
      <c r="X76" s="126">
        <v>0</v>
      </c>
      <c r="Y76" s="126">
        <v>0</v>
      </c>
      <c r="Z76" s="142">
        <v>6</v>
      </c>
      <c r="AA76" s="126">
        <v>0</v>
      </c>
      <c r="AB76" s="126">
        <v>0</v>
      </c>
      <c r="AC76" s="126">
        <v>0</v>
      </c>
      <c r="AD76" s="126">
        <v>0</v>
      </c>
      <c r="AE76" s="126">
        <v>6.79</v>
      </c>
      <c r="AF76" s="126">
        <v>0</v>
      </c>
      <c r="AG76" t="s">
        <v>1876</v>
      </c>
    </row>
    <row r="77" spans="1:33" x14ac:dyDescent="0.3">
      <c r="A77">
        <v>145</v>
      </c>
      <c r="B77" t="s">
        <v>2868</v>
      </c>
      <c r="C77" t="s">
        <v>199</v>
      </c>
      <c r="D77">
        <v>15372</v>
      </c>
      <c r="E77">
        <v>16909</v>
      </c>
      <c r="F77">
        <v>80</v>
      </c>
      <c r="G77">
        <v>2500</v>
      </c>
      <c r="H77">
        <v>0</v>
      </c>
      <c r="I77">
        <v>3</v>
      </c>
      <c r="J77" s="28">
        <v>8.0500000000000007</v>
      </c>
      <c r="K77" s="126">
        <v>0.32</v>
      </c>
      <c r="L77" s="126">
        <v>2.1</v>
      </c>
      <c r="M77" s="126">
        <v>0.1</v>
      </c>
      <c r="N77" s="126">
        <v>0</v>
      </c>
      <c r="O77" s="126">
        <v>0.6</v>
      </c>
      <c r="P77" s="126">
        <v>0.88500000000000001</v>
      </c>
      <c r="Q77" s="126">
        <v>0.65</v>
      </c>
      <c r="R77" s="126">
        <v>0</v>
      </c>
      <c r="S77" s="126">
        <v>0.25</v>
      </c>
      <c r="T77" s="126">
        <v>5</v>
      </c>
      <c r="U77" s="126">
        <v>60</v>
      </c>
      <c r="V77" s="126">
        <v>10</v>
      </c>
      <c r="W77" s="126">
        <v>0.86</v>
      </c>
      <c r="X77" s="126">
        <v>0</v>
      </c>
      <c r="Y77" s="126">
        <v>0</v>
      </c>
      <c r="Z77" s="142">
        <v>5</v>
      </c>
      <c r="AA77" s="126">
        <v>0</v>
      </c>
      <c r="AB77" s="126">
        <v>0</v>
      </c>
      <c r="AC77" s="126">
        <v>0</v>
      </c>
      <c r="AD77" s="126">
        <v>0</v>
      </c>
      <c r="AE77" s="126">
        <v>6.79</v>
      </c>
      <c r="AF77" s="126">
        <v>2.4380000000000002</v>
      </c>
      <c r="AG77" t="s">
        <v>2869</v>
      </c>
    </row>
    <row r="78" spans="1:33" x14ac:dyDescent="0.3">
      <c r="A78">
        <v>146</v>
      </c>
      <c r="B78" t="s">
        <v>208</v>
      </c>
      <c r="C78" t="s">
        <v>199</v>
      </c>
      <c r="D78">
        <v>8047</v>
      </c>
      <c r="E78">
        <v>8852</v>
      </c>
      <c r="F78">
        <v>60</v>
      </c>
      <c r="G78">
        <v>1200</v>
      </c>
      <c r="H78">
        <v>0</v>
      </c>
      <c r="I78">
        <v>6.1</v>
      </c>
      <c r="J78" s="28">
        <v>7.88</v>
      </c>
      <c r="K78" s="126">
        <v>0.32</v>
      </c>
      <c r="L78" s="126">
        <v>2.1</v>
      </c>
      <c r="M78" s="126">
        <v>0.1</v>
      </c>
      <c r="N78" s="126">
        <v>0</v>
      </c>
      <c r="O78" s="126">
        <v>0.6</v>
      </c>
      <c r="P78" s="126">
        <v>0.88500000000000001</v>
      </c>
      <c r="Q78" s="126">
        <v>0.75</v>
      </c>
      <c r="R78" s="126">
        <v>0</v>
      </c>
      <c r="S78" s="126">
        <v>0</v>
      </c>
      <c r="T78" s="126">
        <v>0</v>
      </c>
      <c r="U78" s="126">
        <v>60</v>
      </c>
      <c r="V78" s="126">
        <v>10</v>
      </c>
      <c r="W78" s="126">
        <v>0.86</v>
      </c>
      <c r="X78" s="126">
        <v>0</v>
      </c>
      <c r="Y78" s="126">
        <v>0</v>
      </c>
      <c r="Z78" s="142">
        <v>6</v>
      </c>
      <c r="AA78" s="126">
        <v>0</v>
      </c>
      <c r="AB78" s="126">
        <v>0</v>
      </c>
      <c r="AC78" s="126">
        <v>0</v>
      </c>
      <c r="AD78" s="126">
        <v>0</v>
      </c>
      <c r="AE78" s="126">
        <v>6.79</v>
      </c>
      <c r="AF78" s="126">
        <v>0.15</v>
      </c>
      <c r="AG78" t="s">
        <v>2441</v>
      </c>
    </row>
    <row r="79" spans="1:33" x14ac:dyDescent="0.3">
      <c r="A79">
        <v>147</v>
      </c>
      <c r="B79" t="s">
        <v>2870</v>
      </c>
      <c r="C79" t="s">
        <v>199</v>
      </c>
      <c r="D79">
        <v>4846</v>
      </c>
      <c r="E79">
        <v>5331</v>
      </c>
      <c r="F79">
        <v>120</v>
      </c>
      <c r="G79">
        <v>1440</v>
      </c>
      <c r="H79">
        <v>0</v>
      </c>
      <c r="I79">
        <v>2.4</v>
      </c>
      <c r="J79" s="28">
        <v>4.0199999999999996</v>
      </c>
      <c r="K79" s="126">
        <v>0.32</v>
      </c>
      <c r="L79" s="126">
        <v>2.1</v>
      </c>
      <c r="M79" s="126">
        <v>0.1</v>
      </c>
      <c r="N79" s="126">
        <v>0</v>
      </c>
      <c r="O79" s="126">
        <v>0.6</v>
      </c>
      <c r="P79" s="126">
        <v>0.88500000000000001</v>
      </c>
      <c r="Q79" s="126">
        <v>0.65</v>
      </c>
      <c r="R79" s="126">
        <v>0</v>
      </c>
      <c r="S79" s="126">
        <v>0.2</v>
      </c>
      <c r="T79" s="126">
        <v>5</v>
      </c>
      <c r="U79" s="126">
        <v>75</v>
      </c>
      <c r="V79" s="126">
        <v>75</v>
      </c>
      <c r="W79" s="126">
        <v>1</v>
      </c>
      <c r="X79" s="126">
        <v>0</v>
      </c>
      <c r="Y79" s="126">
        <v>0</v>
      </c>
      <c r="Z79" s="142">
        <v>5</v>
      </c>
      <c r="AA79" s="126">
        <v>0</v>
      </c>
      <c r="AB79" s="126">
        <v>0</v>
      </c>
      <c r="AC79" s="126">
        <v>0</v>
      </c>
      <c r="AD79" s="126">
        <v>0</v>
      </c>
      <c r="AE79" s="126">
        <v>6.79</v>
      </c>
      <c r="AF79" s="126">
        <v>2.4380000000000002</v>
      </c>
      <c r="AG79" t="s">
        <v>2871</v>
      </c>
    </row>
    <row r="80" spans="1:33" x14ac:dyDescent="0.3">
      <c r="A80">
        <v>148</v>
      </c>
      <c r="B80" t="s">
        <v>2872</v>
      </c>
      <c r="C80" t="s">
        <v>199</v>
      </c>
      <c r="D80">
        <v>9499</v>
      </c>
      <c r="E80">
        <v>10449</v>
      </c>
      <c r="F80">
        <v>75</v>
      </c>
      <c r="G80">
        <v>1200</v>
      </c>
      <c r="H80">
        <v>0</v>
      </c>
      <c r="I80">
        <v>4</v>
      </c>
      <c r="J80" s="28">
        <v>7.24</v>
      </c>
      <c r="K80" s="126">
        <v>0.32</v>
      </c>
      <c r="L80" s="126">
        <v>2.1</v>
      </c>
      <c r="M80" s="126">
        <v>0.1</v>
      </c>
      <c r="N80" s="126">
        <v>0</v>
      </c>
      <c r="O80" s="126">
        <v>0.6</v>
      </c>
      <c r="P80" s="126">
        <v>0.89</v>
      </c>
      <c r="Q80" s="126">
        <v>0.6</v>
      </c>
      <c r="R80" s="126">
        <v>0</v>
      </c>
      <c r="S80" s="126">
        <v>0.2</v>
      </c>
      <c r="T80" s="126">
        <v>0</v>
      </c>
      <c r="U80" s="126">
        <v>0</v>
      </c>
      <c r="V80" s="126">
        <v>0</v>
      </c>
      <c r="W80" s="126">
        <v>0</v>
      </c>
      <c r="X80" s="126">
        <v>0</v>
      </c>
      <c r="Y80" s="126">
        <v>0</v>
      </c>
      <c r="Z80" s="142">
        <v>5</v>
      </c>
      <c r="AA80" s="126">
        <v>0</v>
      </c>
      <c r="AB80" s="126">
        <v>0</v>
      </c>
      <c r="AC80" s="126">
        <v>0</v>
      </c>
      <c r="AD80" s="126">
        <v>0</v>
      </c>
      <c r="AE80" s="126">
        <v>6.79</v>
      </c>
      <c r="AF80" s="126">
        <v>2.4380000000000002</v>
      </c>
      <c r="AG80" t="s">
        <v>2873</v>
      </c>
    </row>
    <row r="81" spans="1:33" x14ac:dyDescent="0.3">
      <c r="A81">
        <v>149</v>
      </c>
      <c r="B81" t="s">
        <v>2874</v>
      </c>
      <c r="C81" t="s">
        <v>199</v>
      </c>
      <c r="D81">
        <v>20355</v>
      </c>
      <c r="E81">
        <v>22391</v>
      </c>
      <c r="F81">
        <v>0</v>
      </c>
      <c r="G81">
        <v>1800</v>
      </c>
      <c r="H81">
        <v>0</v>
      </c>
      <c r="I81">
        <v>3</v>
      </c>
      <c r="J81" s="28">
        <v>6.44</v>
      </c>
      <c r="K81" s="126">
        <v>0.32</v>
      </c>
      <c r="L81" s="126">
        <v>2.1</v>
      </c>
      <c r="M81" s="126">
        <v>0.1</v>
      </c>
      <c r="N81" s="126">
        <v>0</v>
      </c>
      <c r="O81" s="126">
        <v>0.6</v>
      </c>
      <c r="P81" s="126">
        <v>0.88500000000000001</v>
      </c>
      <c r="Q81" s="126">
        <v>0.65</v>
      </c>
      <c r="R81" s="126">
        <v>0</v>
      </c>
      <c r="S81" s="126">
        <v>0.05</v>
      </c>
      <c r="T81" s="126">
        <v>10</v>
      </c>
      <c r="U81" s="126">
        <v>40</v>
      </c>
      <c r="V81" s="126">
        <v>75</v>
      </c>
      <c r="W81" s="126">
        <v>1</v>
      </c>
      <c r="X81" s="126">
        <v>0</v>
      </c>
      <c r="Y81" s="126">
        <v>0</v>
      </c>
      <c r="Z81" s="142">
        <v>5</v>
      </c>
      <c r="AA81" s="126">
        <v>0</v>
      </c>
      <c r="AB81" s="126">
        <v>0</v>
      </c>
      <c r="AC81" s="126">
        <v>0</v>
      </c>
      <c r="AD81" s="126">
        <v>0</v>
      </c>
      <c r="AE81" s="126">
        <v>6.79</v>
      </c>
      <c r="AF81" s="126">
        <v>2.4380000000000002</v>
      </c>
      <c r="AG81" t="s">
        <v>2875</v>
      </c>
    </row>
    <row r="82" spans="1:33" x14ac:dyDescent="0.3">
      <c r="A82">
        <v>150</v>
      </c>
      <c r="B82" t="s">
        <v>2876</v>
      </c>
      <c r="C82" t="s">
        <v>199</v>
      </c>
      <c r="D82">
        <v>4812</v>
      </c>
      <c r="E82">
        <v>5293</v>
      </c>
      <c r="F82">
        <v>100</v>
      </c>
      <c r="G82">
        <v>2000</v>
      </c>
      <c r="H82">
        <v>0</v>
      </c>
      <c r="I82">
        <v>3.4</v>
      </c>
      <c r="J82" s="28">
        <v>8.85</v>
      </c>
      <c r="K82" s="126">
        <v>0.27</v>
      </c>
      <c r="L82" s="126">
        <v>1.4</v>
      </c>
      <c r="M82" s="126">
        <v>0.1</v>
      </c>
      <c r="N82" s="126">
        <v>0</v>
      </c>
      <c r="O82" s="126">
        <v>0.6</v>
      </c>
      <c r="P82" s="126">
        <v>0.88500000000000001</v>
      </c>
      <c r="Q82" s="126">
        <v>0.85</v>
      </c>
      <c r="R82" s="126">
        <v>0</v>
      </c>
      <c r="S82" s="126">
        <v>0.55000000000000004</v>
      </c>
      <c r="T82" s="126">
        <v>20</v>
      </c>
      <c r="U82" s="126">
        <v>100</v>
      </c>
      <c r="V82" s="126">
        <v>25</v>
      </c>
      <c r="W82" s="126">
        <v>0.3</v>
      </c>
      <c r="X82" s="126">
        <v>0</v>
      </c>
      <c r="Y82" s="126">
        <v>0</v>
      </c>
      <c r="Z82" s="142">
        <v>0</v>
      </c>
      <c r="AA82" s="126">
        <v>0</v>
      </c>
      <c r="AB82" s="126">
        <v>0</v>
      </c>
      <c r="AC82" s="126">
        <v>0</v>
      </c>
      <c r="AD82" s="126">
        <v>0</v>
      </c>
      <c r="AE82" s="126">
        <v>9.7279999999999998</v>
      </c>
      <c r="AF82" s="126">
        <v>31.2</v>
      </c>
      <c r="AG82" t="s">
        <v>2877</v>
      </c>
    </row>
    <row r="83" spans="1:33" x14ac:dyDescent="0.3">
      <c r="A83">
        <v>151</v>
      </c>
      <c r="B83" t="s">
        <v>2878</v>
      </c>
      <c r="C83" t="s">
        <v>199</v>
      </c>
      <c r="D83">
        <v>9375</v>
      </c>
      <c r="E83">
        <v>10313</v>
      </c>
      <c r="F83">
        <v>100</v>
      </c>
      <c r="G83">
        <v>2000</v>
      </c>
      <c r="H83">
        <v>0</v>
      </c>
      <c r="I83">
        <v>6.1</v>
      </c>
      <c r="J83" s="28">
        <v>8.85</v>
      </c>
      <c r="K83" s="126">
        <v>0.27</v>
      </c>
      <c r="L83" s="126">
        <v>1.4</v>
      </c>
      <c r="M83" s="126">
        <v>0.1</v>
      </c>
      <c r="N83" s="126">
        <v>0</v>
      </c>
      <c r="O83" s="126">
        <v>0.6</v>
      </c>
      <c r="P83" s="126">
        <v>0.88500000000000001</v>
      </c>
      <c r="Q83" s="126">
        <v>0.85</v>
      </c>
      <c r="R83" s="126">
        <v>0</v>
      </c>
      <c r="S83" s="126">
        <v>0.3</v>
      </c>
      <c r="T83" s="126">
        <v>20</v>
      </c>
      <c r="U83" s="126">
        <v>100</v>
      </c>
      <c r="V83" s="126">
        <v>25</v>
      </c>
      <c r="W83" s="126">
        <v>0.3</v>
      </c>
      <c r="X83" s="126">
        <v>0</v>
      </c>
      <c r="Y83" s="126">
        <v>0</v>
      </c>
      <c r="Z83" s="142">
        <v>0</v>
      </c>
      <c r="AA83" s="126">
        <v>0</v>
      </c>
      <c r="AB83" s="126">
        <v>0</v>
      </c>
      <c r="AC83" s="126">
        <v>0</v>
      </c>
      <c r="AD83" s="126">
        <v>0</v>
      </c>
      <c r="AE83" s="126">
        <v>9.7279999999999998</v>
      </c>
      <c r="AF83" s="126">
        <v>13.813000000000001</v>
      </c>
      <c r="AG83" t="s">
        <v>2879</v>
      </c>
    </row>
    <row r="84" spans="1:33" x14ac:dyDescent="0.3">
      <c r="A84">
        <v>152</v>
      </c>
      <c r="B84" t="s">
        <v>2880</v>
      </c>
      <c r="C84" t="s">
        <v>199</v>
      </c>
      <c r="D84">
        <v>14300</v>
      </c>
      <c r="E84">
        <v>15730</v>
      </c>
      <c r="F84">
        <v>100</v>
      </c>
      <c r="G84">
        <v>2000</v>
      </c>
      <c r="H84">
        <v>0</v>
      </c>
      <c r="I84">
        <v>4.3</v>
      </c>
      <c r="J84" s="28">
        <v>8.85</v>
      </c>
      <c r="K84" s="126">
        <v>0.27</v>
      </c>
      <c r="L84" s="126">
        <v>1.4</v>
      </c>
      <c r="M84" s="126">
        <v>0.1</v>
      </c>
      <c r="N84" s="126">
        <v>0</v>
      </c>
      <c r="O84" s="126">
        <v>0.6</v>
      </c>
      <c r="P84" s="126">
        <v>0.88500000000000001</v>
      </c>
      <c r="Q84" s="126">
        <v>0.85</v>
      </c>
      <c r="R84" s="126">
        <v>0</v>
      </c>
      <c r="S84" s="126">
        <v>0.3</v>
      </c>
      <c r="T84" s="126">
        <v>20</v>
      </c>
      <c r="U84" s="126">
        <v>100</v>
      </c>
      <c r="V84" s="126">
        <v>25</v>
      </c>
      <c r="W84" s="126">
        <v>0.3</v>
      </c>
      <c r="X84" s="126">
        <v>0</v>
      </c>
      <c r="Y84" s="126">
        <v>0</v>
      </c>
      <c r="Z84" s="142">
        <v>0</v>
      </c>
      <c r="AA84" s="126">
        <v>0</v>
      </c>
      <c r="AB84" s="126">
        <v>0</v>
      </c>
      <c r="AC84" s="126">
        <v>0</v>
      </c>
      <c r="AD84" s="126">
        <v>0</v>
      </c>
      <c r="AE84" s="126">
        <v>9.7279999999999998</v>
      </c>
      <c r="AF84" s="126">
        <v>2.4380000000000002</v>
      </c>
      <c r="AG84" t="s">
        <v>2881</v>
      </c>
    </row>
    <row r="85" spans="1:33" x14ac:dyDescent="0.3">
      <c r="A85">
        <v>153</v>
      </c>
      <c r="B85" t="s">
        <v>2882</v>
      </c>
      <c r="C85" t="s">
        <v>199</v>
      </c>
      <c r="D85">
        <v>6381</v>
      </c>
      <c r="E85">
        <v>7019</v>
      </c>
      <c r="F85">
        <v>100</v>
      </c>
      <c r="G85">
        <v>2500</v>
      </c>
      <c r="H85">
        <v>0</v>
      </c>
      <c r="I85">
        <v>3</v>
      </c>
      <c r="J85" s="28">
        <v>7.24</v>
      </c>
      <c r="K85" s="126">
        <v>0.27</v>
      </c>
      <c r="L85" s="126">
        <v>1.4</v>
      </c>
      <c r="M85" s="126">
        <v>0.1</v>
      </c>
      <c r="N85" s="126">
        <v>0</v>
      </c>
      <c r="O85" s="126">
        <v>0.6</v>
      </c>
      <c r="P85" s="126">
        <v>0.88500000000000001</v>
      </c>
      <c r="Q85" s="126">
        <v>0.8</v>
      </c>
      <c r="R85" s="126">
        <v>0</v>
      </c>
      <c r="S85" s="126">
        <v>0.3</v>
      </c>
      <c r="T85" s="126">
        <v>15</v>
      </c>
      <c r="U85" s="126">
        <v>25</v>
      </c>
      <c r="V85" s="126">
        <v>100</v>
      </c>
      <c r="W85" s="126">
        <v>1</v>
      </c>
      <c r="X85" s="126">
        <v>0</v>
      </c>
      <c r="Y85" s="126">
        <v>0</v>
      </c>
      <c r="Z85" s="142">
        <v>0</v>
      </c>
      <c r="AA85" s="126">
        <v>0</v>
      </c>
      <c r="AB85" s="126">
        <v>0</v>
      </c>
      <c r="AC85" s="126">
        <v>0</v>
      </c>
      <c r="AD85" s="126">
        <v>0</v>
      </c>
      <c r="AE85" s="126">
        <v>0</v>
      </c>
      <c r="AF85" s="126">
        <v>13.813000000000001</v>
      </c>
      <c r="AG85" t="s">
        <v>2883</v>
      </c>
    </row>
    <row r="86" spans="1:33" x14ac:dyDescent="0.3">
      <c r="A86">
        <v>154</v>
      </c>
      <c r="B86" t="s">
        <v>2884</v>
      </c>
      <c r="C86" t="s">
        <v>199</v>
      </c>
      <c r="D86">
        <v>5314</v>
      </c>
      <c r="E86">
        <v>5846</v>
      </c>
      <c r="F86">
        <v>100</v>
      </c>
      <c r="G86">
        <v>2000</v>
      </c>
      <c r="H86">
        <v>0</v>
      </c>
      <c r="I86">
        <v>3</v>
      </c>
      <c r="J86" s="28">
        <v>5.63</v>
      </c>
      <c r="K86" s="126">
        <v>0.17</v>
      </c>
      <c r="L86" s="126">
        <v>2.2000000000000002</v>
      </c>
      <c r="M86" s="126">
        <v>0.1</v>
      </c>
      <c r="N86" s="126">
        <v>0</v>
      </c>
      <c r="O86" s="126">
        <v>0.6</v>
      </c>
      <c r="P86" s="126">
        <v>0.88500000000000001</v>
      </c>
      <c r="Q86" s="126">
        <v>0.8</v>
      </c>
      <c r="R86" s="126">
        <v>0</v>
      </c>
      <c r="S86" s="126">
        <v>0</v>
      </c>
      <c r="T86" s="126">
        <v>0</v>
      </c>
      <c r="U86" s="126">
        <v>100</v>
      </c>
      <c r="V86" s="126">
        <v>25</v>
      </c>
      <c r="W86" s="126">
        <v>0.3</v>
      </c>
      <c r="X86" s="126">
        <v>0</v>
      </c>
      <c r="Y86" s="126">
        <v>0</v>
      </c>
      <c r="Z86" s="142">
        <v>0</v>
      </c>
      <c r="AA86" s="126">
        <v>0</v>
      </c>
      <c r="AB86" s="126">
        <v>0</v>
      </c>
      <c r="AC86" s="126">
        <v>0</v>
      </c>
      <c r="AD86" s="126">
        <v>0</v>
      </c>
      <c r="AE86" s="126">
        <v>0</v>
      </c>
      <c r="AF86" s="126">
        <v>1</v>
      </c>
      <c r="AG86" t="s">
        <v>2885</v>
      </c>
    </row>
    <row r="87" spans="1:33" x14ac:dyDescent="0.3">
      <c r="A87">
        <v>155</v>
      </c>
      <c r="B87" t="s">
        <v>2886</v>
      </c>
      <c r="C87" t="s">
        <v>199</v>
      </c>
      <c r="D87">
        <v>8577</v>
      </c>
      <c r="E87">
        <v>9434</v>
      </c>
      <c r="F87">
        <v>100</v>
      </c>
      <c r="G87">
        <v>1500</v>
      </c>
      <c r="H87">
        <v>0</v>
      </c>
      <c r="I87">
        <v>6.1</v>
      </c>
      <c r="J87" s="28">
        <v>4.83</v>
      </c>
      <c r="K87" s="126">
        <v>0.23</v>
      </c>
      <c r="L87" s="126">
        <v>1.4</v>
      </c>
      <c r="M87" s="126">
        <v>0.1</v>
      </c>
      <c r="N87" s="126">
        <v>0</v>
      </c>
      <c r="O87" s="126">
        <v>0.6</v>
      </c>
      <c r="P87" s="126">
        <v>0.88500000000000001</v>
      </c>
      <c r="Q87" s="126">
        <v>0.85</v>
      </c>
      <c r="R87" s="126">
        <v>0</v>
      </c>
      <c r="S87" s="126">
        <v>0.5</v>
      </c>
      <c r="T87" s="126">
        <v>15</v>
      </c>
      <c r="U87" s="126">
        <v>25</v>
      </c>
      <c r="V87" s="126">
        <v>100</v>
      </c>
      <c r="W87" s="126">
        <v>1</v>
      </c>
      <c r="X87" s="126">
        <v>0</v>
      </c>
      <c r="Y87" s="126">
        <v>0</v>
      </c>
      <c r="Z87" s="142">
        <v>0</v>
      </c>
      <c r="AA87" s="126">
        <v>0</v>
      </c>
      <c r="AB87" s="126">
        <v>0</v>
      </c>
      <c r="AC87" s="126">
        <v>0</v>
      </c>
      <c r="AD87" s="126">
        <v>0</v>
      </c>
      <c r="AE87" s="126">
        <v>0</v>
      </c>
      <c r="AF87" s="126">
        <v>31.2</v>
      </c>
      <c r="AG87" t="s">
        <v>2887</v>
      </c>
    </row>
    <row r="88" spans="1:33" x14ac:dyDescent="0.3">
      <c r="A88">
        <v>156</v>
      </c>
      <c r="B88" t="s">
        <v>2888</v>
      </c>
      <c r="C88" t="s">
        <v>199</v>
      </c>
      <c r="D88">
        <v>5902</v>
      </c>
      <c r="E88">
        <v>6492</v>
      </c>
      <c r="F88">
        <v>100</v>
      </c>
      <c r="G88">
        <v>1500</v>
      </c>
      <c r="H88">
        <v>0</v>
      </c>
      <c r="I88">
        <v>4.3</v>
      </c>
      <c r="J88" s="28">
        <v>4.83</v>
      </c>
      <c r="K88" s="126">
        <v>0.23</v>
      </c>
      <c r="L88" s="126">
        <v>1.4</v>
      </c>
      <c r="M88" s="126">
        <v>0.1</v>
      </c>
      <c r="N88" s="126">
        <v>0</v>
      </c>
      <c r="O88" s="126">
        <v>0.6</v>
      </c>
      <c r="P88" s="126">
        <v>0.88500000000000001</v>
      </c>
      <c r="Q88" s="126">
        <v>0.85</v>
      </c>
      <c r="R88" s="126">
        <v>0</v>
      </c>
      <c r="S88" s="126">
        <v>0.5</v>
      </c>
      <c r="T88" s="126">
        <v>15</v>
      </c>
      <c r="U88" s="126">
        <v>25</v>
      </c>
      <c r="V88" s="126">
        <v>100</v>
      </c>
      <c r="W88" s="126">
        <v>1</v>
      </c>
      <c r="X88" s="126">
        <v>0</v>
      </c>
      <c r="Y88" s="126">
        <v>0</v>
      </c>
      <c r="Z88" s="142">
        <v>0</v>
      </c>
      <c r="AA88" s="126">
        <v>0</v>
      </c>
      <c r="AB88" s="126">
        <v>0</v>
      </c>
      <c r="AC88" s="126">
        <v>0</v>
      </c>
      <c r="AD88" s="126">
        <v>0</v>
      </c>
      <c r="AE88" s="126">
        <v>0</v>
      </c>
      <c r="AF88" s="126">
        <v>31.2</v>
      </c>
      <c r="AG88" t="s">
        <v>2889</v>
      </c>
    </row>
    <row r="89" spans="1:33" x14ac:dyDescent="0.3">
      <c r="A89">
        <v>157</v>
      </c>
      <c r="B89" t="s">
        <v>209</v>
      </c>
      <c r="C89" t="s">
        <v>199</v>
      </c>
      <c r="D89">
        <v>7272</v>
      </c>
      <c r="E89">
        <v>7999</v>
      </c>
      <c r="F89">
        <v>100</v>
      </c>
      <c r="G89">
        <v>2000</v>
      </c>
      <c r="H89">
        <v>0</v>
      </c>
      <c r="I89">
        <v>6.1</v>
      </c>
      <c r="J89" s="28">
        <v>5.63</v>
      </c>
      <c r="K89" s="126">
        <v>0.17</v>
      </c>
      <c r="L89" s="126">
        <v>2.2000000000000002</v>
      </c>
      <c r="M89" s="126">
        <v>0.1</v>
      </c>
      <c r="N89" s="126">
        <v>0</v>
      </c>
      <c r="O89" s="126">
        <v>0.6</v>
      </c>
      <c r="P89" s="126">
        <v>0.88500000000000001</v>
      </c>
      <c r="Q89" s="126">
        <v>0.8</v>
      </c>
      <c r="R89" s="126">
        <v>0</v>
      </c>
      <c r="S89" s="126">
        <v>0.25</v>
      </c>
      <c r="T89" s="126">
        <v>15</v>
      </c>
      <c r="U89" s="126">
        <v>25</v>
      </c>
      <c r="V89" s="126">
        <v>100</v>
      </c>
      <c r="W89" s="126">
        <v>1</v>
      </c>
      <c r="X89" s="126">
        <v>0</v>
      </c>
      <c r="Y89" s="126">
        <v>0</v>
      </c>
      <c r="Z89" s="142">
        <v>0</v>
      </c>
      <c r="AA89" s="126">
        <v>0</v>
      </c>
      <c r="AB89" s="126">
        <v>0</v>
      </c>
      <c r="AC89" s="126">
        <v>0</v>
      </c>
      <c r="AD89" s="126">
        <v>0</v>
      </c>
      <c r="AE89" s="126">
        <v>6.6879999999999997</v>
      </c>
      <c r="AF89" s="126">
        <v>17.062999999999999</v>
      </c>
      <c r="AG89" t="s">
        <v>2442</v>
      </c>
    </row>
    <row r="90" spans="1:33" x14ac:dyDescent="0.3">
      <c r="A90">
        <v>158</v>
      </c>
      <c r="B90" t="s">
        <v>2890</v>
      </c>
      <c r="C90" t="s">
        <v>199</v>
      </c>
      <c r="D90">
        <v>5003</v>
      </c>
      <c r="E90">
        <v>5503</v>
      </c>
      <c r="F90">
        <v>100</v>
      </c>
      <c r="G90">
        <v>2000</v>
      </c>
      <c r="H90">
        <v>0</v>
      </c>
      <c r="I90">
        <v>4.3</v>
      </c>
      <c r="J90" s="28">
        <v>5.63</v>
      </c>
      <c r="K90" s="126">
        <v>0.17</v>
      </c>
      <c r="L90" s="126">
        <v>2.2000000000000002</v>
      </c>
      <c r="M90" s="126">
        <v>0.1</v>
      </c>
      <c r="N90" s="126">
        <v>0</v>
      </c>
      <c r="O90" s="126">
        <v>0.6</v>
      </c>
      <c r="P90" s="126">
        <v>0.88500000000000001</v>
      </c>
      <c r="Q90" s="126">
        <v>0.8</v>
      </c>
      <c r="R90" s="126">
        <v>0</v>
      </c>
      <c r="S90" s="126">
        <v>0.25</v>
      </c>
      <c r="T90" s="126">
        <v>15</v>
      </c>
      <c r="U90" s="126">
        <v>25</v>
      </c>
      <c r="V90" s="126">
        <v>100</v>
      </c>
      <c r="W90" s="126">
        <v>1</v>
      </c>
      <c r="X90" s="126">
        <v>0</v>
      </c>
      <c r="Y90" s="126">
        <v>0</v>
      </c>
      <c r="Z90" s="142">
        <v>0</v>
      </c>
      <c r="AA90" s="126">
        <v>0</v>
      </c>
      <c r="AB90" s="126">
        <v>0</v>
      </c>
      <c r="AC90" s="126">
        <v>0</v>
      </c>
      <c r="AD90" s="126">
        <v>0</v>
      </c>
      <c r="AE90" s="126">
        <v>6.6879999999999997</v>
      </c>
      <c r="AF90" s="126">
        <v>31.2</v>
      </c>
      <c r="AG90" t="s">
        <v>2891</v>
      </c>
    </row>
    <row r="91" spans="1:33" x14ac:dyDescent="0.3">
      <c r="A91">
        <v>159</v>
      </c>
      <c r="B91" t="s">
        <v>2892</v>
      </c>
      <c r="C91" t="s">
        <v>199</v>
      </c>
      <c r="D91">
        <v>9916</v>
      </c>
      <c r="E91">
        <v>10908</v>
      </c>
      <c r="F91">
        <v>40</v>
      </c>
      <c r="G91">
        <v>2000</v>
      </c>
      <c r="H91">
        <v>0</v>
      </c>
      <c r="I91">
        <v>4.3</v>
      </c>
      <c r="J91" s="28">
        <v>6.44</v>
      </c>
      <c r="K91" s="126">
        <v>0.17</v>
      </c>
      <c r="L91" s="126">
        <v>2.2000000000000002</v>
      </c>
      <c r="M91" s="126">
        <v>0.1</v>
      </c>
      <c r="N91" s="126">
        <v>0</v>
      </c>
      <c r="O91" s="126">
        <v>0.6</v>
      </c>
      <c r="P91" s="126">
        <v>0.88500000000000001</v>
      </c>
      <c r="Q91" s="126">
        <v>0.8</v>
      </c>
      <c r="R91" s="126">
        <v>0</v>
      </c>
      <c r="S91" s="126">
        <v>0.5</v>
      </c>
      <c r="T91" s="126">
        <v>15</v>
      </c>
      <c r="U91" s="126">
        <v>25</v>
      </c>
      <c r="V91" s="126">
        <v>100</v>
      </c>
      <c r="W91" s="126">
        <v>1</v>
      </c>
      <c r="X91" s="126">
        <v>0</v>
      </c>
      <c r="Y91" s="126">
        <v>0</v>
      </c>
      <c r="Z91" s="142">
        <v>0</v>
      </c>
      <c r="AA91" s="126">
        <v>0</v>
      </c>
      <c r="AB91" s="126">
        <v>0</v>
      </c>
      <c r="AC91" s="126">
        <v>0</v>
      </c>
      <c r="AD91" s="126">
        <v>0</v>
      </c>
      <c r="AE91" s="126">
        <v>0</v>
      </c>
      <c r="AF91" s="126">
        <v>10.563000000000001</v>
      </c>
      <c r="AG91" t="s">
        <v>2893</v>
      </c>
    </row>
    <row r="92" spans="1:33" x14ac:dyDescent="0.3">
      <c r="A92">
        <v>160</v>
      </c>
      <c r="B92" t="s">
        <v>210</v>
      </c>
      <c r="C92" t="s">
        <v>199</v>
      </c>
      <c r="D92">
        <v>16405</v>
      </c>
      <c r="E92">
        <v>18045</v>
      </c>
      <c r="F92">
        <v>150</v>
      </c>
      <c r="G92">
        <v>2500</v>
      </c>
      <c r="H92">
        <v>0</v>
      </c>
      <c r="I92">
        <v>11</v>
      </c>
      <c r="J92" s="28">
        <v>8.0500000000000007</v>
      </c>
      <c r="K92" s="126">
        <v>0.27</v>
      </c>
      <c r="L92" s="126">
        <v>1.4</v>
      </c>
      <c r="M92" s="126">
        <v>0.1</v>
      </c>
      <c r="N92" s="126">
        <v>0</v>
      </c>
      <c r="O92" s="126">
        <v>0.6</v>
      </c>
      <c r="P92" s="126">
        <v>0.88500000000000001</v>
      </c>
      <c r="Q92" s="126">
        <v>0.75</v>
      </c>
      <c r="R92" s="126">
        <v>0</v>
      </c>
      <c r="S92" s="126">
        <v>0.3</v>
      </c>
      <c r="T92" s="126">
        <v>20</v>
      </c>
      <c r="U92" s="126">
        <v>100</v>
      </c>
      <c r="V92" s="126">
        <v>25</v>
      </c>
      <c r="W92" s="126">
        <v>0.3</v>
      </c>
      <c r="X92" s="126">
        <v>0</v>
      </c>
      <c r="Y92" s="126">
        <v>0</v>
      </c>
      <c r="Z92" s="142">
        <v>0</v>
      </c>
      <c r="AA92" s="126">
        <v>0</v>
      </c>
      <c r="AB92" s="126">
        <v>0</v>
      </c>
      <c r="AC92" s="126">
        <v>0</v>
      </c>
      <c r="AD92" s="126">
        <v>0</v>
      </c>
      <c r="AE92" s="126">
        <v>9.7279999999999998</v>
      </c>
      <c r="AF92" s="126">
        <v>17.062999999999999</v>
      </c>
      <c r="AG92" t="s">
        <v>2443</v>
      </c>
    </row>
    <row r="93" spans="1:33" x14ac:dyDescent="0.3">
      <c r="A93">
        <v>161</v>
      </c>
      <c r="B93" t="s">
        <v>2894</v>
      </c>
      <c r="C93" t="s">
        <v>199</v>
      </c>
      <c r="D93">
        <v>8078</v>
      </c>
      <c r="E93">
        <v>8885</v>
      </c>
      <c r="F93">
        <v>145</v>
      </c>
      <c r="G93">
        <v>2900</v>
      </c>
      <c r="H93">
        <v>0</v>
      </c>
      <c r="I93">
        <v>6.1</v>
      </c>
      <c r="J93" s="28">
        <v>8.0500000000000007</v>
      </c>
      <c r="K93" s="126">
        <v>0.18</v>
      </c>
      <c r="L93" s="126">
        <v>1.7</v>
      </c>
      <c r="M93" s="126">
        <v>0.1</v>
      </c>
      <c r="N93" s="126">
        <v>0</v>
      </c>
      <c r="O93" s="126">
        <v>0.9</v>
      </c>
      <c r="P93" s="126">
        <v>0.96</v>
      </c>
      <c r="Q93" s="126">
        <v>0.8</v>
      </c>
      <c r="R93" s="126">
        <v>0</v>
      </c>
      <c r="S93" s="126">
        <v>0.5</v>
      </c>
      <c r="T93" s="126">
        <v>15</v>
      </c>
      <c r="U93" s="126">
        <v>25</v>
      </c>
      <c r="V93" s="126">
        <v>100</v>
      </c>
      <c r="W93" s="126">
        <v>1</v>
      </c>
      <c r="X93" s="126">
        <v>0</v>
      </c>
      <c r="Y93" s="126">
        <v>0</v>
      </c>
      <c r="Z93" s="142">
        <v>0</v>
      </c>
      <c r="AA93" s="126">
        <v>0</v>
      </c>
      <c r="AB93" s="126">
        <v>0</v>
      </c>
      <c r="AC93" s="126">
        <v>0</v>
      </c>
      <c r="AD93" s="126">
        <v>0</v>
      </c>
      <c r="AE93" s="126">
        <v>0</v>
      </c>
      <c r="AF93" s="126">
        <v>10.4</v>
      </c>
      <c r="AG93" t="s">
        <v>2894</v>
      </c>
    </row>
    <row r="94" spans="1:33" x14ac:dyDescent="0.3">
      <c r="A94">
        <v>162</v>
      </c>
      <c r="B94" t="s">
        <v>211</v>
      </c>
      <c r="C94" t="s">
        <v>199</v>
      </c>
      <c r="D94">
        <v>5757</v>
      </c>
      <c r="E94">
        <v>6332</v>
      </c>
      <c r="F94">
        <v>150</v>
      </c>
      <c r="G94">
        <v>2500</v>
      </c>
      <c r="H94">
        <v>0</v>
      </c>
      <c r="I94">
        <v>11</v>
      </c>
      <c r="J94" s="28">
        <v>6.44</v>
      </c>
      <c r="K94" s="126">
        <v>0.27</v>
      </c>
      <c r="L94" s="126">
        <v>1.4</v>
      </c>
      <c r="M94" s="126">
        <v>0.1</v>
      </c>
      <c r="N94" s="126">
        <v>0</v>
      </c>
      <c r="O94" s="126">
        <v>0.6</v>
      </c>
      <c r="P94" s="126">
        <v>0.88500000000000001</v>
      </c>
      <c r="Q94" s="126">
        <v>0.75</v>
      </c>
      <c r="R94" s="126">
        <v>0</v>
      </c>
      <c r="S94" s="126">
        <v>0.2</v>
      </c>
      <c r="T94" s="126">
        <v>13</v>
      </c>
      <c r="U94" s="126">
        <v>25</v>
      </c>
      <c r="V94" s="126">
        <v>0</v>
      </c>
      <c r="W94" s="126">
        <v>0</v>
      </c>
      <c r="X94" s="126">
        <v>0</v>
      </c>
      <c r="Y94" s="126">
        <v>0</v>
      </c>
      <c r="Z94" s="142">
        <v>0</v>
      </c>
      <c r="AA94" s="126">
        <v>0</v>
      </c>
      <c r="AB94" s="126">
        <v>0</v>
      </c>
      <c r="AC94" s="126">
        <v>0</v>
      </c>
      <c r="AD94" s="126">
        <v>0</v>
      </c>
      <c r="AE94" s="126">
        <v>5.4720000000000004</v>
      </c>
      <c r="AF94" s="126">
        <v>15.6</v>
      </c>
      <c r="AG94" t="s">
        <v>2444</v>
      </c>
    </row>
    <row r="95" spans="1:33" x14ac:dyDescent="0.3">
      <c r="A95">
        <v>163</v>
      </c>
      <c r="B95" t="s">
        <v>2895</v>
      </c>
      <c r="C95" t="s">
        <v>199</v>
      </c>
      <c r="D95">
        <v>9197</v>
      </c>
      <c r="E95">
        <v>10116</v>
      </c>
      <c r="F95">
        <v>100</v>
      </c>
      <c r="G95">
        <v>2000</v>
      </c>
      <c r="H95">
        <v>0</v>
      </c>
      <c r="I95">
        <v>5.8</v>
      </c>
      <c r="J95" s="28">
        <v>9.65</v>
      </c>
      <c r="K95" s="126">
        <v>0.16</v>
      </c>
      <c r="L95" s="126">
        <v>1.3</v>
      </c>
      <c r="M95" s="126">
        <v>0.1</v>
      </c>
      <c r="N95" s="126">
        <v>0</v>
      </c>
      <c r="O95" s="126">
        <v>0.6</v>
      </c>
      <c r="P95" s="126">
        <v>0.88500000000000001</v>
      </c>
      <c r="Q95" s="126">
        <v>0.85</v>
      </c>
      <c r="R95" s="126">
        <v>0</v>
      </c>
      <c r="S95" s="126">
        <v>0.25</v>
      </c>
      <c r="T95" s="126">
        <v>10</v>
      </c>
      <c r="U95" s="126">
        <v>25</v>
      </c>
      <c r="V95" s="126">
        <v>0</v>
      </c>
      <c r="W95" s="126">
        <v>0</v>
      </c>
      <c r="X95" s="126">
        <v>0</v>
      </c>
      <c r="Y95" s="126">
        <v>0</v>
      </c>
      <c r="Z95" s="142">
        <v>0</v>
      </c>
      <c r="AA95" s="126">
        <v>0</v>
      </c>
      <c r="AB95" s="126">
        <v>0</v>
      </c>
      <c r="AC95" s="126">
        <v>0</v>
      </c>
      <c r="AD95" s="126">
        <v>0</v>
      </c>
      <c r="AE95" s="126">
        <v>0</v>
      </c>
      <c r="AF95" s="126">
        <v>2.9249999999999998</v>
      </c>
      <c r="AG95" t="s">
        <v>2896</v>
      </c>
    </row>
    <row r="96" spans="1:33" x14ac:dyDescent="0.3">
      <c r="A96">
        <v>164</v>
      </c>
      <c r="B96" t="s">
        <v>2897</v>
      </c>
      <c r="C96" t="s">
        <v>199</v>
      </c>
      <c r="D96">
        <v>10924</v>
      </c>
      <c r="E96">
        <v>12016</v>
      </c>
      <c r="F96">
        <v>100</v>
      </c>
      <c r="G96">
        <v>2000</v>
      </c>
      <c r="H96">
        <v>0</v>
      </c>
      <c r="I96">
        <v>5.2</v>
      </c>
      <c r="J96" s="28">
        <v>9.65</v>
      </c>
      <c r="K96" s="126">
        <v>0.16</v>
      </c>
      <c r="L96" s="126">
        <v>1.3</v>
      </c>
      <c r="M96" s="126">
        <v>0.1</v>
      </c>
      <c r="N96" s="126">
        <v>0</v>
      </c>
      <c r="O96" s="126">
        <v>0.6</v>
      </c>
      <c r="P96" s="126">
        <v>0.88500000000000001</v>
      </c>
      <c r="Q96" s="126">
        <v>0.85</v>
      </c>
      <c r="R96" s="126">
        <v>0</v>
      </c>
      <c r="S96" s="126">
        <v>0.25</v>
      </c>
      <c r="T96" s="126">
        <v>10</v>
      </c>
      <c r="U96" s="126">
        <v>25</v>
      </c>
      <c r="V96" s="126">
        <v>0</v>
      </c>
      <c r="W96" s="126">
        <v>0</v>
      </c>
      <c r="X96" s="126">
        <v>0</v>
      </c>
      <c r="Y96" s="126">
        <v>0</v>
      </c>
      <c r="Z96" s="142">
        <v>0</v>
      </c>
      <c r="AA96" s="126">
        <v>0</v>
      </c>
      <c r="AB96" s="126">
        <v>0</v>
      </c>
      <c r="AC96" s="126">
        <v>0</v>
      </c>
      <c r="AD96" s="126">
        <v>0</v>
      </c>
      <c r="AE96" s="126">
        <v>0</v>
      </c>
      <c r="AF96" s="126">
        <v>2.9249999999999998</v>
      </c>
      <c r="AG96" t="s">
        <v>2898</v>
      </c>
    </row>
    <row r="97" spans="1:33" x14ac:dyDescent="0.3">
      <c r="A97">
        <v>165</v>
      </c>
      <c r="B97" t="s">
        <v>212</v>
      </c>
      <c r="C97" t="s">
        <v>199</v>
      </c>
      <c r="D97">
        <v>5904</v>
      </c>
      <c r="E97">
        <v>6494</v>
      </c>
      <c r="F97">
        <v>100</v>
      </c>
      <c r="G97">
        <v>2000</v>
      </c>
      <c r="H97">
        <v>0</v>
      </c>
      <c r="I97">
        <v>4.3</v>
      </c>
      <c r="J97" s="28">
        <v>9.65</v>
      </c>
      <c r="K97" s="126">
        <v>0.16</v>
      </c>
      <c r="L97" s="126">
        <v>1.7</v>
      </c>
      <c r="M97" s="126">
        <v>0.1</v>
      </c>
      <c r="N97" s="126">
        <v>0</v>
      </c>
      <c r="O97" s="126">
        <v>0.6</v>
      </c>
      <c r="P97" s="126">
        <v>0.88500000000000001</v>
      </c>
      <c r="Q97" s="126">
        <v>0.85</v>
      </c>
      <c r="R97" s="126">
        <v>0</v>
      </c>
      <c r="S97" s="126">
        <v>0.35</v>
      </c>
      <c r="T97" s="126">
        <v>5</v>
      </c>
      <c r="U97" s="126">
        <v>40</v>
      </c>
      <c r="V97" s="126">
        <v>25</v>
      </c>
      <c r="W97" s="126">
        <v>1.78</v>
      </c>
      <c r="X97" s="126">
        <v>0</v>
      </c>
      <c r="Y97" s="126">
        <v>0</v>
      </c>
      <c r="Z97" s="142">
        <v>0</v>
      </c>
      <c r="AA97" s="126">
        <v>0</v>
      </c>
      <c r="AB97" s="126">
        <v>0</v>
      </c>
      <c r="AC97" s="126">
        <v>0</v>
      </c>
      <c r="AD97" s="126">
        <v>0</v>
      </c>
      <c r="AE97" s="126">
        <v>9.4849999999999994</v>
      </c>
      <c r="AF97" s="126">
        <v>1.95</v>
      </c>
      <c r="AG97" t="s">
        <v>1840</v>
      </c>
    </row>
    <row r="98" spans="1:33" x14ac:dyDescent="0.3">
      <c r="A98">
        <v>166</v>
      </c>
      <c r="B98" t="s">
        <v>213</v>
      </c>
      <c r="C98" t="s">
        <v>199</v>
      </c>
      <c r="D98">
        <v>7096</v>
      </c>
      <c r="E98">
        <v>7806</v>
      </c>
      <c r="F98">
        <v>50</v>
      </c>
      <c r="G98">
        <v>2500</v>
      </c>
      <c r="H98">
        <v>0</v>
      </c>
      <c r="I98">
        <v>2.1</v>
      </c>
      <c r="J98" s="28">
        <v>7.24</v>
      </c>
      <c r="K98" s="126">
        <v>0.18</v>
      </c>
      <c r="L98" s="126">
        <v>1.7</v>
      </c>
      <c r="M98" s="126">
        <v>0.1</v>
      </c>
      <c r="N98" s="126">
        <v>0</v>
      </c>
      <c r="O98" s="126">
        <v>0.6</v>
      </c>
      <c r="P98" s="126">
        <v>0.88500000000000001</v>
      </c>
      <c r="Q98" s="126">
        <v>0.8</v>
      </c>
      <c r="R98" s="126">
        <v>0</v>
      </c>
      <c r="S98" s="126">
        <v>0.5</v>
      </c>
      <c r="T98" s="126">
        <v>18</v>
      </c>
      <c r="U98" s="126">
        <v>75</v>
      </c>
      <c r="V98" s="126">
        <v>0</v>
      </c>
      <c r="W98" s="126">
        <v>0</v>
      </c>
      <c r="X98" s="126">
        <v>0</v>
      </c>
      <c r="Y98" s="126">
        <v>0</v>
      </c>
      <c r="Z98" s="142">
        <v>0</v>
      </c>
      <c r="AA98" s="126">
        <v>0</v>
      </c>
      <c r="AB98" s="126">
        <v>0</v>
      </c>
      <c r="AC98" s="126">
        <v>0</v>
      </c>
      <c r="AD98" s="126">
        <v>0</v>
      </c>
      <c r="AE98" s="126">
        <v>3.984</v>
      </c>
      <c r="AF98" s="126">
        <v>10.4</v>
      </c>
      <c r="AG98" t="s">
        <v>1841</v>
      </c>
    </row>
    <row r="99" spans="1:33" x14ac:dyDescent="0.3">
      <c r="A99">
        <v>167</v>
      </c>
      <c r="B99" t="s">
        <v>2899</v>
      </c>
      <c r="C99" t="s">
        <v>199</v>
      </c>
      <c r="D99">
        <v>9916</v>
      </c>
      <c r="E99">
        <v>10908</v>
      </c>
      <c r="F99">
        <v>40</v>
      </c>
      <c r="G99">
        <v>2000</v>
      </c>
      <c r="H99">
        <v>0</v>
      </c>
      <c r="I99">
        <v>4.3</v>
      </c>
      <c r="J99" s="28">
        <v>6.44</v>
      </c>
      <c r="K99" s="126">
        <v>0.18</v>
      </c>
      <c r="L99" s="126">
        <v>1.7</v>
      </c>
      <c r="M99" s="126">
        <v>0.1</v>
      </c>
      <c r="N99" s="126">
        <v>0</v>
      </c>
      <c r="O99" s="126">
        <v>0.6</v>
      </c>
      <c r="P99" s="126">
        <v>0.88500000000000001</v>
      </c>
      <c r="Q99" s="126">
        <v>0.8</v>
      </c>
      <c r="R99" s="126">
        <v>0</v>
      </c>
      <c r="S99" s="126">
        <v>0.3</v>
      </c>
      <c r="T99" s="126">
        <v>20</v>
      </c>
      <c r="U99" s="126">
        <v>150</v>
      </c>
      <c r="V99" s="126">
        <v>50</v>
      </c>
      <c r="W99" s="126">
        <v>0.3</v>
      </c>
      <c r="X99" s="126">
        <v>0</v>
      </c>
      <c r="Y99" s="126">
        <v>0</v>
      </c>
      <c r="Z99" s="142">
        <v>0</v>
      </c>
      <c r="AA99" s="126">
        <v>0</v>
      </c>
      <c r="AB99" s="126">
        <v>0</v>
      </c>
      <c r="AC99" s="126">
        <v>0</v>
      </c>
      <c r="AD99" s="126">
        <v>0</v>
      </c>
      <c r="AE99" s="126">
        <v>0</v>
      </c>
      <c r="AF99" s="126">
        <v>39</v>
      </c>
      <c r="AG99" t="s">
        <v>2900</v>
      </c>
    </row>
    <row r="100" spans="1:33" x14ac:dyDescent="0.3">
      <c r="A100">
        <v>168</v>
      </c>
      <c r="B100" t="s">
        <v>2901</v>
      </c>
      <c r="C100" t="s">
        <v>199</v>
      </c>
      <c r="D100">
        <v>13306</v>
      </c>
      <c r="E100">
        <v>14636</v>
      </c>
      <c r="F100">
        <v>50</v>
      </c>
      <c r="G100">
        <v>2000</v>
      </c>
      <c r="H100">
        <v>0</v>
      </c>
      <c r="I100">
        <v>2.1</v>
      </c>
      <c r="J100" s="28">
        <v>16.09</v>
      </c>
      <c r="K100" s="126">
        <v>0.18</v>
      </c>
      <c r="L100" s="126">
        <v>1.7</v>
      </c>
      <c r="M100" s="126">
        <v>0.1</v>
      </c>
      <c r="N100" s="126">
        <v>0</v>
      </c>
      <c r="O100" s="126">
        <v>0.6</v>
      </c>
      <c r="P100" s="126">
        <v>0.88500000000000001</v>
      </c>
      <c r="Q100" s="126">
        <v>0.85</v>
      </c>
      <c r="R100" s="126">
        <v>0</v>
      </c>
      <c r="S100" s="126">
        <v>0.5</v>
      </c>
      <c r="T100" s="126">
        <v>20</v>
      </c>
      <c r="U100" s="126">
        <v>150</v>
      </c>
      <c r="V100" s="126">
        <v>50</v>
      </c>
      <c r="W100" s="126">
        <v>0.3</v>
      </c>
      <c r="X100" s="126">
        <v>0</v>
      </c>
      <c r="Y100" s="126">
        <v>0</v>
      </c>
      <c r="Z100" s="142">
        <v>0</v>
      </c>
      <c r="AA100" s="126">
        <v>0</v>
      </c>
      <c r="AB100" s="126">
        <v>0</v>
      </c>
      <c r="AC100" s="126">
        <v>0</v>
      </c>
      <c r="AD100" s="126">
        <v>0</v>
      </c>
      <c r="AE100" s="126">
        <v>0</v>
      </c>
      <c r="AF100" s="126">
        <v>10.4</v>
      </c>
      <c r="AG100" t="s">
        <v>2902</v>
      </c>
    </row>
    <row r="101" spans="1:33" x14ac:dyDescent="0.3">
      <c r="A101">
        <v>169</v>
      </c>
      <c r="B101" t="s">
        <v>2903</v>
      </c>
      <c r="C101" t="s">
        <v>199</v>
      </c>
      <c r="D101">
        <v>35999</v>
      </c>
      <c r="E101">
        <v>39599</v>
      </c>
      <c r="F101">
        <v>50</v>
      </c>
      <c r="G101">
        <v>2500</v>
      </c>
      <c r="H101">
        <v>0</v>
      </c>
      <c r="I101">
        <v>2.1</v>
      </c>
      <c r="J101" s="28">
        <v>7.24</v>
      </c>
      <c r="K101" s="126">
        <v>0.18</v>
      </c>
      <c r="L101" s="126">
        <v>1.7</v>
      </c>
      <c r="M101" s="126">
        <v>0.1</v>
      </c>
      <c r="N101" s="126">
        <v>0</v>
      </c>
      <c r="O101" s="126">
        <v>0.6</v>
      </c>
      <c r="P101" s="126">
        <v>0.88500000000000001</v>
      </c>
      <c r="Q101" s="126">
        <v>0.8</v>
      </c>
      <c r="R101" s="126">
        <v>0</v>
      </c>
      <c r="S101" s="126">
        <v>0.55000000000000004</v>
      </c>
      <c r="T101" s="126">
        <v>20</v>
      </c>
      <c r="U101" s="126">
        <v>25</v>
      </c>
      <c r="V101" s="126">
        <v>100</v>
      </c>
      <c r="W101" s="126">
        <v>1</v>
      </c>
      <c r="X101" s="126">
        <v>0</v>
      </c>
      <c r="Y101" s="126">
        <v>0</v>
      </c>
      <c r="Z101" s="142">
        <v>0</v>
      </c>
      <c r="AA101" s="126">
        <v>0</v>
      </c>
      <c r="AB101" s="126">
        <v>0</v>
      </c>
      <c r="AC101" s="126">
        <v>0</v>
      </c>
      <c r="AD101" s="126">
        <v>0</v>
      </c>
      <c r="AE101" s="126">
        <v>0</v>
      </c>
      <c r="AF101" s="126">
        <v>39</v>
      </c>
      <c r="AG101" t="s">
        <v>2904</v>
      </c>
    </row>
    <row r="102" spans="1:33" x14ac:dyDescent="0.3">
      <c r="A102">
        <v>170</v>
      </c>
      <c r="B102" t="s">
        <v>2905</v>
      </c>
      <c r="C102" t="s">
        <v>247</v>
      </c>
      <c r="D102">
        <v>20</v>
      </c>
      <c r="E102">
        <v>0</v>
      </c>
      <c r="F102">
        <v>50</v>
      </c>
      <c r="G102">
        <v>2500</v>
      </c>
      <c r="H102">
        <v>0</v>
      </c>
      <c r="I102">
        <v>2.1</v>
      </c>
      <c r="J102" s="28">
        <v>7.24</v>
      </c>
      <c r="K102" s="126">
        <v>0.18</v>
      </c>
      <c r="L102" s="126">
        <v>1.7</v>
      </c>
      <c r="M102" s="126">
        <v>0.1</v>
      </c>
      <c r="N102" s="126">
        <v>0</v>
      </c>
      <c r="O102" s="126">
        <v>0.6</v>
      </c>
      <c r="P102" s="126">
        <v>0.88500000000000001</v>
      </c>
      <c r="Q102" s="126">
        <v>0.8</v>
      </c>
      <c r="R102" s="126">
        <v>0</v>
      </c>
      <c r="S102" s="126">
        <v>0.1</v>
      </c>
      <c r="T102" s="126">
        <v>5</v>
      </c>
      <c r="U102" s="126">
        <v>60</v>
      </c>
      <c r="V102" s="126">
        <v>10</v>
      </c>
      <c r="W102" s="126">
        <v>0.86</v>
      </c>
      <c r="X102" s="126">
        <v>0</v>
      </c>
      <c r="Y102" s="126">
        <v>0</v>
      </c>
      <c r="Z102" s="142">
        <v>0</v>
      </c>
      <c r="AA102" s="126">
        <v>0</v>
      </c>
      <c r="AB102" s="126">
        <v>0</v>
      </c>
      <c r="AC102" s="126">
        <v>0</v>
      </c>
      <c r="AD102" s="126">
        <v>0</v>
      </c>
      <c r="AE102" s="126">
        <v>0</v>
      </c>
      <c r="AF102" s="126">
        <v>1</v>
      </c>
      <c r="AG102" t="s">
        <v>2905</v>
      </c>
    </row>
    <row r="103" spans="1:33" x14ac:dyDescent="0.3">
      <c r="A103">
        <v>171</v>
      </c>
      <c r="B103" t="s">
        <v>2906</v>
      </c>
      <c r="C103" t="s">
        <v>199</v>
      </c>
      <c r="D103">
        <v>9129</v>
      </c>
      <c r="E103">
        <v>10042</v>
      </c>
      <c r="F103">
        <v>100</v>
      </c>
      <c r="G103">
        <v>2500</v>
      </c>
      <c r="H103">
        <v>0</v>
      </c>
      <c r="I103">
        <v>4.3</v>
      </c>
      <c r="J103" s="28">
        <v>9.65</v>
      </c>
      <c r="K103" s="126">
        <v>0.27</v>
      </c>
      <c r="L103" s="126">
        <v>1.4</v>
      </c>
      <c r="M103" s="126">
        <v>0.1</v>
      </c>
      <c r="N103" s="126">
        <v>0</v>
      </c>
      <c r="O103" s="126">
        <v>0.6</v>
      </c>
      <c r="P103" s="126">
        <v>0.88500000000000001</v>
      </c>
      <c r="Q103" s="126">
        <v>0.8</v>
      </c>
      <c r="R103" s="126">
        <v>0</v>
      </c>
      <c r="S103" s="126">
        <v>0.1</v>
      </c>
      <c r="T103" s="126">
        <v>5</v>
      </c>
      <c r="U103" s="126">
        <v>60</v>
      </c>
      <c r="V103" s="126">
        <v>10</v>
      </c>
      <c r="W103" s="126">
        <v>0.86</v>
      </c>
      <c r="X103" s="126">
        <v>0</v>
      </c>
      <c r="Y103" s="126">
        <v>0</v>
      </c>
      <c r="Z103" s="142">
        <v>0</v>
      </c>
      <c r="AA103" s="126">
        <v>0</v>
      </c>
      <c r="AB103" s="126">
        <v>0</v>
      </c>
      <c r="AC103" s="126">
        <v>0</v>
      </c>
      <c r="AD103" s="126">
        <v>0</v>
      </c>
      <c r="AE103" s="126">
        <v>0</v>
      </c>
      <c r="AF103" s="126">
        <v>4.875</v>
      </c>
      <c r="AG103" t="s">
        <v>2907</v>
      </c>
    </row>
    <row r="104" spans="1:33" x14ac:dyDescent="0.3">
      <c r="A104">
        <v>172</v>
      </c>
      <c r="B104" t="s">
        <v>214</v>
      </c>
      <c r="C104" t="s">
        <v>199</v>
      </c>
      <c r="D104">
        <v>7824</v>
      </c>
      <c r="E104">
        <v>8606</v>
      </c>
      <c r="F104">
        <v>100</v>
      </c>
      <c r="G104">
        <v>2500</v>
      </c>
      <c r="H104">
        <v>0</v>
      </c>
      <c r="I104">
        <v>4.3</v>
      </c>
      <c r="J104" s="28">
        <v>7.24</v>
      </c>
      <c r="K104" s="126">
        <v>0.28999999999999998</v>
      </c>
      <c r="L104" s="126">
        <v>1.8</v>
      </c>
      <c r="M104" s="126">
        <v>0.1</v>
      </c>
      <c r="N104" s="126">
        <v>0</v>
      </c>
      <c r="O104" s="126">
        <v>0.6</v>
      </c>
      <c r="P104" s="126">
        <v>0.88500000000000001</v>
      </c>
      <c r="Q104" s="126">
        <v>0.8</v>
      </c>
      <c r="R104" s="126">
        <v>0</v>
      </c>
      <c r="S104" s="126">
        <v>0.8</v>
      </c>
      <c r="T104" s="126">
        <v>25</v>
      </c>
      <c r="U104" s="126">
        <v>40</v>
      </c>
      <c r="V104" s="126">
        <v>75</v>
      </c>
      <c r="W104" s="126">
        <v>1</v>
      </c>
      <c r="X104" s="126">
        <v>0</v>
      </c>
      <c r="Y104" s="126">
        <v>0</v>
      </c>
      <c r="Z104" s="142">
        <v>0</v>
      </c>
      <c r="AA104" s="126">
        <v>0</v>
      </c>
      <c r="AB104" s="126">
        <v>0</v>
      </c>
      <c r="AC104" s="126">
        <v>0</v>
      </c>
      <c r="AD104" s="126">
        <v>0</v>
      </c>
      <c r="AE104" s="126">
        <v>20.428999999999998</v>
      </c>
      <c r="AF104" s="126">
        <v>52</v>
      </c>
      <c r="AG104" t="s">
        <v>1842</v>
      </c>
    </row>
    <row r="105" spans="1:33" x14ac:dyDescent="0.3">
      <c r="A105">
        <v>173</v>
      </c>
      <c r="B105" t="s">
        <v>2908</v>
      </c>
      <c r="C105" t="s">
        <v>199</v>
      </c>
      <c r="D105">
        <v>18162</v>
      </c>
      <c r="E105">
        <v>19978</v>
      </c>
      <c r="F105">
        <v>80</v>
      </c>
      <c r="G105">
        <v>2500</v>
      </c>
      <c r="H105">
        <v>0</v>
      </c>
      <c r="I105">
        <v>3</v>
      </c>
      <c r="J105" s="28">
        <v>8.0500000000000007</v>
      </c>
      <c r="K105" s="126">
        <v>0.32</v>
      </c>
      <c r="L105" s="126">
        <v>2.1</v>
      </c>
      <c r="M105" s="126">
        <v>0.1</v>
      </c>
      <c r="N105" s="126">
        <v>0</v>
      </c>
      <c r="O105" s="126">
        <v>0.6</v>
      </c>
      <c r="P105" s="126">
        <v>0.88500000000000001</v>
      </c>
      <c r="Q105" s="126">
        <v>0.65</v>
      </c>
      <c r="R105" s="126">
        <v>0</v>
      </c>
      <c r="S105" s="126">
        <v>0.8</v>
      </c>
      <c r="T105" s="126">
        <v>25</v>
      </c>
      <c r="U105" s="126">
        <v>100</v>
      </c>
      <c r="V105" s="126">
        <v>150</v>
      </c>
      <c r="W105" s="126">
        <v>1</v>
      </c>
      <c r="X105" s="126">
        <v>0</v>
      </c>
      <c r="Y105" s="126">
        <v>0</v>
      </c>
      <c r="Z105" s="142">
        <v>5</v>
      </c>
      <c r="AA105" s="126">
        <v>0</v>
      </c>
      <c r="AB105" s="126">
        <v>0</v>
      </c>
      <c r="AC105" s="126">
        <v>0</v>
      </c>
      <c r="AD105" s="126">
        <v>0</v>
      </c>
      <c r="AE105" s="126">
        <v>6.79</v>
      </c>
      <c r="AF105" s="126">
        <v>35.1</v>
      </c>
      <c r="AG105" t="s">
        <v>2909</v>
      </c>
    </row>
    <row r="106" spans="1:33" x14ac:dyDescent="0.3">
      <c r="A106">
        <v>174</v>
      </c>
      <c r="B106" t="s">
        <v>2910</v>
      </c>
      <c r="C106" t="s">
        <v>199</v>
      </c>
      <c r="D106">
        <v>19285</v>
      </c>
      <c r="E106">
        <v>21213</v>
      </c>
      <c r="F106">
        <v>50</v>
      </c>
      <c r="G106">
        <v>2500</v>
      </c>
      <c r="H106">
        <v>0</v>
      </c>
      <c r="I106">
        <v>2.1</v>
      </c>
      <c r="J106" s="28">
        <v>7.24</v>
      </c>
      <c r="K106" s="126">
        <v>0.16</v>
      </c>
      <c r="L106" s="126">
        <v>1.3</v>
      </c>
      <c r="M106" s="126">
        <v>0.1</v>
      </c>
      <c r="N106" s="126">
        <v>0</v>
      </c>
      <c r="O106" s="126">
        <v>0.6</v>
      </c>
      <c r="P106" s="126">
        <v>0.88500000000000001</v>
      </c>
      <c r="Q106" s="126">
        <v>0.8</v>
      </c>
      <c r="R106" s="126">
        <v>0</v>
      </c>
      <c r="S106" s="126">
        <v>0.25</v>
      </c>
      <c r="T106" s="126">
        <v>5</v>
      </c>
      <c r="U106" s="126">
        <v>60</v>
      </c>
      <c r="V106" s="126">
        <v>10</v>
      </c>
      <c r="W106" s="126">
        <v>0.86</v>
      </c>
      <c r="X106" s="126">
        <v>0</v>
      </c>
      <c r="Y106" s="126">
        <v>0</v>
      </c>
      <c r="Z106" s="142">
        <v>0</v>
      </c>
      <c r="AA106" s="126">
        <v>0</v>
      </c>
      <c r="AB106" s="126">
        <v>0</v>
      </c>
      <c r="AC106" s="126">
        <v>0</v>
      </c>
      <c r="AD106" s="126">
        <v>0</v>
      </c>
      <c r="AE106" s="126">
        <v>3</v>
      </c>
      <c r="AF106" s="126">
        <v>2.9249999999999998</v>
      </c>
      <c r="AG106" t="s">
        <v>2911</v>
      </c>
    </row>
    <row r="107" spans="1:33" x14ac:dyDescent="0.3">
      <c r="A107">
        <v>175</v>
      </c>
      <c r="B107" t="s">
        <v>2912</v>
      </c>
      <c r="C107" t="s">
        <v>199</v>
      </c>
      <c r="D107">
        <v>989</v>
      </c>
      <c r="E107">
        <v>1088</v>
      </c>
      <c r="F107">
        <v>40</v>
      </c>
      <c r="G107">
        <v>2000</v>
      </c>
      <c r="H107">
        <v>0</v>
      </c>
      <c r="I107">
        <v>4.3</v>
      </c>
      <c r="J107" s="28">
        <v>6.44</v>
      </c>
      <c r="K107" s="126">
        <v>0.16</v>
      </c>
      <c r="L107" s="126">
        <v>1.3</v>
      </c>
      <c r="M107" s="126">
        <v>0.1</v>
      </c>
      <c r="N107" s="126">
        <v>0</v>
      </c>
      <c r="O107" s="126">
        <v>0.6</v>
      </c>
      <c r="P107" s="126">
        <v>0.88500000000000001</v>
      </c>
      <c r="Q107" s="126">
        <v>0.8</v>
      </c>
      <c r="R107" s="126">
        <v>0</v>
      </c>
      <c r="S107" s="126">
        <v>0</v>
      </c>
      <c r="T107" s="126">
        <v>0</v>
      </c>
      <c r="U107" s="126">
        <v>40</v>
      </c>
      <c r="V107" s="126">
        <v>25</v>
      </c>
      <c r="W107" s="126">
        <v>1.78</v>
      </c>
      <c r="X107" s="126">
        <v>0</v>
      </c>
      <c r="Y107" s="126">
        <v>0</v>
      </c>
      <c r="Z107" s="142">
        <v>0</v>
      </c>
      <c r="AA107" s="126">
        <v>0</v>
      </c>
      <c r="AB107" s="126">
        <v>0</v>
      </c>
      <c r="AC107" s="126">
        <v>0</v>
      </c>
      <c r="AD107" s="126">
        <v>0</v>
      </c>
      <c r="AE107" s="126">
        <v>3</v>
      </c>
      <c r="AF107" s="126">
        <v>2.9249999999999998</v>
      </c>
      <c r="AG107" t="s">
        <v>2913</v>
      </c>
    </row>
    <row r="108" spans="1:33" x14ac:dyDescent="0.3">
      <c r="A108">
        <v>176</v>
      </c>
      <c r="B108" t="s">
        <v>2914</v>
      </c>
      <c r="C108" t="s">
        <v>199</v>
      </c>
      <c r="D108">
        <v>989</v>
      </c>
      <c r="E108">
        <v>1088</v>
      </c>
      <c r="F108">
        <v>100</v>
      </c>
      <c r="G108">
        <v>2500</v>
      </c>
      <c r="H108">
        <v>0</v>
      </c>
      <c r="I108">
        <v>4.3</v>
      </c>
      <c r="J108" s="28">
        <v>5.63</v>
      </c>
      <c r="K108" s="126">
        <v>0.16</v>
      </c>
      <c r="L108" s="126">
        <v>1.3</v>
      </c>
      <c r="M108" s="126">
        <v>0.1</v>
      </c>
      <c r="N108" s="126">
        <v>0</v>
      </c>
      <c r="O108" s="126">
        <v>0.6</v>
      </c>
      <c r="P108" s="126">
        <v>0.88500000000000001</v>
      </c>
      <c r="Q108" s="126">
        <v>0.7</v>
      </c>
      <c r="R108" s="126">
        <v>0</v>
      </c>
      <c r="S108" s="126">
        <v>0</v>
      </c>
      <c r="T108" s="126">
        <v>0</v>
      </c>
      <c r="U108" s="126">
        <v>40</v>
      </c>
      <c r="V108" s="126">
        <v>25</v>
      </c>
      <c r="W108" s="126">
        <v>1.78</v>
      </c>
      <c r="X108" s="126">
        <v>0</v>
      </c>
      <c r="Y108" s="126">
        <v>0</v>
      </c>
      <c r="Z108" s="142">
        <v>0</v>
      </c>
      <c r="AA108" s="126">
        <v>0</v>
      </c>
      <c r="AB108" s="126">
        <v>0</v>
      </c>
      <c r="AC108" s="126">
        <v>0</v>
      </c>
      <c r="AD108" s="126">
        <v>0</v>
      </c>
      <c r="AE108" s="126">
        <v>3</v>
      </c>
      <c r="AF108" s="126">
        <v>2.9249999999999998</v>
      </c>
      <c r="AG108" t="s">
        <v>2915</v>
      </c>
    </row>
    <row r="109" spans="1:33" x14ac:dyDescent="0.3">
      <c r="A109">
        <v>177</v>
      </c>
      <c r="B109" t="s">
        <v>215</v>
      </c>
      <c r="C109" t="s">
        <v>199</v>
      </c>
      <c r="D109">
        <v>848</v>
      </c>
      <c r="E109">
        <v>932</v>
      </c>
      <c r="F109">
        <v>50</v>
      </c>
      <c r="G109">
        <v>2000</v>
      </c>
      <c r="H109">
        <v>0</v>
      </c>
      <c r="I109">
        <v>4.3</v>
      </c>
      <c r="J109" s="28">
        <v>11.26</v>
      </c>
      <c r="K109" s="126">
        <v>0.23</v>
      </c>
      <c r="L109" s="126">
        <v>1.4</v>
      </c>
      <c r="M109" s="126">
        <v>0.1</v>
      </c>
      <c r="N109" s="126">
        <v>0</v>
      </c>
      <c r="O109" s="126">
        <v>0.6</v>
      </c>
      <c r="P109" s="126">
        <v>0.88500000000000001</v>
      </c>
      <c r="Q109" s="126">
        <v>0.8</v>
      </c>
      <c r="R109" s="126">
        <v>0</v>
      </c>
      <c r="S109" s="126">
        <v>0.2</v>
      </c>
      <c r="T109" s="126">
        <v>10</v>
      </c>
      <c r="U109" s="126">
        <v>100</v>
      </c>
      <c r="V109" s="126">
        <v>0</v>
      </c>
      <c r="W109" s="126">
        <v>0</v>
      </c>
      <c r="X109" s="126">
        <v>0</v>
      </c>
      <c r="Y109" s="126">
        <v>0</v>
      </c>
      <c r="Z109" s="142">
        <v>0</v>
      </c>
      <c r="AA109" s="126">
        <v>0</v>
      </c>
      <c r="AB109" s="126">
        <v>0</v>
      </c>
      <c r="AC109" s="126">
        <v>0</v>
      </c>
      <c r="AD109" s="126">
        <v>0</v>
      </c>
      <c r="AE109" s="126">
        <v>7.2960000000000003</v>
      </c>
      <c r="AF109" s="126">
        <v>19.89</v>
      </c>
      <c r="AG109" t="s">
        <v>1843</v>
      </c>
    </row>
    <row r="110" spans="1:33" x14ac:dyDescent="0.3">
      <c r="A110">
        <v>178</v>
      </c>
      <c r="B110" t="s">
        <v>216</v>
      </c>
      <c r="C110" t="s">
        <v>199</v>
      </c>
      <c r="D110">
        <v>7062</v>
      </c>
      <c r="E110">
        <v>7768</v>
      </c>
      <c r="F110">
        <v>100</v>
      </c>
      <c r="G110">
        <v>2000</v>
      </c>
      <c r="H110">
        <v>0</v>
      </c>
      <c r="I110">
        <v>4.3</v>
      </c>
      <c r="J110" s="28">
        <v>7.24</v>
      </c>
      <c r="K110" s="126">
        <v>0.16</v>
      </c>
      <c r="L110" s="126">
        <v>1.3</v>
      </c>
      <c r="M110" s="126">
        <v>0.1</v>
      </c>
      <c r="N110" s="126">
        <v>0</v>
      </c>
      <c r="O110" s="126">
        <v>0.6</v>
      </c>
      <c r="P110" s="126">
        <v>0.88500000000000001</v>
      </c>
      <c r="Q110" s="126">
        <v>0.8</v>
      </c>
      <c r="R110" s="126">
        <v>0</v>
      </c>
      <c r="S110" s="126">
        <v>0</v>
      </c>
      <c r="T110" s="126">
        <v>0</v>
      </c>
      <c r="U110" s="126">
        <v>100</v>
      </c>
      <c r="V110" s="126">
        <v>0</v>
      </c>
      <c r="W110" s="126">
        <v>0</v>
      </c>
      <c r="X110" s="126">
        <v>0</v>
      </c>
      <c r="Y110" s="126">
        <v>0</v>
      </c>
      <c r="Z110" s="142">
        <v>0</v>
      </c>
      <c r="AA110" s="126">
        <v>0</v>
      </c>
      <c r="AB110" s="126">
        <v>0</v>
      </c>
      <c r="AC110" s="126">
        <v>0</v>
      </c>
      <c r="AD110" s="126">
        <v>0</v>
      </c>
      <c r="AE110" s="126">
        <v>3</v>
      </c>
      <c r="AF110" s="126">
        <v>2.9249999999999998</v>
      </c>
      <c r="AG110" t="s">
        <v>2445</v>
      </c>
    </row>
    <row r="111" spans="1:33" x14ac:dyDescent="0.3">
      <c r="A111">
        <v>179</v>
      </c>
      <c r="B111" t="s">
        <v>2916</v>
      </c>
      <c r="C111" t="s">
        <v>199</v>
      </c>
      <c r="D111">
        <v>3231</v>
      </c>
      <c r="E111">
        <v>3554</v>
      </c>
      <c r="F111">
        <v>13</v>
      </c>
      <c r="G111">
        <v>260</v>
      </c>
      <c r="H111">
        <v>0</v>
      </c>
      <c r="I111">
        <v>3.7</v>
      </c>
      <c r="J111" s="28">
        <v>6.44</v>
      </c>
      <c r="K111" s="126">
        <v>0.23</v>
      </c>
      <c r="L111" s="126">
        <v>1.4</v>
      </c>
      <c r="M111" s="126">
        <v>0.1</v>
      </c>
      <c r="N111" s="126">
        <v>0</v>
      </c>
      <c r="O111" s="126">
        <v>0.8</v>
      </c>
      <c r="P111" s="126">
        <v>0.96</v>
      </c>
      <c r="Q111" s="126">
        <v>0.7</v>
      </c>
      <c r="R111" s="126">
        <v>0</v>
      </c>
      <c r="S111" s="126">
        <v>0.1</v>
      </c>
      <c r="T111" s="126">
        <v>5</v>
      </c>
      <c r="U111" s="126">
        <v>60</v>
      </c>
      <c r="V111" s="126">
        <v>0</v>
      </c>
      <c r="W111" s="126">
        <v>0</v>
      </c>
      <c r="X111" s="126">
        <v>0</v>
      </c>
      <c r="Y111" s="126">
        <v>0</v>
      </c>
      <c r="Z111" s="142">
        <v>0</v>
      </c>
      <c r="AA111" s="126">
        <v>0</v>
      </c>
      <c r="AB111" s="126">
        <v>0</v>
      </c>
      <c r="AC111" s="126">
        <v>0</v>
      </c>
      <c r="AD111" s="126">
        <v>0</v>
      </c>
      <c r="AE111" s="126">
        <v>0</v>
      </c>
      <c r="AF111" s="126">
        <v>0.48799999999999999</v>
      </c>
      <c r="AG111" t="s">
        <v>2917</v>
      </c>
    </row>
    <row r="112" spans="1:33" x14ac:dyDescent="0.3">
      <c r="A112">
        <v>180</v>
      </c>
      <c r="B112" t="s">
        <v>2918</v>
      </c>
      <c r="C112" t="s">
        <v>199</v>
      </c>
      <c r="D112">
        <v>9154</v>
      </c>
      <c r="E112">
        <v>10070</v>
      </c>
      <c r="F112">
        <v>81</v>
      </c>
      <c r="G112">
        <v>972</v>
      </c>
      <c r="H112">
        <v>0</v>
      </c>
      <c r="I112">
        <v>4.5999999999999996</v>
      </c>
      <c r="J112" s="28">
        <v>11.26</v>
      </c>
      <c r="K112" s="126">
        <v>0.27</v>
      </c>
      <c r="L112" s="126">
        <v>1.4</v>
      </c>
      <c r="M112" s="126">
        <v>0.1</v>
      </c>
      <c r="N112" s="126">
        <v>0</v>
      </c>
      <c r="O112" s="126">
        <v>0.6</v>
      </c>
      <c r="P112" s="126">
        <v>0.86</v>
      </c>
      <c r="Q112" s="126">
        <v>0.75</v>
      </c>
      <c r="R112" s="126">
        <v>0</v>
      </c>
      <c r="S112" s="126">
        <v>0.4</v>
      </c>
      <c r="T112" s="126">
        <v>5</v>
      </c>
      <c r="U112" s="126">
        <v>60</v>
      </c>
      <c r="V112" s="126">
        <v>0</v>
      </c>
      <c r="W112" s="126">
        <v>0</v>
      </c>
      <c r="X112" s="126">
        <v>0</v>
      </c>
      <c r="Y112" s="126">
        <v>0</v>
      </c>
      <c r="Z112" s="142">
        <v>0</v>
      </c>
      <c r="AA112" s="126">
        <v>0</v>
      </c>
      <c r="AB112" s="126">
        <v>0</v>
      </c>
      <c r="AC112" s="126">
        <v>0</v>
      </c>
      <c r="AD112" s="126">
        <v>0</v>
      </c>
      <c r="AE112" s="126">
        <v>0</v>
      </c>
      <c r="AF112" s="126">
        <v>2.9249999999999998</v>
      </c>
      <c r="AG112" t="s">
        <v>2919</v>
      </c>
    </row>
    <row r="113" spans="1:33" x14ac:dyDescent="0.3">
      <c r="A113">
        <v>181</v>
      </c>
      <c r="B113" t="s">
        <v>2920</v>
      </c>
      <c r="C113" t="s">
        <v>199</v>
      </c>
      <c r="D113">
        <v>6462</v>
      </c>
      <c r="E113">
        <v>7108</v>
      </c>
      <c r="F113">
        <v>150</v>
      </c>
      <c r="G113">
        <v>2250</v>
      </c>
      <c r="H113">
        <v>0</v>
      </c>
      <c r="I113">
        <v>7.3</v>
      </c>
      <c r="J113" s="28">
        <v>4.83</v>
      </c>
      <c r="K113" s="126">
        <v>0.27</v>
      </c>
      <c r="L113" s="126">
        <v>1.4</v>
      </c>
      <c r="M113" s="126">
        <v>0.1</v>
      </c>
      <c r="N113" s="126">
        <v>0</v>
      </c>
      <c r="O113" s="126">
        <v>0.64</v>
      </c>
      <c r="P113" s="126">
        <v>0.85</v>
      </c>
      <c r="Q113" s="126">
        <v>0.6</v>
      </c>
      <c r="R113" s="126">
        <v>0</v>
      </c>
      <c r="S113" s="126">
        <v>0</v>
      </c>
      <c r="T113" s="126">
        <v>0</v>
      </c>
      <c r="U113" s="126">
        <v>100</v>
      </c>
      <c r="V113" s="126">
        <v>0</v>
      </c>
      <c r="W113" s="126">
        <v>0</v>
      </c>
      <c r="X113" s="126">
        <v>0</v>
      </c>
      <c r="Y113" s="126">
        <v>0</v>
      </c>
      <c r="Z113" s="142">
        <v>0</v>
      </c>
      <c r="AA113" s="126">
        <v>0</v>
      </c>
      <c r="AB113" s="126">
        <v>0</v>
      </c>
      <c r="AC113" s="126">
        <v>0</v>
      </c>
      <c r="AD113" s="126">
        <v>0</v>
      </c>
      <c r="AE113" s="126">
        <v>0</v>
      </c>
      <c r="AF113" s="126">
        <v>0</v>
      </c>
      <c r="AG113" t="s">
        <v>2920</v>
      </c>
    </row>
    <row r="114" spans="1:33" x14ac:dyDescent="0.3">
      <c r="A114">
        <v>182</v>
      </c>
      <c r="B114" t="s">
        <v>2921</v>
      </c>
      <c r="C114" t="s">
        <v>199</v>
      </c>
      <c r="D114">
        <v>775</v>
      </c>
      <c r="E114">
        <v>853</v>
      </c>
      <c r="F114">
        <v>200</v>
      </c>
      <c r="G114">
        <v>2000</v>
      </c>
      <c r="H114">
        <v>0</v>
      </c>
      <c r="I114">
        <v>1</v>
      </c>
      <c r="J114" s="28">
        <v>4.83</v>
      </c>
      <c r="K114" s="126">
        <v>0.27</v>
      </c>
      <c r="L114" s="126">
        <v>2.2000000000000002</v>
      </c>
      <c r="M114" s="126">
        <v>0.1</v>
      </c>
      <c r="N114" s="126">
        <v>0</v>
      </c>
      <c r="O114" s="126">
        <v>0.6</v>
      </c>
      <c r="P114" s="126">
        <v>0.88500000000000001</v>
      </c>
      <c r="Q114" s="126">
        <v>0.6</v>
      </c>
      <c r="R114" s="126">
        <v>0</v>
      </c>
      <c r="S114" s="126">
        <v>0.25</v>
      </c>
      <c r="T114" s="126">
        <v>15</v>
      </c>
      <c r="U114" s="126">
        <v>25</v>
      </c>
      <c r="V114" s="126">
        <v>100</v>
      </c>
      <c r="W114" s="126">
        <v>1</v>
      </c>
      <c r="X114" s="126">
        <v>0</v>
      </c>
      <c r="Y114" s="126">
        <v>0</v>
      </c>
      <c r="Z114" s="142">
        <v>0</v>
      </c>
      <c r="AA114" s="126">
        <v>0</v>
      </c>
      <c r="AB114" s="126">
        <v>0</v>
      </c>
      <c r="AC114" s="126">
        <v>0</v>
      </c>
      <c r="AD114" s="126">
        <v>0</v>
      </c>
      <c r="AE114" s="126">
        <v>6.6879999999999997</v>
      </c>
      <c r="AF114" s="126">
        <v>31.2</v>
      </c>
      <c r="AG114" t="s">
        <v>2922</v>
      </c>
    </row>
    <row r="115" spans="1:33" x14ac:dyDescent="0.3">
      <c r="A115">
        <v>183</v>
      </c>
      <c r="B115" t="s">
        <v>2923</v>
      </c>
      <c r="C115" t="s">
        <v>199</v>
      </c>
      <c r="D115">
        <v>12210</v>
      </c>
      <c r="E115">
        <v>13431</v>
      </c>
      <c r="F115">
        <v>100</v>
      </c>
      <c r="G115">
        <v>2500</v>
      </c>
      <c r="H115">
        <v>0</v>
      </c>
      <c r="I115">
        <v>6.1</v>
      </c>
      <c r="J115" s="28">
        <v>8.0500000000000007</v>
      </c>
      <c r="K115" s="126">
        <v>0.27</v>
      </c>
      <c r="L115" s="126">
        <v>1.4</v>
      </c>
      <c r="M115" s="126">
        <v>0.1</v>
      </c>
      <c r="N115" s="126">
        <v>0</v>
      </c>
      <c r="O115" s="126">
        <v>0.6</v>
      </c>
      <c r="P115" s="126">
        <v>0.88500000000000001</v>
      </c>
      <c r="Q115" s="126">
        <v>0.8</v>
      </c>
      <c r="R115" s="126">
        <v>0</v>
      </c>
      <c r="S115" s="126">
        <v>0.55000000000000004</v>
      </c>
      <c r="T115" s="126">
        <v>50</v>
      </c>
      <c r="U115" s="126">
        <v>100</v>
      </c>
      <c r="V115" s="126">
        <v>0</v>
      </c>
      <c r="W115" s="126">
        <v>0</v>
      </c>
      <c r="X115" s="126">
        <v>0</v>
      </c>
      <c r="Y115" s="126">
        <v>0</v>
      </c>
      <c r="Z115" s="142">
        <v>0</v>
      </c>
      <c r="AA115" s="126">
        <v>0</v>
      </c>
      <c r="AB115" s="126">
        <v>0</v>
      </c>
      <c r="AC115" s="126">
        <v>0</v>
      </c>
      <c r="AD115" s="126">
        <v>0</v>
      </c>
      <c r="AE115" s="126">
        <v>0</v>
      </c>
      <c r="AF115" s="126">
        <v>15.6</v>
      </c>
      <c r="AG115" t="s">
        <v>2924</v>
      </c>
    </row>
    <row r="116" spans="1:33" x14ac:dyDescent="0.3">
      <c r="A116">
        <v>184</v>
      </c>
      <c r="B116" t="s">
        <v>2925</v>
      </c>
      <c r="C116" t="s">
        <v>199</v>
      </c>
      <c r="D116">
        <v>8499</v>
      </c>
      <c r="E116">
        <v>9348</v>
      </c>
      <c r="F116">
        <v>100</v>
      </c>
      <c r="G116">
        <v>2500</v>
      </c>
      <c r="H116">
        <v>0</v>
      </c>
      <c r="I116">
        <v>4.3</v>
      </c>
      <c r="J116" s="28">
        <v>8.0500000000000007</v>
      </c>
      <c r="K116" s="126">
        <v>0.27</v>
      </c>
      <c r="L116" s="126">
        <v>1.4</v>
      </c>
      <c r="M116" s="126">
        <v>0.1</v>
      </c>
      <c r="N116" s="126">
        <v>0</v>
      </c>
      <c r="O116" s="126">
        <v>0.6</v>
      </c>
      <c r="P116" s="126">
        <v>0.88500000000000001</v>
      </c>
      <c r="Q116" s="126">
        <v>0.8</v>
      </c>
      <c r="R116" s="126">
        <v>0</v>
      </c>
      <c r="S116" s="126">
        <v>0.55000000000000004</v>
      </c>
      <c r="T116" s="126">
        <v>50</v>
      </c>
      <c r="U116" s="126">
        <v>100</v>
      </c>
      <c r="V116" s="126">
        <v>0</v>
      </c>
      <c r="W116" s="126">
        <v>0</v>
      </c>
      <c r="X116" s="126">
        <v>0</v>
      </c>
      <c r="Y116" s="126">
        <v>0</v>
      </c>
      <c r="Z116" s="142">
        <v>0</v>
      </c>
      <c r="AA116" s="126">
        <v>0</v>
      </c>
      <c r="AB116" s="126">
        <v>0</v>
      </c>
      <c r="AC116" s="126">
        <v>0</v>
      </c>
      <c r="AD116" s="126">
        <v>0</v>
      </c>
      <c r="AE116" s="126">
        <v>0</v>
      </c>
      <c r="AF116" s="126">
        <v>15.6</v>
      </c>
      <c r="AG116" t="s">
        <v>2926</v>
      </c>
    </row>
    <row r="117" spans="1:33" x14ac:dyDescent="0.3">
      <c r="A117">
        <v>185</v>
      </c>
      <c r="B117" t="s">
        <v>217</v>
      </c>
      <c r="C117" t="s">
        <v>199</v>
      </c>
      <c r="D117">
        <v>3190</v>
      </c>
      <c r="E117">
        <v>3509</v>
      </c>
      <c r="F117">
        <v>40</v>
      </c>
      <c r="G117">
        <v>2500</v>
      </c>
      <c r="H117">
        <v>0</v>
      </c>
      <c r="I117">
        <v>6.4</v>
      </c>
      <c r="J117" s="28">
        <v>8.0500000000000007</v>
      </c>
      <c r="K117" s="126">
        <v>0.27</v>
      </c>
      <c r="L117" s="126">
        <v>1.4</v>
      </c>
      <c r="M117" s="126">
        <v>0.1</v>
      </c>
      <c r="N117" s="126">
        <v>0</v>
      </c>
      <c r="O117" s="126">
        <v>0.6</v>
      </c>
      <c r="P117" s="126">
        <v>0.88500000000000001</v>
      </c>
      <c r="Q117" s="126">
        <v>0.85</v>
      </c>
      <c r="R117" s="126">
        <v>0</v>
      </c>
      <c r="S117" s="126">
        <v>0.2</v>
      </c>
      <c r="T117" s="126">
        <v>13</v>
      </c>
      <c r="U117" s="126">
        <v>25</v>
      </c>
      <c r="V117" s="126">
        <v>0</v>
      </c>
      <c r="W117" s="126">
        <v>0</v>
      </c>
      <c r="X117" s="126">
        <v>0</v>
      </c>
      <c r="Y117" s="126">
        <v>0</v>
      </c>
      <c r="Z117" s="142">
        <v>0</v>
      </c>
      <c r="AA117" s="126">
        <v>0</v>
      </c>
      <c r="AB117" s="126">
        <v>0</v>
      </c>
      <c r="AC117" s="126">
        <v>0</v>
      </c>
      <c r="AD117" s="126">
        <v>0</v>
      </c>
      <c r="AE117" s="126">
        <v>5.4720000000000004</v>
      </c>
      <c r="AF117" s="126">
        <v>15.6</v>
      </c>
      <c r="AG117" t="s">
        <v>2927</v>
      </c>
    </row>
    <row r="118" spans="1:33" x14ac:dyDescent="0.3">
      <c r="A118">
        <v>186</v>
      </c>
      <c r="B118" t="s">
        <v>2928</v>
      </c>
      <c r="C118" t="s">
        <v>199</v>
      </c>
      <c r="D118">
        <v>2050</v>
      </c>
      <c r="E118">
        <v>2255</v>
      </c>
      <c r="F118">
        <v>40</v>
      </c>
      <c r="G118">
        <v>2500</v>
      </c>
      <c r="H118">
        <v>0</v>
      </c>
      <c r="I118">
        <v>4.9000000000000004</v>
      </c>
      <c r="J118" s="28">
        <v>8.0500000000000007</v>
      </c>
      <c r="K118" s="126">
        <v>0.27</v>
      </c>
      <c r="L118" s="126">
        <v>1.4</v>
      </c>
      <c r="M118" s="126">
        <v>0.1</v>
      </c>
      <c r="N118" s="126">
        <v>0</v>
      </c>
      <c r="O118" s="126">
        <v>0.6</v>
      </c>
      <c r="P118" s="126">
        <v>0.88500000000000001</v>
      </c>
      <c r="Q118" s="126">
        <v>0.85</v>
      </c>
      <c r="R118" s="126">
        <v>0</v>
      </c>
      <c r="S118" s="126">
        <v>0.2</v>
      </c>
      <c r="T118" s="126">
        <v>13</v>
      </c>
      <c r="U118" s="126">
        <v>25</v>
      </c>
      <c r="V118" s="126">
        <v>0</v>
      </c>
      <c r="W118" s="126">
        <v>0</v>
      </c>
      <c r="X118" s="126">
        <v>0</v>
      </c>
      <c r="Y118" s="126">
        <v>0</v>
      </c>
      <c r="Z118" s="142">
        <v>0</v>
      </c>
      <c r="AA118" s="126">
        <v>0</v>
      </c>
      <c r="AB118" s="126">
        <v>0</v>
      </c>
      <c r="AC118" s="126">
        <v>0</v>
      </c>
      <c r="AD118" s="126">
        <v>0</v>
      </c>
      <c r="AE118" s="126">
        <v>5.4720000000000004</v>
      </c>
      <c r="AF118" s="126">
        <v>7.8</v>
      </c>
      <c r="AG118" t="s">
        <v>2929</v>
      </c>
    </row>
    <row r="119" spans="1:33" x14ac:dyDescent="0.3">
      <c r="A119">
        <v>187</v>
      </c>
      <c r="B119" t="s">
        <v>2930</v>
      </c>
      <c r="C119" t="s">
        <v>199</v>
      </c>
      <c r="D119">
        <v>2321</v>
      </c>
      <c r="E119">
        <v>2553</v>
      </c>
      <c r="F119">
        <v>40</v>
      </c>
      <c r="G119">
        <v>2000</v>
      </c>
      <c r="H119">
        <v>0</v>
      </c>
      <c r="I119">
        <v>5.5</v>
      </c>
      <c r="J119" s="28">
        <v>8.0500000000000007</v>
      </c>
      <c r="K119" s="126">
        <v>0.27</v>
      </c>
      <c r="L119" s="126">
        <v>1.4</v>
      </c>
      <c r="M119" s="126">
        <v>0.1</v>
      </c>
      <c r="N119" s="126">
        <v>0</v>
      </c>
      <c r="O119" s="126">
        <v>0.6</v>
      </c>
      <c r="P119" s="126">
        <v>0.88500000000000001</v>
      </c>
      <c r="Q119" s="126">
        <v>0.85</v>
      </c>
      <c r="R119" s="126">
        <v>0</v>
      </c>
      <c r="S119" s="126">
        <v>0.4</v>
      </c>
      <c r="T119" s="126">
        <v>18</v>
      </c>
      <c r="U119" s="126">
        <v>75</v>
      </c>
      <c r="V119" s="126">
        <v>0</v>
      </c>
      <c r="W119" s="126">
        <v>0</v>
      </c>
      <c r="X119" s="126">
        <v>0</v>
      </c>
      <c r="Y119" s="126">
        <v>0</v>
      </c>
      <c r="Z119" s="142">
        <v>0</v>
      </c>
      <c r="AA119" s="126">
        <v>0</v>
      </c>
      <c r="AB119" s="126">
        <v>0</v>
      </c>
      <c r="AC119" s="126">
        <v>0</v>
      </c>
      <c r="AD119" s="126">
        <v>0</v>
      </c>
      <c r="AE119" s="126">
        <v>9.1199999999999992</v>
      </c>
      <c r="AF119" s="126">
        <v>11.7</v>
      </c>
      <c r="AG119" t="s">
        <v>2931</v>
      </c>
    </row>
    <row r="120" spans="1:33" x14ac:dyDescent="0.3">
      <c r="A120">
        <v>188</v>
      </c>
      <c r="B120" t="s">
        <v>218</v>
      </c>
      <c r="C120" t="s">
        <v>199</v>
      </c>
      <c r="D120">
        <v>2317</v>
      </c>
      <c r="E120">
        <v>2548</v>
      </c>
      <c r="F120">
        <v>40</v>
      </c>
      <c r="G120">
        <v>2000</v>
      </c>
      <c r="H120">
        <v>0</v>
      </c>
      <c r="I120">
        <v>7.9</v>
      </c>
      <c r="J120" s="28">
        <v>8.0500000000000007</v>
      </c>
      <c r="K120" s="126">
        <v>0.27</v>
      </c>
      <c r="L120" s="126">
        <v>1.4</v>
      </c>
      <c r="M120" s="126">
        <v>0.1</v>
      </c>
      <c r="N120" s="126">
        <v>0</v>
      </c>
      <c r="O120" s="126">
        <v>0.6</v>
      </c>
      <c r="P120" s="126">
        <v>0.88500000000000001</v>
      </c>
      <c r="Q120" s="126">
        <v>0.85</v>
      </c>
      <c r="R120" s="126">
        <v>0</v>
      </c>
      <c r="S120" s="126">
        <v>0.25</v>
      </c>
      <c r="T120" s="126">
        <v>13</v>
      </c>
      <c r="U120" s="126">
        <v>25</v>
      </c>
      <c r="V120" s="126">
        <v>0</v>
      </c>
      <c r="W120" s="126">
        <v>0</v>
      </c>
      <c r="X120" s="126">
        <v>0</v>
      </c>
      <c r="Y120" s="126">
        <v>0</v>
      </c>
      <c r="Z120" s="142">
        <v>0</v>
      </c>
      <c r="AA120" s="126">
        <v>0</v>
      </c>
      <c r="AB120" s="126">
        <v>0</v>
      </c>
      <c r="AC120" s="126">
        <v>0</v>
      </c>
      <c r="AD120" s="126">
        <v>0</v>
      </c>
      <c r="AE120" s="126">
        <v>9.1199999999999992</v>
      </c>
      <c r="AF120" s="126">
        <v>15.6</v>
      </c>
      <c r="AG120" t="s">
        <v>2932</v>
      </c>
    </row>
    <row r="121" spans="1:33" x14ac:dyDescent="0.3">
      <c r="A121">
        <v>189</v>
      </c>
      <c r="B121" t="s">
        <v>2933</v>
      </c>
      <c r="C121" t="s">
        <v>199</v>
      </c>
      <c r="D121">
        <v>1065</v>
      </c>
      <c r="E121">
        <v>1172</v>
      </c>
      <c r="F121">
        <v>40</v>
      </c>
      <c r="G121">
        <v>2500</v>
      </c>
      <c r="H121">
        <v>0</v>
      </c>
      <c r="I121">
        <v>6.4</v>
      </c>
      <c r="J121" s="28">
        <v>8.0500000000000007</v>
      </c>
      <c r="K121" s="126">
        <v>0.27</v>
      </c>
      <c r="L121" s="126">
        <v>1.4</v>
      </c>
      <c r="M121" s="126">
        <v>0.1</v>
      </c>
      <c r="N121" s="126">
        <v>0</v>
      </c>
      <c r="O121" s="126">
        <v>0.6</v>
      </c>
      <c r="P121" s="126">
        <v>0.88500000000000001</v>
      </c>
      <c r="Q121" s="126">
        <v>0.85</v>
      </c>
      <c r="R121" s="126">
        <v>0</v>
      </c>
      <c r="S121" s="126">
        <v>0.25</v>
      </c>
      <c r="T121" s="126">
        <v>13</v>
      </c>
      <c r="U121" s="126">
        <v>25</v>
      </c>
      <c r="V121" s="126">
        <v>0</v>
      </c>
      <c r="W121" s="126">
        <v>0</v>
      </c>
      <c r="X121" s="126">
        <v>0</v>
      </c>
      <c r="Y121" s="126">
        <v>0</v>
      </c>
      <c r="Z121" s="142">
        <v>0</v>
      </c>
      <c r="AA121" s="126">
        <v>0</v>
      </c>
      <c r="AB121" s="126">
        <v>0</v>
      </c>
      <c r="AC121" s="126">
        <v>0</v>
      </c>
      <c r="AD121" s="126">
        <v>0</v>
      </c>
      <c r="AE121" s="126">
        <v>9.1199999999999992</v>
      </c>
      <c r="AF121" s="126">
        <v>15.6</v>
      </c>
      <c r="AG121" t="s">
        <v>2934</v>
      </c>
    </row>
    <row r="122" spans="1:33" x14ac:dyDescent="0.3">
      <c r="A122">
        <v>190</v>
      </c>
      <c r="B122" t="s">
        <v>219</v>
      </c>
      <c r="C122" t="s">
        <v>199</v>
      </c>
      <c r="D122">
        <v>4197</v>
      </c>
      <c r="E122">
        <v>4617</v>
      </c>
      <c r="F122">
        <v>100</v>
      </c>
      <c r="G122">
        <v>2000</v>
      </c>
      <c r="H122">
        <v>0</v>
      </c>
      <c r="I122">
        <v>4.9000000000000004</v>
      </c>
      <c r="J122" s="28">
        <v>8.0500000000000007</v>
      </c>
      <c r="K122" s="126">
        <v>0.27</v>
      </c>
      <c r="L122" s="126">
        <v>1.4</v>
      </c>
      <c r="M122" s="126">
        <v>0.1</v>
      </c>
      <c r="N122" s="126">
        <v>0</v>
      </c>
      <c r="O122" s="126">
        <v>0.6</v>
      </c>
      <c r="P122" s="126">
        <v>0.88500000000000001</v>
      </c>
      <c r="Q122" s="126">
        <v>0.85</v>
      </c>
      <c r="R122" s="126">
        <v>0</v>
      </c>
      <c r="S122" s="126">
        <v>0.35</v>
      </c>
      <c r="T122" s="126">
        <v>13</v>
      </c>
      <c r="U122" s="126">
        <v>25</v>
      </c>
      <c r="V122" s="126">
        <v>0</v>
      </c>
      <c r="W122" s="126">
        <v>0</v>
      </c>
      <c r="X122" s="126">
        <v>0</v>
      </c>
      <c r="Y122" s="126">
        <v>0</v>
      </c>
      <c r="Z122" s="142">
        <v>0</v>
      </c>
      <c r="AA122" s="126">
        <v>0</v>
      </c>
      <c r="AB122" s="126">
        <v>0</v>
      </c>
      <c r="AC122" s="126">
        <v>0</v>
      </c>
      <c r="AD122" s="126">
        <v>0</v>
      </c>
      <c r="AE122" s="126">
        <v>9.1199999999999992</v>
      </c>
      <c r="AF122" s="126">
        <v>15.6</v>
      </c>
      <c r="AG122" t="s">
        <v>2935</v>
      </c>
    </row>
    <row r="123" spans="1:33" x14ac:dyDescent="0.3">
      <c r="A123">
        <v>191</v>
      </c>
      <c r="B123" t="s">
        <v>2936</v>
      </c>
      <c r="C123" t="s">
        <v>199</v>
      </c>
      <c r="D123">
        <v>2859</v>
      </c>
      <c r="E123">
        <v>3145</v>
      </c>
      <c r="F123">
        <v>100</v>
      </c>
      <c r="G123">
        <v>2500</v>
      </c>
      <c r="H123">
        <v>0</v>
      </c>
      <c r="I123">
        <v>4.3</v>
      </c>
      <c r="J123" s="28">
        <v>8.0500000000000007</v>
      </c>
      <c r="K123" s="126">
        <v>0.27</v>
      </c>
      <c r="L123" s="126">
        <v>1.4</v>
      </c>
      <c r="M123" s="126">
        <v>0.1</v>
      </c>
      <c r="N123" s="126">
        <v>0</v>
      </c>
      <c r="O123" s="126">
        <v>0.6</v>
      </c>
      <c r="P123" s="126">
        <v>0.88500000000000001</v>
      </c>
      <c r="Q123" s="126">
        <v>0.85</v>
      </c>
      <c r="R123" s="126">
        <v>0</v>
      </c>
      <c r="S123" s="126">
        <v>0.35</v>
      </c>
      <c r="T123" s="126">
        <v>13</v>
      </c>
      <c r="U123" s="126">
        <v>25</v>
      </c>
      <c r="V123" s="126">
        <v>0</v>
      </c>
      <c r="W123" s="126">
        <v>0</v>
      </c>
      <c r="X123" s="126">
        <v>0</v>
      </c>
      <c r="Y123" s="126">
        <v>0</v>
      </c>
      <c r="Z123" s="142">
        <v>0</v>
      </c>
      <c r="AA123" s="126">
        <v>0</v>
      </c>
      <c r="AB123" s="126">
        <v>0</v>
      </c>
      <c r="AC123" s="126">
        <v>0</v>
      </c>
      <c r="AD123" s="126">
        <v>0</v>
      </c>
      <c r="AE123" s="126">
        <v>9.1199999999999992</v>
      </c>
      <c r="AF123" s="126">
        <v>15.6</v>
      </c>
      <c r="AG123" t="s">
        <v>2937</v>
      </c>
    </row>
    <row r="124" spans="1:33" x14ac:dyDescent="0.3">
      <c r="A124">
        <v>192</v>
      </c>
      <c r="B124" t="s">
        <v>2938</v>
      </c>
      <c r="C124" t="s">
        <v>199</v>
      </c>
      <c r="D124">
        <v>9916</v>
      </c>
      <c r="E124">
        <v>10908</v>
      </c>
      <c r="F124">
        <v>40</v>
      </c>
      <c r="G124">
        <v>2000</v>
      </c>
      <c r="H124">
        <v>0</v>
      </c>
      <c r="I124">
        <v>4.3</v>
      </c>
      <c r="J124" s="28">
        <v>6.44</v>
      </c>
      <c r="K124" s="126">
        <v>0.27</v>
      </c>
      <c r="L124" s="126">
        <v>1.4</v>
      </c>
      <c r="M124" s="126">
        <v>0.1</v>
      </c>
      <c r="N124" s="126">
        <v>0</v>
      </c>
      <c r="O124" s="126">
        <v>0.6</v>
      </c>
      <c r="P124" s="126">
        <v>0.88500000000000001</v>
      </c>
      <c r="Q124" s="126">
        <v>0.8</v>
      </c>
      <c r="R124" s="126">
        <v>0</v>
      </c>
      <c r="S124" s="126">
        <v>0</v>
      </c>
      <c r="T124" s="126">
        <v>0</v>
      </c>
      <c r="U124" s="126">
        <v>75</v>
      </c>
      <c r="V124" s="126">
        <v>0</v>
      </c>
      <c r="W124" s="126">
        <v>0</v>
      </c>
      <c r="X124" s="126">
        <v>0</v>
      </c>
      <c r="Y124" s="126">
        <v>0</v>
      </c>
      <c r="Z124" s="142">
        <v>0</v>
      </c>
      <c r="AA124" s="126">
        <v>0</v>
      </c>
      <c r="AB124" s="126">
        <v>0</v>
      </c>
      <c r="AC124" s="126">
        <v>0</v>
      </c>
      <c r="AD124" s="126">
        <v>0</v>
      </c>
      <c r="AE124" s="126">
        <v>0</v>
      </c>
      <c r="AF124" s="126">
        <v>23.4</v>
      </c>
      <c r="AG124" t="s">
        <v>2939</v>
      </c>
    </row>
    <row r="125" spans="1:33" x14ac:dyDescent="0.3">
      <c r="A125">
        <v>193</v>
      </c>
      <c r="B125" t="s">
        <v>2940</v>
      </c>
      <c r="C125" t="s">
        <v>199</v>
      </c>
      <c r="D125">
        <v>775</v>
      </c>
      <c r="E125">
        <v>853</v>
      </c>
      <c r="F125">
        <v>200</v>
      </c>
      <c r="G125">
        <v>2000</v>
      </c>
      <c r="H125">
        <v>0</v>
      </c>
      <c r="I125">
        <v>1.5</v>
      </c>
      <c r="J125" s="28">
        <v>5.15</v>
      </c>
      <c r="K125" s="126">
        <v>0.17</v>
      </c>
      <c r="L125" s="126">
        <v>2.2000000000000002</v>
      </c>
      <c r="M125" s="126">
        <v>0</v>
      </c>
      <c r="N125" s="126">
        <v>0</v>
      </c>
      <c r="O125" s="126">
        <v>0.6</v>
      </c>
      <c r="P125" s="126">
        <v>0.88500000000000001</v>
      </c>
      <c r="Q125" s="126">
        <v>0.75</v>
      </c>
      <c r="R125" s="126">
        <v>0</v>
      </c>
      <c r="S125" s="126">
        <v>0.25</v>
      </c>
      <c r="T125" s="126">
        <v>15</v>
      </c>
      <c r="U125" s="126">
        <v>0</v>
      </c>
      <c r="V125" s="126">
        <v>0</v>
      </c>
      <c r="W125" s="126">
        <v>0</v>
      </c>
      <c r="X125" s="126">
        <v>0</v>
      </c>
      <c r="Y125" s="126">
        <v>0</v>
      </c>
      <c r="Z125" s="142">
        <v>9</v>
      </c>
      <c r="AA125" s="126">
        <v>0</v>
      </c>
      <c r="AB125" s="126">
        <v>0</v>
      </c>
      <c r="AC125" s="126">
        <v>0</v>
      </c>
      <c r="AD125" s="126">
        <v>0</v>
      </c>
      <c r="AE125" s="126">
        <v>5</v>
      </c>
      <c r="AF125" s="126">
        <v>31.2</v>
      </c>
      <c r="AG125" t="s">
        <v>2941</v>
      </c>
    </row>
    <row r="126" spans="1:33" x14ac:dyDescent="0.3">
      <c r="A126">
        <v>194</v>
      </c>
      <c r="B126" t="s">
        <v>2942</v>
      </c>
      <c r="C126" t="s">
        <v>199</v>
      </c>
      <c r="D126">
        <v>1163</v>
      </c>
      <c r="E126">
        <v>1279</v>
      </c>
      <c r="F126">
        <v>200</v>
      </c>
      <c r="G126">
        <v>2000</v>
      </c>
      <c r="H126">
        <v>0</v>
      </c>
      <c r="I126">
        <v>1.5</v>
      </c>
      <c r="J126" s="28">
        <v>4.83</v>
      </c>
      <c r="K126" s="126">
        <v>0.17</v>
      </c>
      <c r="L126" s="126">
        <v>2.2000000000000002</v>
      </c>
      <c r="M126" s="126">
        <v>0</v>
      </c>
      <c r="N126" s="126">
        <v>0</v>
      </c>
      <c r="O126" s="126">
        <v>0.6</v>
      </c>
      <c r="P126" s="126">
        <v>0.88500000000000001</v>
      </c>
      <c r="Q126" s="126">
        <v>0.8</v>
      </c>
      <c r="R126" s="126">
        <v>0</v>
      </c>
      <c r="S126" s="126">
        <v>0</v>
      </c>
      <c r="T126" s="126">
        <v>0</v>
      </c>
      <c r="U126" s="126">
        <v>0</v>
      </c>
      <c r="V126" s="126">
        <v>0</v>
      </c>
      <c r="W126" s="126">
        <v>0</v>
      </c>
      <c r="X126" s="126">
        <v>0</v>
      </c>
      <c r="Y126" s="126">
        <v>0</v>
      </c>
      <c r="Z126" s="142">
        <v>0</v>
      </c>
      <c r="AA126" s="126">
        <v>0</v>
      </c>
      <c r="AB126" s="126">
        <v>0</v>
      </c>
      <c r="AC126" s="126">
        <v>0</v>
      </c>
      <c r="AD126" s="126">
        <v>0</v>
      </c>
      <c r="AE126" s="126">
        <v>7.024</v>
      </c>
      <c r="AF126" s="126">
        <v>6.3380000000000001</v>
      </c>
      <c r="AG126" t="s">
        <v>2943</v>
      </c>
    </row>
    <row r="127" spans="1:33" x14ac:dyDescent="0.3">
      <c r="A127">
        <v>195</v>
      </c>
      <c r="B127" t="s">
        <v>2944</v>
      </c>
      <c r="C127" t="s">
        <v>199</v>
      </c>
      <c r="D127">
        <v>291</v>
      </c>
      <c r="E127">
        <v>320</v>
      </c>
      <c r="F127">
        <v>200</v>
      </c>
      <c r="G127">
        <v>2000</v>
      </c>
      <c r="H127">
        <v>0</v>
      </c>
      <c r="I127">
        <v>1.2</v>
      </c>
      <c r="J127" s="28">
        <v>3.22</v>
      </c>
      <c r="K127" s="126">
        <v>0.17</v>
      </c>
      <c r="L127" s="126">
        <v>2.2000000000000002</v>
      </c>
      <c r="M127" s="126">
        <v>0</v>
      </c>
      <c r="N127" s="126">
        <v>0</v>
      </c>
      <c r="O127" s="126">
        <v>0.6</v>
      </c>
      <c r="P127" s="126">
        <v>0.88500000000000001</v>
      </c>
      <c r="Q127" s="126">
        <v>0.7</v>
      </c>
      <c r="R127" s="126">
        <v>0</v>
      </c>
      <c r="S127" s="126">
        <v>0</v>
      </c>
      <c r="T127" s="126">
        <v>0</v>
      </c>
      <c r="U127" s="126">
        <v>50</v>
      </c>
      <c r="V127" s="126">
        <v>0</v>
      </c>
      <c r="W127" s="126">
        <v>0</v>
      </c>
      <c r="X127" s="126">
        <v>0</v>
      </c>
      <c r="Y127" s="126">
        <v>0</v>
      </c>
      <c r="Z127" s="142">
        <v>0</v>
      </c>
      <c r="AA127" s="126">
        <v>0</v>
      </c>
      <c r="AB127" s="126">
        <v>0</v>
      </c>
      <c r="AC127" s="126">
        <v>0</v>
      </c>
      <c r="AD127" s="126">
        <v>0</v>
      </c>
      <c r="AE127" s="126">
        <v>3.3759999999999999</v>
      </c>
      <c r="AF127" s="126">
        <v>45.5</v>
      </c>
      <c r="AG127" t="s">
        <v>2945</v>
      </c>
    </row>
    <row r="128" spans="1:33" x14ac:dyDescent="0.3">
      <c r="A128">
        <v>196</v>
      </c>
      <c r="B128" t="s">
        <v>220</v>
      </c>
      <c r="C128" t="s">
        <v>199</v>
      </c>
      <c r="D128">
        <v>3970</v>
      </c>
      <c r="E128">
        <v>4367</v>
      </c>
      <c r="F128">
        <v>40</v>
      </c>
      <c r="G128">
        <v>2000</v>
      </c>
      <c r="H128">
        <v>0</v>
      </c>
      <c r="I128">
        <v>4.3</v>
      </c>
      <c r="J128" s="28">
        <v>11.26</v>
      </c>
      <c r="K128" s="126">
        <v>0.23</v>
      </c>
      <c r="L128" s="126">
        <v>1.4</v>
      </c>
      <c r="M128" s="126">
        <v>0.1</v>
      </c>
      <c r="N128" s="126">
        <v>0</v>
      </c>
      <c r="O128" s="126">
        <v>0.6</v>
      </c>
      <c r="P128" s="126">
        <v>0.88500000000000001</v>
      </c>
      <c r="Q128" s="126">
        <v>0.8</v>
      </c>
      <c r="R128" s="126">
        <v>0</v>
      </c>
      <c r="S128" s="126">
        <v>0.1</v>
      </c>
      <c r="T128" s="126">
        <v>13</v>
      </c>
      <c r="U128" s="126">
        <v>5</v>
      </c>
      <c r="V128" s="126">
        <v>0</v>
      </c>
      <c r="W128" s="126">
        <v>0</v>
      </c>
      <c r="X128" s="126">
        <v>0</v>
      </c>
      <c r="Y128" s="126">
        <v>0</v>
      </c>
      <c r="Z128" s="142">
        <v>0</v>
      </c>
      <c r="AA128" s="126">
        <v>0</v>
      </c>
      <c r="AB128" s="126">
        <v>0</v>
      </c>
      <c r="AC128" s="126">
        <v>0</v>
      </c>
      <c r="AD128" s="126">
        <v>0</v>
      </c>
      <c r="AE128" s="126">
        <v>3</v>
      </c>
      <c r="AF128" s="126">
        <v>16</v>
      </c>
      <c r="AG128" t="s">
        <v>1844</v>
      </c>
    </row>
    <row r="129" spans="1:33" x14ac:dyDescent="0.3">
      <c r="A129">
        <v>197</v>
      </c>
      <c r="B129" t="s">
        <v>2946</v>
      </c>
      <c r="C129" t="s">
        <v>199</v>
      </c>
      <c r="D129">
        <v>6920</v>
      </c>
      <c r="E129">
        <v>7612</v>
      </c>
      <c r="F129">
        <v>100</v>
      </c>
      <c r="G129">
        <v>2000</v>
      </c>
      <c r="H129">
        <v>0</v>
      </c>
      <c r="I129">
        <v>2.1</v>
      </c>
      <c r="J129" s="28">
        <v>7.24</v>
      </c>
      <c r="K129" s="126">
        <v>0.44</v>
      </c>
      <c r="L129" s="126">
        <v>2</v>
      </c>
      <c r="M129" s="126">
        <v>0.1</v>
      </c>
      <c r="N129" s="126">
        <v>0</v>
      </c>
      <c r="O129" s="126">
        <v>0.6</v>
      </c>
      <c r="P129" s="126">
        <v>0.88500000000000001</v>
      </c>
      <c r="Q129" s="126">
        <v>0.8</v>
      </c>
      <c r="R129" s="126">
        <v>0</v>
      </c>
      <c r="S129" s="126">
        <v>0</v>
      </c>
      <c r="T129" s="126">
        <v>0</v>
      </c>
      <c r="U129" s="126">
        <v>-50</v>
      </c>
      <c r="V129" s="126">
        <v>0</v>
      </c>
      <c r="W129" s="126">
        <v>0</v>
      </c>
      <c r="X129" s="126">
        <v>0</v>
      </c>
      <c r="Y129" s="126">
        <v>0</v>
      </c>
      <c r="Z129" s="142">
        <v>0</v>
      </c>
      <c r="AA129" s="126">
        <v>0</v>
      </c>
      <c r="AB129" s="126">
        <v>0</v>
      </c>
      <c r="AC129" s="126">
        <v>0</v>
      </c>
      <c r="AD129" s="126">
        <v>0</v>
      </c>
      <c r="AE129" s="126">
        <v>0</v>
      </c>
      <c r="AF129" s="126">
        <v>0.15</v>
      </c>
      <c r="AG129" t="s">
        <v>2947</v>
      </c>
    </row>
    <row r="130" spans="1:33" x14ac:dyDescent="0.3">
      <c r="A130">
        <v>198</v>
      </c>
      <c r="B130" t="s">
        <v>2948</v>
      </c>
      <c r="C130" t="s">
        <v>199</v>
      </c>
      <c r="D130">
        <v>7909</v>
      </c>
      <c r="E130">
        <v>8700</v>
      </c>
      <c r="F130">
        <v>40</v>
      </c>
      <c r="G130">
        <v>2000</v>
      </c>
      <c r="H130">
        <v>0</v>
      </c>
      <c r="I130">
        <v>4.3</v>
      </c>
      <c r="J130" s="28">
        <v>6.44</v>
      </c>
      <c r="K130" s="126">
        <v>0.44</v>
      </c>
      <c r="L130" s="126">
        <v>2</v>
      </c>
      <c r="M130" s="126">
        <v>0.1</v>
      </c>
      <c r="N130" s="126">
        <v>0</v>
      </c>
      <c r="O130" s="126">
        <v>0.6</v>
      </c>
      <c r="P130" s="126">
        <v>0.88500000000000001</v>
      </c>
      <c r="Q130" s="126">
        <v>0.8</v>
      </c>
      <c r="R130" s="126">
        <v>0</v>
      </c>
      <c r="S130" s="126">
        <v>0.8</v>
      </c>
      <c r="T130" s="126">
        <v>13</v>
      </c>
      <c r="U130" s="126">
        <v>5</v>
      </c>
      <c r="V130" s="126">
        <v>0</v>
      </c>
      <c r="W130" s="126">
        <v>0</v>
      </c>
      <c r="X130" s="126">
        <v>0</v>
      </c>
      <c r="Y130" s="126">
        <v>0</v>
      </c>
      <c r="Z130" s="142">
        <v>0</v>
      </c>
      <c r="AA130" s="126">
        <v>0</v>
      </c>
      <c r="AB130" s="126">
        <v>0</v>
      </c>
      <c r="AC130" s="126">
        <v>0</v>
      </c>
      <c r="AD130" s="126">
        <v>0</v>
      </c>
      <c r="AE130" s="126">
        <v>0</v>
      </c>
      <c r="AF130" s="126">
        <v>16.574999999999999</v>
      </c>
      <c r="AG130" t="s">
        <v>2948</v>
      </c>
    </row>
    <row r="131" spans="1:33" x14ac:dyDescent="0.3">
      <c r="A131">
        <v>199</v>
      </c>
      <c r="B131" t="s">
        <v>221</v>
      </c>
      <c r="C131" t="s">
        <v>199</v>
      </c>
      <c r="D131">
        <v>14406</v>
      </c>
      <c r="E131">
        <v>15846</v>
      </c>
      <c r="F131">
        <v>100</v>
      </c>
      <c r="G131">
        <v>2500</v>
      </c>
      <c r="H131">
        <v>0</v>
      </c>
      <c r="I131">
        <v>4.3</v>
      </c>
      <c r="J131" s="28">
        <v>6.44</v>
      </c>
      <c r="K131" s="126">
        <v>0.36</v>
      </c>
      <c r="L131" s="126">
        <v>2</v>
      </c>
      <c r="M131" s="126">
        <v>0.1</v>
      </c>
      <c r="N131" s="126">
        <v>0</v>
      </c>
      <c r="O131" s="126">
        <v>0.6</v>
      </c>
      <c r="P131" s="126">
        <v>0.88500000000000001</v>
      </c>
      <c r="Q131" s="126">
        <v>0.8</v>
      </c>
      <c r="R131" s="126">
        <v>0</v>
      </c>
      <c r="S131" s="126">
        <v>0.8</v>
      </c>
      <c r="T131" s="126">
        <v>13</v>
      </c>
      <c r="U131" s="126">
        <v>5</v>
      </c>
      <c r="V131" s="126">
        <v>0</v>
      </c>
      <c r="W131" s="126">
        <v>0</v>
      </c>
      <c r="X131" s="126">
        <v>0</v>
      </c>
      <c r="Y131" s="126">
        <v>0</v>
      </c>
      <c r="Z131" s="142">
        <v>0</v>
      </c>
      <c r="AA131" s="126">
        <v>0</v>
      </c>
      <c r="AB131" s="126">
        <v>0</v>
      </c>
      <c r="AC131" s="126">
        <v>0</v>
      </c>
      <c r="AD131" s="126">
        <v>0</v>
      </c>
      <c r="AE131" s="126">
        <v>9.5779999999999994</v>
      </c>
      <c r="AF131" s="126">
        <v>20.8</v>
      </c>
      <c r="AG131" t="s">
        <v>1845</v>
      </c>
    </row>
    <row r="132" spans="1:33" x14ac:dyDescent="0.3">
      <c r="A132">
        <v>200</v>
      </c>
      <c r="B132" t="s">
        <v>2949</v>
      </c>
      <c r="C132" t="s">
        <v>199</v>
      </c>
      <c r="D132">
        <v>7062</v>
      </c>
      <c r="E132">
        <v>7768</v>
      </c>
      <c r="F132">
        <v>100</v>
      </c>
      <c r="G132">
        <v>2000</v>
      </c>
      <c r="H132">
        <v>0</v>
      </c>
      <c r="I132">
        <v>4.3</v>
      </c>
      <c r="J132" s="28">
        <v>7.24</v>
      </c>
      <c r="K132" s="126">
        <v>0.36</v>
      </c>
      <c r="L132" s="126">
        <v>2</v>
      </c>
      <c r="M132" s="126">
        <v>0.1</v>
      </c>
      <c r="N132" s="126">
        <v>0</v>
      </c>
      <c r="O132" s="126">
        <v>0.6</v>
      </c>
      <c r="P132" s="126">
        <v>0.88500000000000001</v>
      </c>
      <c r="Q132" s="126">
        <v>0.8</v>
      </c>
      <c r="R132" s="126">
        <v>0</v>
      </c>
      <c r="S132" s="126">
        <v>0.8</v>
      </c>
      <c r="T132" s="126">
        <v>25</v>
      </c>
      <c r="U132" s="126">
        <v>100</v>
      </c>
      <c r="V132" s="126">
        <v>150</v>
      </c>
      <c r="W132" s="126">
        <v>1</v>
      </c>
      <c r="X132" s="126">
        <v>0</v>
      </c>
      <c r="Y132" s="126">
        <v>0</v>
      </c>
      <c r="Z132" s="142">
        <v>0</v>
      </c>
      <c r="AA132" s="126">
        <v>0</v>
      </c>
      <c r="AB132" s="126">
        <v>0</v>
      </c>
      <c r="AC132" s="126">
        <v>0</v>
      </c>
      <c r="AD132" s="126">
        <v>0</v>
      </c>
      <c r="AE132" s="126">
        <v>0</v>
      </c>
      <c r="AF132" s="126">
        <v>26</v>
      </c>
      <c r="AG132" t="s">
        <v>2950</v>
      </c>
    </row>
    <row r="133" spans="1:33" x14ac:dyDescent="0.3">
      <c r="A133">
        <v>201</v>
      </c>
      <c r="B133" t="s">
        <v>2951</v>
      </c>
      <c r="C133" t="s">
        <v>199</v>
      </c>
      <c r="D133">
        <v>1854</v>
      </c>
      <c r="E133">
        <v>2039</v>
      </c>
      <c r="F133">
        <v>200</v>
      </c>
      <c r="G133">
        <v>2500</v>
      </c>
      <c r="H133">
        <v>0</v>
      </c>
      <c r="I133">
        <v>3</v>
      </c>
      <c r="J133" s="28">
        <v>4.0199999999999996</v>
      </c>
      <c r="K133" s="126">
        <v>0.36</v>
      </c>
      <c r="L133" s="126">
        <v>2</v>
      </c>
      <c r="M133" s="126">
        <v>0.1</v>
      </c>
      <c r="N133" s="126">
        <v>0</v>
      </c>
      <c r="O133" s="126">
        <v>0.6</v>
      </c>
      <c r="P133" s="126">
        <v>0.88500000000000001</v>
      </c>
      <c r="Q133" s="126">
        <v>0.8</v>
      </c>
      <c r="R133" s="126">
        <v>0</v>
      </c>
      <c r="S133" s="126">
        <v>0.7</v>
      </c>
      <c r="T133" s="126">
        <v>25</v>
      </c>
      <c r="U133" s="126">
        <v>100</v>
      </c>
      <c r="V133" s="126">
        <v>150</v>
      </c>
      <c r="W133" s="126">
        <v>1</v>
      </c>
      <c r="X133" s="126">
        <v>0</v>
      </c>
      <c r="Y133" s="126">
        <v>0</v>
      </c>
      <c r="Z133" s="142">
        <v>0</v>
      </c>
      <c r="AA133" s="126">
        <v>0</v>
      </c>
      <c r="AB133" s="126">
        <v>0</v>
      </c>
      <c r="AC133" s="126">
        <v>0</v>
      </c>
      <c r="AD133" s="126">
        <v>0</v>
      </c>
      <c r="AE133" s="126">
        <v>0</v>
      </c>
      <c r="AF133" s="126">
        <v>4.875</v>
      </c>
      <c r="AG133" t="s">
        <v>2951</v>
      </c>
    </row>
    <row r="134" spans="1:33" x14ac:dyDescent="0.3">
      <c r="A134">
        <v>202</v>
      </c>
      <c r="B134" t="s">
        <v>2952</v>
      </c>
      <c r="C134" t="s">
        <v>199</v>
      </c>
      <c r="D134">
        <v>5170</v>
      </c>
      <c r="E134">
        <v>5687</v>
      </c>
      <c r="F134">
        <v>100</v>
      </c>
      <c r="G134">
        <v>1500</v>
      </c>
      <c r="H134">
        <v>0</v>
      </c>
      <c r="I134">
        <v>3</v>
      </c>
      <c r="J134" s="28">
        <v>4.0199999999999996</v>
      </c>
      <c r="K134" s="126">
        <v>0.28000000000000003</v>
      </c>
      <c r="L134" s="126">
        <v>1.4</v>
      </c>
      <c r="M134" s="126">
        <v>0.1</v>
      </c>
      <c r="N134" s="126">
        <v>0</v>
      </c>
      <c r="O134" s="126">
        <v>0.6</v>
      </c>
      <c r="P134" s="126">
        <v>0.88500000000000001</v>
      </c>
      <c r="Q134" s="126">
        <v>0.7</v>
      </c>
      <c r="R134" s="126">
        <v>0</v>
      </c>
      <c r="S134" s="126">
        <v>0.25</v>
      </c>
      <c r="T134" s="126">
        <v>15</v>
      </c>
      <c r="U134" s="126">
        <v>350</v>
      </c>
      <c r="V134" s="126">
        <v>0</v>
      </c>
      <c r="W134" s="126">
        <v>0</v>
      </c>
      <c r="X134" s="126">
        <v>0</v>
      </c>
      <c r="Y134" s="126">
        <v>0</v>
      </c>
      <c r="Z134" s="142">
        <v>0</v>
      </c>
      <c r="AA134" s="126">
        <v>0</v>
      </c>
      <c r="AB134" s="126">
        <v>0</v>
      </c>
      <c r="AC134" s="126">
        <v>0</v>
      </c>
      <c r="AD134" s="126">
        <v>0</v>
      </c>
      <c r="AE134" s="126">
        <v>0</v>
      </c>
      <c r="AF134" s="126">
        <v>26</v>
      </c>
      <c r="AG134" t="s">
        <v>2953</v>
      </c>
    </row>
    <row r="135" spans="1:33" x14ac:dyDescent="0.3">
      <c r="A135">
        <v>203</v>
      </c>
      <c r="B135" t="s">
        <v>2954</v>
      </c>
      <c r="C135" t="s">
        <v>199</v>
      </c>
      <c r="D135">
        <v>291</v>
      </c>
      <c r="E135">
        <v>320</v>
      </c>
      <c r="F135">
        <v>200</v>
      </c>
      <c r="G135">
        <v>2000</v>
      </c>
      <c r="H135">
        <v>0</v>
      </c>
      <c r="I135">
        <v>0.9</v>
      </c>
      <c r="J135" s="28">
        <v>4.0199999999999996</v>
      </c>
      <c r="K135" s="126">
        <v>0.28999999999999998</v>
      </c>
      <c r="L135" s="126">
        <v>1.8</v>
      </c>
      <c r="M135" s="126">
        <v>0</v>
      </c>
      <c r="N135" s="126">
        <v>0</v>
      </c>
      <c r="O135" s="126">
        <v>0.6</v>
      </c>
      <c r="P135" s="126">
        <v>0.88500000000000001</v>
      </c>
      <c r="Q135" s="126">
        <v>0.7</v>
      </c>
      <c r="R135" s="126">
        <v>0</v>
      </c>
      <c r="S135" s="126">
        <v>0.8</v>
      </c>
      <c r="T135" s="126">
        <v>25</v>
      </c>
      <c r="U135" s="126">
        <v>100</v>
      </c>
      <c r="V135" s="126">
        <v>0</v>
      </c>
      <c r="W135" s="126">
        <v>0</v>
      </c>
      <c r="X135" s="126">
        <v>0</v>
      </c>
      <c r="Y135" s="126">
        <v>0</v>
      </c>
      <c r="Z135" s="142">
        <v>0</v>
      </c>
      <c r="AA135" s="126">
        <v>0</v>
      </c>
      <c r="AB135" s="126">
        <v>0</v>
      </c>
      <c r="AC135" s="126">
        <v>0</v>
      </c>
      <c r="AD135" s="126">
        <v>0</v>
      </c>
      <c r="AE135" s="126">
        <v>0</v>
      </c>
      <c r="AF135" s="126">
        <v>4.875</v>
      </c>
      <c r="AG135" t="s">
        <v>2955</v>
      </c>
    </row>
    <row r="136" spans="1:33" x14ac:dyDescent="0.3">
      <c r="A136">
        <v>204</v>
      </c>
      <c r="B136" t="s">
        <v>2956</v>
      </c>
      <c r="C136" t="s">
        <v>199</v>
      </c>
      <c r="D136">
        <v>6017</v>
      </c>
      <c r="E136">
        <v>6619</v>
      </c>
      <c r="F136">
        <v>100</v>
      </c>
      <c r="G136">
        <v>2500</v>
      </c>
      <c r="H136">
        <v>0</v>
      </c>
      <c r="I136">
        <v>4.3</v>
      </c>
      <c r="J136" s="28">
        <v>8.0500000000000007</v>
      </c>
      <c r="K136" s="126">
        <v>0.27</v>
      </c>
      <c r="L136" s="126">
        <v>1.4</v>
      </c>
      <c r="M136" s="126">
        <v>0.1</v>
      </c>
      <c r="N136" s="126">
        <v>0</v>
      </c>
      <c r="O136" s="126">
        <v>0.6</v>
      </c>
      <c r="P136" s="126">
        <v>0.88500000000000001</v>
      </c>
      <c r="Q136" s="126">
        <v>0.8</v>
      </c>
      <c r="R136" s="126">
        <v>0</v>
      </c>
      <c r="S136" s="126">
        <v>0.3</v>
      </c>
      <c r="T136" s="126">
        <v>10</v>
      </c>
      <c r="U136" s="126">
        <v>25</v>
      </c>
      <c r="V136" s="126">
        <v>0</v>
      </c>
      <c r="W136" s="126">
        <v>0</v>
      </c>
      <c r="X136" s="126">
        <v>0</v>
      </c>
      <c r="Y136" s="126">
        <v>0</v>
      </c>
      <c r="Z136" s="142">
        <v>0</v>
      </c>
      <c r="AA136" s="126">
        <v>0</v>
      </c>
      <c r="AB136" s="126">
        <v>0</v>
      </c>
      <c r="AC136" s="126">
        <v>0</v>
      </c>
      <c r="AD136" s="126">
        <v>0</v>
      </c>
      <c r="AE136" s="126">
        <v>9.7279999999999998</v>
      </c>
      <c r="AF136" s="126">
        <v>17.062999999999999</v>
      </c>
      <c r="AG136" t="s">
        <v>2957</v>
      </c>
    </row>
    <row r="137" spans="1:33" x14ac:dyDescent="0.3">
      <c r="A137">
        <v>205</v>
      </c>
      <c r="B137" t="s">
        <v>2958</v>
      </c>
      <c r="C137" t="s">
        <v>199</v>
      </c>
      <c r="D137">
        <v>929</v>
      </c>
      <c r="E137">
        <v>1022</v>
      </c>
      <c r="F137">
        <v>50</v>
      </c>
      <c r="G137">
        <v>1200</v>
      </c>
      <c r="H137">
        <v>0</v>
      </c>
      <c r="I137">
        <v>2.1</v>
      </c>
      <c r="J137" s="28">
        <v>1.61</v>
      </c>
      <c r="K137" s="126">
        <v>0.23</v>
      </c>
      <c r="L137" s="126">
        <v>1.4</v>
      </c>
      <c r="M137" s="126">
        <v>0.1</v>
      </c>
      <c r="N137" s="126">
        <v>0</v>
      </c>
      <c r="O137" s="126">
        <v>0.6</v>
      </c>
      <c r="P137" s="126">
        <v>0.88500000000000001</v>
      </c>
      <c r="Q137" s="126">
        <v>0.8</v>
      </c>
      <c r="R137" s="126">
        <v>0</v>
      </c>
      <c r="S137" s="126">
        <v>0.35</v>
      </c>
      <c r="T137" s="126">
        <v>13</v>
      </c>
      <c r="U137" s="126">
        <v>5</v>
      </c>
      <c r="V137" s="126">
        <v>0</v>
      </c>
      <c r="W137" s="126">
        <v>0</v>
      </c>
      <c r="X137" s="126">
        <v>0</v>
      </c>
      <c r="Y137" s="126">
        <v>0</v>
      </c>
      <c r="Z137" s="142">
        <v>0</v>
      </c>
      <c r="AA137" s="126">
        <v>0</v>
      </c>
      <c r="AB137" s="126">
        <v>0</v>
      </c>
      <c r="AC137" s="126">
        <v>0</v>
      </c>
      <c r="AD137" s="126">
        <v>0.01</v>
      </c>
      <c r="AE137" s="126">
        <v>0</v>
      </c>
      <c r="AF137" s="126">
        <v>12.48</v>
      </c>
      <c r="AG137" t="s">
        <v>2959</v>
      </c>
    </row>
    <row r="138" spans="1:33" x14ac:dyDescent="0.3">
      <c r="A138">
        <v>206</v>
      </c>
      <c r="B138" t="s">
        <v>2960</v>
      </c>
      <c r="C138" t="s">
        <v>199</v>
      </c>
      <c r="D138">
        <v>14659</v>
      </c>
      <c r="E138">
        <v>16125</v>
      </c>
      <c r="F138">
        <v>100</v>
      </c>
      <c r="G138">
        <v>2000</v>
      </c>
      <c r="H138">
        <v>0</v>
      </c>
      <c r="I138">
        <v>4.3</v>
      </c>
      <c r="J138" s="28">
        <v>9.65</v>
      </c>
      <c r="K138" s="126">
        <v>0.23</v>
      </c>
      <c r="L138" s="126">
        <v>1.4</v>
      </c>
      <c r="M138" s="126">
        <v>0.1</v>
      </c>
      <c r="N138" s="126">
        <v>0</v>
      </c>
      <c r="O138" s="126">
        <v>0.6</v>
      </c>
      <c r="P138" s="126">
        <v>0.88500000000000001</v>
      </c>
      <c r="Q138" s="126">
        <v>0.85</v>
      </c>
      <c r="R138" s="126">
        <v>0</v>
      </c>
      <c r="S138" s="126">
        <v>0.3</v>
      </c>
      <c r="T138" s="126">
        <v>10</v>
      </c>
      <c r="U138" s="126">
        <v>25</v>
      </c>
      <c r="V138" s="126">
        <v>0</v>
      </c>
      <c r="W138" s="126">
        <v>0</v>
      </c>
      <c r="X138" s="126">
        <v>0</v>
      </c>
      <c r="Y138" s="126">
        <v>0</v>
      </c>
      <c r="Z138" s="142">
        <v>0</v>
      </c>
      <c r="AA138" s="126">
        <v>0</v>
      </c>
      <c r="AB138" s="126">
        <v>0</v>
      </c>
      <c r="AC138" s="126">
        <v>0</v>
      </c>
      <c r="AD138" s="126">
        <v>0</v>
      </c>
      <c r="AE138" s="126">
        <v>0</v>
      </c>
      <c r="AF138" s="126">
        <v>17.062999999999999</v>
      </c>
      <c r="AG138" t="s">
        <v>2961</v>
      </c>
    </row>
    <row r="139" spans="1:33" x14ac:dyDescent="0.3">
      <c r="A139">
        <v>207</v>
      </c>
      <c r="B139" t="s">
        <v>222</v>
      </c>
      <c r="C139" t="s">
        <v>199</v>
      </c>
      <c r="D139">
        <v>16155</v>
      </c>
      <c r="E139">
        <v>17770</v>
      </c>
      <c r="F139">
        <v>100</v>
      </c>
      <c r="G139">
        <v>1500</v>
      </c>
      <c r="H139">
        <v>0</v>
      </c>
      <c r="I139">
        <v>3</v>
      </c>
      <c r="J139" s="28">
        <v>3.2</v>
      </c>
      <c r="K139" s="126">
        <v>0.28000000000000003</v>
      </c>
      <c r="L139" s="126">
        <v>1.4</v>
      </c>
      <c r="M139" s="126">
        <v>0</v>
      </c>
      <c r="N139" s="126">
        <v>0</v>
      </c>
      <c r="O139" s="126">
        <v>0.8</v>
      </c>
      <c r="P139" s="126">
        <v>0.96</v>
      </c>
      <c r="Q139" s="126">
        <v>0.65</v>
      </c>
      <c r="R139" s="126">
        <v>0</v>
      </c>
      <c r="S139" s="126">
        <v>0.5</v>
      </c>
      <c r="T139" s="126">
        <v>20</v>
      </c>
      <c r="U139" s="126">
        <v>150</v>
      </c>
      <c r="V139" s="126">
        <v>0</v>
      </c>
      <c r="W139" s="126">
        <v>0</v>
      </c>
      <c r="X139" s="126">
        <v>0</v>
      </c>
      <c r="Y139" s="126">
        <v>0</v>
      </c>
      <c r="Z139" s="142">
        <v>2</v>
      </c>
      <c r="AA139" s="126">
        <v>0.95</v>
      </c>
      <c r="AB139" s="126">
        <v>0.5</v>
      </c>
      <c r="AC139" s="126">
        <v>0</v>
      </c>
      <c r="AD139" s="126">
        <v>0</v>
      </c>
      <c r="AE139" s="126">
        <v>6.47</v>
      </c>
      <c r="AF139" s="126">
        <v>27.3</v>
      </c>
      <c r="AG139" t="s">
        <v>1881</v>
      </c>
    </row>
    <row r="140" spans="1:33" x14ac:dyDescent="0.3">
      <c r="A140">
        <v>208</v>
      </c>
      <c r="B140" t="s">
        <v>2962</v>
      </c>
      <c r="C140" t="s">
        <v>199</v>
      </c>
      <c r="D140">
        <v>13791</v>
      </c>
      <c r="E140">
        <v>15170</v>
      </c>
      <c r="F140">
        <v>100</v>
      </c>
      <c r="G140">
        <v>2500</v>
      </c>
      <c r="H140">
        <v>0</v>
      </c>
      <c r="I140">
        <v>4.5999999999999996</v>
      </c>
      <c r="J140" s="28">
        <v>6.44</v>
      </c>
      <c r="K140" s="126">
        <v>0.28999999999999998</v>
      </c>
      <c r="L140" s="126">
        <v>1.8</v>
      </c>
      <c r="M140" s="126">
        <v>0</v>
      </c>
      <c r="N140" s="126">
        <v>0</v>
      </c>
      <c r="O140" s="126">
        <v>0.6</v>
      </c>
      <c r="P140" s="126">
        <v>0.88500000000000001</v>
      </c>
      <c r="Q140" s="126">
        <v>0.75</v>
      </c>
      <c r="R140" s="126">
        <v>0</v>
      </c>
      <c r="S140" s="126">
        <v>0.95</v>
      </c>
      <c r="T140" s="126">
        <v>30</v>
      </c>
      <c r="U140" s="126">
        <v>150</v>
      </c>
      <c r="V140" s="126">
        <v>0</v>
      </c>
      <c r="W140" s="126">
        <v>0</v>
      </c>
      <c r="X140" s="126">
        <v>0</v>
      </c>
      <c r="Y140" s="126">
        <v>0</v>
      </c>
      <c r="Z140" s="142">
        <v>0</v>
      </c>
      <c r="AA140" s="126">
        <v>0</v>
      </c>
      <c r="AB140" s="126">
        <v>0</v>
      </c>
      <c r="AC140" s="126">
        <v>0</v>
      </c>
      <c r="AD140" s="126">
        <v>0</v>
      </c>
      <c r="AE140" s="126">
        <v>7.7249999999999996</v>
      </c>
      <c r="AF140" s="126">
        <v>65</v>
      </c>
      <c r="AG140" t="s">
        <v>2963</v>
      </c>
    </row>
    <row r="141" spans="1:33" x14ac:dyDescent="0.3">
      <c r="A141">
        <v>209</v>
      </c>
      <c r="B141" t="s">
        <v>2964</v>
      </c>
      <c r="C141" t="s">
        <v>199</v>
      </c>
      <c r="D141">
        <v>10841</v>
      </c>
      <c r="E141">
        <v>11925</v>
      </c>
      <c r="F141">
        <v>100</v>
      </c>
      <c r="G141">
        <v>2500</v>
      </c>
      <c r="H141">
        <v>0</v>
      </c>
      <c r="I141">
        <v>6.4</v>
      </c>
      <c r="J141" s="28">
        <v>6.44</v>
      </c>
      <c r="K141" s="126">
        <v>0.28000000000000003</v>
      </c>
      <c r="L141" s="126">
        <v>1.4</v>
      </c>
      <c r="M141" s="126">
        <v>1E-3</v>
      </c>
      <c r="N141" s="126">
        <v>0</v>
      </c>
      <c r="O141" s="126">
        <v>0.6</v>
      </c>
      <c r="P141" s="126">
        <v>0.88500000000000001</v>
      </c>
      <c r="Q141" s="126">
        <v>0.75</v>
      </c>
      <c r="R141" s="126">
        <v>0</v>
      </c>
      <c r="S141" s="126">
        <v>0.3</v>
      </c>
      <c r="T141" s="126">
        <v>20</v>
      </c>
      <c r="U141" s="126">
        <v>150</v>
      </c>
      <c r="V141" s="126">
        <v>50</v>
      </c>
      <c r="W141" s="126">
        <v>0.3</v>
      </c>
      <c r="X141" s="126">
        <v>0</v>
      </c>
      <c r="Y141" s="126">
        <v>0</v>
      </c>
      <c r="Z141" s="142">
        <v>0</v>
      </c>
      <c r="AA141" s="126">
        <v>0</v>
      </c>
      <c r="AB141" s="126">
        <v>0</v>
      </c>
      <c r="AC141" s="126">
        <v>0</v>
      </c>
      <c r="AD141" s="126">
        <v>0</v>
      </c>
      <c r="AE141" s="126">
        <v>18.239999999999998</v>
      </c>
      <c r="AF141" s="126">
        <v>78</v>
      </c>
      <c r="AG141" t="s">
        <v>2965</v>
      </c>
    </row>
    <row r="142" spans="1:33" x14ac:dyDescent="0.3">
      <c r="A142">
        <v>210</v>
      </c>
      <c r="B142" t="s">
        <v>2966</v>
      </c>
      <c r="C142" t="s">
        <v>199</v>
      </c>
      <c r="D142">
        <v>11600</v>
      </c>
      <c r="E142">
        <v>12760</v>
      </c>
      <c r="F142">
        <v>100</v>
      </c>
      <c r="G142">
        <v>2000</v>
      </c>
      <c r="H142">
        <v>0</v>
      </c>
      <c r="I142">
        <v>6.1</v>
      </c>
      <c r="J142" s="28">
        <v>7.24</v>
      </c>
      <c r="K142" s="126">
        <v>0.28000000000000003</v>
      </c>
      <c r="L142" s="126">
        <v>1.4</v>
      </c>
      <c r="M142" s="126">
        <v>0.1</v>
      </c>
      <c r="N142" s="126">
        <v>0</v>
      </c>
      <c r="O142" s="126">
        <v>0.6</v>
      </c>
      <c r="P142" s="126">
        <v>0.88500000000000001</v>
      </c>
      <c r="Q142" s="126">
        <v>0.85</v>
      </c>
      <c r="R142" s="126">
        <v>0</v>
      </c>
      <c r="S142" s="126">
        <v>0.3</v>
      </c>
      <c r="T142" s="126">
        <v>20</v>
      </c>
      <c r="U142" s="126">
        <v>150</v>
      </c>
      <c r="V142" s="126">
        <v>50</v>
      </c>
      <c r="W142" s="126">
        <v>0.3</v>
      </c>
      <c r="X142" s="126">
        <v>0</v>
      </c>
      <c r="Y142" s="126">
        <v>0</v>
      </c>
      <c r="Z142" s="142">
        <v>0</v>
      </c>
      <c r="AA142" s="126">
        <v>0</v>
      </c>
      <c r="AB142" s="126">
        <v>0</v>
      </c>
      <c r="AC142" s="126">
        <v>0</v>
      </c>
      <c r="AD142" s="126">
        <v>0</v>
      </c>
      <c r="AE142" s="126">
        <v>18.239999999999998</v>
      </c>
      <c r="AF142" s="126">
        <v>78</v>
      </c>
      <c r="AG142" t="s">
        <v>2967</v>
      </c>
    </row>
    <row r="143" spans="1:33" x14ac:dyDescent="0.3">
      <c r="A143">
        <v>211</v>
      </c>
      <c r="B143" t="s">
        <v>223</v>
      </c>
      <c r="C143" t="s">
        <v>199</v>
      </c>
      <c r="D143">
        <v>13000</v>
      </c>
      <c r="E143">
        <v>14300</v>
      </c>
      <c r="F143">
        <v>100</v>
      </c>
      <c r="G143">
        <v>2000</v>
      </c>
      <c r="H143">
        <v>0</v>
      </c>
      <c r="I143">
        <v>4.3</v>
      </c>
      <c r="J143" s="28">
        <v>7.24</v>
      </c>
      <c r="K143" s="126">
        <v>0.28000000000000003</v>
      </c>
      <c r="L143" s="126">
        <v>1.4</v>
      </c>
      <c r="M143" s="126">
        <v>0.1</v>
      </c>
      <c r="N143" s="126">
        <v>0</v>
      </c>
      <c r="O143" s="126">
        <v>0.6</v>
      </c>
      <c r="P143" s="126">
        <v>0.88500000000000001</v>
      </c>
      <c r="Q143" s="126">
        <v>0.85</v>
      </c>
      <c r="R143" s="126">
        <v>0</v>
      </c>
      <c r="S143" s="126">
        <v>0.3</v>
      </c>
      <c r="T143" s="126">
        <v>20</v>
      </c>
      <c r="U143" s="126">
        <v>150</v>
      </c>
      <c r="V143" s="126">
        <v>50</v>
      </c>
      <c r="W143" s="126">
        <v>0.3</v>
      </c>
      <c r="X143" s="126">
        <v>0</v>
      </c>
      <c r="Y143" s="126">
        <v>0</v>
      </c>
      <c r="Z143" s="142">
        <v>0</v>
      </c>
      <c r="AA143" s="126">
        <v>0</v>
      </c>
      <c r="AB143" s="126">
        <v>0</v>
      </c>
      <c r="AC143" s="126">
        <v>0</v>
      </c>
      <c r="AD143" s="126">
        <v>0</v>
      </c>
      <c r="AE143" s="126">
        <v>18.239999999999998</v>
      </c>
      <c r="AF143" s="126">
        <v>45.5</v>
      </c>
      <c r="AG143" t="s">
        <v>2446</v>
      </c>
    </row>
    <row r="144" spans="1:33" x14ac:dyDescent="0.3">
      <c r="A144">
        <v>212</v>
      </c>
      <c r="B144" t="s">
        <v>224</v>
      </c>
      <c r="C144" t="s">
        <v>199</v>
      </c>
      <c r="D144">
        <v>7584</v>
      </c>
      <c r="E144">
        <v>8342</v>
      </c>
      <c r="F144">
        <v>100</v>
      </c>
      <c r="G144">
        <v>2500</v>
      </c>
      <c r="H144">
        <v>0</v>
      </c>
      <c r="I144">
        <v>5.5</v>
      </c>
      <c r="J144" s="28">
        <v>8.0500000000000007</v>
      </c>
      <c r="K144" s="126">
        <v>0.28000000000000003</v>
      </c>
      <c r="L144" s="126">
        <v>1.4</v>
      </c>
      <c r="M144" s="126">
        <v>0.1</v>
      </c>
      <c r="N144" s="126">
        <v>0</v>
      </c>
      <c r="O144" s="126">
        <v>0.6</v>
      </c>
      <c r="P144" s="126">
        <v>0.88500000000000001</v>
      </c>
      <c r="Q144" s="126">
        <v>0.8</v>
      </c>
      <c r="R144" s="126">
        <v>0</v>
      </c>
      <c r="S144" s="126">
        <v>0.4</v>
      </c>
      <c r="T144" s="126">
        <v>20</v>
      </c>
      <c r="U144" s="126">
        <v>150</v>
      </c>
      <c r="V144" s="126">
        <v>50</v>
      </c>
      <c r="W144" s="126">
        <v>0.3</v>
      </c>
      <c r="X144" s="126">
        <v>0</v>
      </c>
      <c r="Y144" s="126">
        <v>0</v>
      </c>
      <c r="Z144" s="142">
        <v>0</v>
      </c>
      <c r="AA144" s="126">
        <v>0</v>
      </c>
      <c r="AB144" s="126">
        <v>0</v>
      </c>
      <c r="AC144" s="126">
        <v>0</v>
      </c>
      <c r="AD144" s="126">
        <v>0</v>
      </c>
      <c r="AE144" s="126">
        <v>18.239999999999998</v>
      </c>
      <c r="AF144" s="126">
        <v>45.5</v>
      </c>
      <c r="AG144" t="s">
        <v>2447</v>
      </c>
    </row>
    <row r="145" spans="1:33" x14ac:dyDescent="0.3">
      <c r="A145">
        <v>213</v>
      </c>
      <c r="B145" t="s">
        <v>225</v>
      </c>
      <c r="C145" t="s">
        <v>199</v>
      </c>
      <c r="D145">
        <v>26200</v>
      </c>
      <c r="E145">
        <v>28820</v>
      </c>
      <c r="F145">
        <v>100</v>
      </c>
      <c r="G145">
        <v>2000</v>
      </c>
      <c r="H145">
        <v>0</v>
      </c>
      <c r="I145">
        <v>7.3</v>
      </c>
      <c r="J145" s="28">
        <v>7.24</v>
      </c>
      <c r="K145" s="126">
        <v>0.18</v>
      </c>
      <c r="L145" s="126">
        <v>1.7</v>
      </c>
      <c r="M145" s="126">
        <v>0.1</v>
      </c>
      <c r="N145" s="126">
        <v>0</v>
      </c>
      <c r="O145" s="126">
        <v>0.6</v>
      </c>
      <c r="P145" s="126">
        <v>0.88500000000000001</v>
      </c>
      <c r="Q145" s="126">
        <v>0.8</v>
      </c>
      <c r="R145" s="126">
        <v>0</v>
      </c>
      <c r="S145" s="126">
        <v>0.85</v>
      </c>
      <c r="T145" s="126">
        <v>50</v>
      </c>
      <c r="U145" s="126">
        <v>100</v>
      </c>
      <c r="V145" s="126">
        <v>0</v>
      </c>
      <c r="W145" s="126">
        <v>0</v>
      </c>
      <c r="X145" s="126">
        <v>0</v>
      </c>
      <c r="Y145" s="126">
        <v>0</v>
      </c>
      <c r="Z145" s="142">
        <v>0</v>
      </c>
      <c r="AA145" s="126">
        <v>0</v>
      </c>
      <c r="AB145" s="126">
        <v>0</v>
      </c>
      <c r="AC145" s="126">
        <v>0</v>
      </c>
      <c r="AD145" s="126">
        <v>0</v>
      </c>
      <c r="AE145" s="126">
        <v>23.103999999999999</v>
      </c>
      <c r="AF145" s="126">
        <v>39</v>
      </c>
      <c r="AG145" t="s">
        <v>2448</v>
      </c>
    </row>
    <row r="146" spans="1:33" x14ac:dyDescent="0.3">
      <c r="A146">
        <v>214</v>
      </c>
      <c r="B146" t="s">
        <v>2968</v>
      </c>
      <c r="C146" t="s">
        <v>199</v>
      </c>
      <c r="D146">
        <v>26285</v>
      </c>
      <c r="E146">
        <v>28914</v>
      </c>
      <c r="F146">
        <v>100</v>
      </c>
      <c r="G146">
        <v>2000</v>
      </c>
      <c r="H146">
        <v>0</v>
      </c>
      <c r="I146">
        <v>6.7</v>
      </c>
      <c r="J146" s="28">
        <v>7.24</v>
      </c>
      <c r="K146" s="126">
        <v>0.18</v>
      </c>
      <c r="L146" s="126">
        <v>1.7</v>
      </c>
      <c r="M146" s="126">
        <v>0.1</v>
      </c>
      <c r="N146" s="126">
        <v>0</v>
      </c>
      <c r="O146" s="126">
        <v>0.6</v>
      </c>
      <c r="P146" s="126">
        <v>0.88500000000000001</v>
      </c>
      <c r="Q146" s="126">
        <v>0.8</v>
      </c>
      <c r="R146" s="126">
        <v>0</v>
      </c>
      <c r="S146" s="126">
        <v>0.85</v>
      </c>
      <c r="T146" s="126">
        <v>50</v>
      </c>
      <c r="U146" s="126">
        <v>100</v>
      </c>
      <c r="V146" s="126">
        <v>0</v>
      </c>
      <c r="W146" s="126">
        <v>0</v>
      </c>
      <c r="X146" s="126">
        <v>0</v>
      </c>
      <c r="Y146" s="126">
        <v>0</v>
      </c>
      <c r="Z146" s="142">
        <v>0</v>
      </c>
      <c r="AA146" s="126">
        <v>0</v>
      </c>
      <c r="AB146" s="126">
        <v>0</v>
      </c>
      <c r="AC146" s="126">
        <v>0</v>
      </c>
      <c r="AD146" s="126">
        <v>0</v>
      </c>
      <c r="AE146" s="126">
        <v>23.103999999999999</v>
      </c>
      <c r="AF146" s="126">
        <v>36</v>
      </c>
      <c r="AG146" t="s">
        <v>2969</v>
      </c>
    </row>
    <row r="147" spans="1:33" x14ac:dyDescent="0.3">
      <c r="A147">
        <v>215</v>
      </c>
      <c r="B147" t="s">
        <v>226</v>
      </c>
      <c r="C147" t="s">
        <v>199</v>
      </c>
      <c r="D147">
        <v>8304</v>
      </c>
      <c r="E147">
        <v>9134</v>
      </c>
      <c r="F147">
        <v>100</v>
      </c>
      <c r="G147">
        <v>2000</v>
      </c>
      <c r="H147">
        <v>0</v>
      </c>
      <c r="I147">
        <v>2</v>
      </c>
      <c r="J147" s="28">
        <v>7.24</v>
      </c>
      <c r="K147" s="126">
        <v>0.28999999999999998</v>
      </c>
      <c r="L147" s="126">
        <v>1.8</v>
      </c>
      <c r="M147" s="126">
        <v>0.1</v>
      </c>
      <c r="N147" s="126">
        <v>0</v>
      </c>
      <c r="O147" s="126">
        <v>0.6</v>
      </c>
      <c r="P147" s="126">
        <v>0.88500000000000001</v>
      </c>
      <c r="Q147" s="126">
        <v>0.8</v>
      </c>
      <c r="R147" s="126">
        <v>0</v>
      </c>
      <c r="S147" s="126">
        <v>0.95</v>
      </c>
      <c r="T147" s="126">
        <v>30</v>
      </c>
      <c r="U147" s="126">
        <v>150</v>
      </c>
      <c r="V147" s="126">
        <v>0</v>
      </c>
      <c r="W147" s="126">
        <v>0</v>
      </c>
      <c r="X147" s="126">
        <v>0</v>
      </c>
      <c r="Y147" s="126">
        <v>0</v>
      </c>
      <c r="Z147" s="142">
        <v>0</v>
      </c>
      <c r="AA147" s="126">
        <v>0</v>
      </c>
      <c r="AB147" s="126">
        <v>0</v>
      </c>
      <c r="AC147" s="126">
        <v>0</v>
      </c>
      <c r="AD147" s="126">
        <v>0</v>
      </c>
      <c r="AE147" s="126">
        <v>27.725000000000001</v>
      </c>
      <c r="AF147" s="126">
        <v>65</v>
      </c>
      <c r="AG147" t="s">
        <v>2449</v>
      </c>
    </row>
    <row r="148" spans="1:33" x14ac:dyDescent="0.3">
      <c r="A148">
        <v>216</v>
      </c>
      <c r="B148" t="s">
        <v>2970</v>
      </c>
      <c r="C148" t="s">
        <v>199</v>
      </c>
      <c r="D148">
        <v>12304</v>
      </c>
      <c r="E148">
        <v>13534</v>
      </c>
      <c r="F148">
        <v>100</v>
      </c>
      <c r="G148">
        <v>2000</v>
      </c>
      <c r="H148">
        <v>0</v>
      </c>
      <c r="I148">
        <v>2.8</v>
      </c>
      <c r="J148" s="28">
        <v>7.24</v>
      </c>
      <c r="K148" s="126">
        <v>0.28999999999999998</v>
      </c>
      <c r="L148" s="126">
        <v>1.8</v>
      </c>
      <c r="M148" s="126">
        <v>0.1</v>
      </c>
      <c r="N148" s="126">
        <v>0</v>
      </c>
      <c r="O148" s="126">
        <v>0.6</v>
      </c>
      <c r="P148" s="126">
        <v>0.88500000000000001</v>
      </c>
      <c r="Q148" s="126">
        <v>0.8</v>
      </c>
      <c r="R148" s="126">
        <v>0</v>
      </c>
      <c r="S148" s="126">
        <v>0.95</v>
      </c>
      <c r="T148" s="126">
        <v>30</v>
      </c>
      <c r="U148" s="126">
        <v>150</v>
      </c>
      <c r="V148" s="126">
        <v>0</v>
      </c>
      <c r="W148" s="126">
        <v>0</v>
      </c>
      <c r="X148" s="126">
        <v>0</v>
      </c>
      <c r="Y148" s="126">
        <v>0</v>
      </c>
      <c r="Z148" s="142">
        <v>0</v>
      </c>
      <c r="AA148" s="126">
        <v>0</v>
      </c>
      <c r="AB148" s="126">
        <v>0</v>
      </c>
      <c r="AC148" s="126">
        <v>0</v>
      </c>
      <c r="AD148" s="126">
        <v>0</v>
      </c>
      <c r="AE148" s="126">
        <v>27.725000000000001</v>
      </c>
      <c r="AF148" s="126">
        <v>65</v>
      </c>
      <c r="AG148" t="s">
        <v>2971</v>
      </c>
    </row>
    <row r="149" spans="1:33" x14ac:dyDescent="0.3">
      <c r="A149">
        <v>217</v>
      </c>
      <c r="B149" t="s">
        <v>2972</v>
      </c>
      <c r="C149" t="s">
        <v>199</v>
      </c>
      <c r="D149">
        <v>3807</v>
      </c>
      <c r="E149">
        <v>4187</v>
      </c>
      <c r="F149">
        <v>100</v>
      </c>
      <c r="G149">
        <v>2000</v>
      </c>
      <c r="H149">
        <v>0</v>
      </c>
      <c r="I149">
        <v>1.2</v>
      </c>
      <c r="J149" s="28">
        <v>7.24</v>
      </c>
      <c r="K149" s="126">
        <v>0.28999999999999998</v>
      </c>
      <c r="L149" s="126">
        <v>1.8</v>
      </c>
      <c r="M149" s="126">
        <v>0.1</v>
      </c>
      <c r="N149" s="126">
        <v>0</v>
      </c>
      <c r="O149" s="126">
        <v>0.6</v>
      </c>
      <c r="P149" s="126">
        <v>0.88500000000000001</v>
      </c>
      <c r="Q149" s="126">
        <v>0.8</v>
      </c>
      <c r="R149" s="126">
        <v>0</v>
      </c>
      <c r="S149" s="126">
        <v>0.95</v>
      </c>
      <c r="T149" s="126">
        <v>30</v>
      </c>
      <c r="U149" s="126">
        <v>150</v>
      </c>
      <c r="V149" s="126">
        <v>0</v>
      </c>
      <c r="W149" s="126">
        <v>0</v>
      </c>
      <c r="X149" s="126">
        <v>0</v>
      </c>
      <c r="Y149" s="126">
        <v>0</v>
      </c>
      <c r="Z149" s="142">
        <v>0</v>
      </c>
      <c r="AA149" s="126">
        <v>0</v>
      </c>
      <c r="AB149" s="126">
        <v>0</v>
      </c>
      <c r="AC149" s="126">
        <v>0</v>
      </c>
      <c r="AD149" s="126">
        <v>0</v>
      </c>
      <c r="AE149" s="126">
        <v>27.725000000000001</v>
      </c>
      <c r="AF149" s="126">
        <v>65</v>
      </c>
      <c r="AG149" t="s">
        <v>2973</v>
      </c>
    </row>
    <row r="150" spans="1:33" x14ac:dyDescent="0.3">
      <c r="A150">
        <v>218</v>
      </c>
      <c r="B150" t="s">
        <v>227</v>
      </c>
      <c r="C150" t="s">
        <v>199</v>
      </c>
      <c r="D150">
        <v>14964</v>
      </c>
      <c r="E150">
        <v>16461</v>
      </c>
      <c r="F150">
        <v>100</v>
      </c>
      <c r="G150">
        <v>2000</v>
      </c>
      <c r="H150">
        <v>0</v>
      </c>
      <c r="I150">
        <v>2</v>
      </c>
      <c r="J150" s="28">
        <v>7.24</v>
      </c>
      <c r="K150" s="126">
        <v>0.28999999999999998</v>
      </c>
      <c r="L150" s="126">
        <v>1.8</v>
      </c>
      <c r="M150" s="126">
        <v>0.1</v>
      </c>
      <c r="N150" s="126">
        <v>0</v>
      </c>
      <c r="O150" s="126">
        <v>0.6</v>
      </c>
      <c r="P150" s="126">
        <v>0.88500000000000001</v>
      </c>
      <c r="Q150" s="126">
        <v>0.8</v>
      </c>
      <c r="R150" s="126">
        <v>0</v>
      </c>
      <c r="S150" s="126">
        <v>0.95</v>
      </c>
      <c r="T150" s="126">
        <v>30</v>
      </c>
      <c r="U150" s="126">
        <v>150</v>
      </c>
      <c r="V150" s="126">
        <v>0</v>
      </c>
      <c r="W150" s="126">
        <v>0</v>
      </c>
      <c r="X150" s="126">
        <v>0</v>
      </c>
      <c r="Y150" s="126">
        <v>0</v>
      </c>
      <c r="Z150" s="142">
        <v>0</v>
      </c>
      <c r="AA150" s="126">
        <v>0</v>
      </c>
      <c r="AB150" s="126">
        <v>0</v>
      </c>
      <c r="AC150" s="126">
        <v>0</v>
      </c>
      <c r="AD150" s="126">
        <v>0</v>
      </c>
      <c r="AE150" s="126">
        <v>26.751999999999999</v>
      </c>
      <c r="AF150" s="126">
        <v>52</v>
      </c>
      <c r="AG150" t="s">
        <v>2974</v>
      </c>
    </row>
    <row r="151" spans="1:33" x14ac:dyDescent="0.3">
      <c r="A151">
        <v>219</v>
      </c>
      <c r="B151" t="s">
        <v>2975</v>
      </c>
      <c r="C151" t="s">
        <v>199</v>
      </c>
      <c r="D151">
        <v>25611</v>
      </c>
      <c r="E151">
        <v>28172</v>
      </c>
      <c r="F151">
        <v>100</v>
      </c>
      <c r="G151">
        <v>2000</v>
      </c>
      <c r="H151">
        <v>0</v>
      </c>
      <c r="I151">
        <v>2.8</v>
      </c>
      <c r="J151" s="28">
        <v>7.24</v>
      </c>
      <c r="K151" s="126">
        <v>0.28999999999999998</v>
      </c>
      <c r="L151" s="126">
        <v>1.8</v>
      </c>
      <c r="M151" s="126">
        <v>0.1</v>
      </c>
      <c r="N151" s="126">
        <v>0</v>
      </c>
      <c r="O151" s="126">
        <v>0.6</v>
      </c>
      <c r="P151" s="126">
        <v>0.88500000000000001</v>
      </c>
      <c r="Q151" s="126">
        <v>0.8</v>
      </c>
      <c r="R151" s="126">
        <v>0</v>
      </c>
      <c r="S151" s="126">
        <v>0.95</v>
      </c>
      <c r="T151" s="126">
        <v>30</v>
      </c>
      <c r="U151" s="126">
        <v>150</v>
      </c>
      <c r="V151" s="126">
        <v>0</v>
      </c>
      <c r="W151" s="126">
        <v>0</v>
      </c>
      <c r="X151" s="126">
        <v>0</v>
      </c>
      <c r="Y151" s="126">
        <v>0</v>
      </c>
      <c r="Z151" s="142">
        <v>0</v>
      </c>
      <c r="AA151" s="126">
        <v>0</v>
      </c>
      <c r="AB151" s="126">
        <v>0</v>
      </c>
      <c r="AC151" s="126">
        <v>0</v>
      </c>
      <c r="AD151" s="126">
        <v>0</v>
      </c>
      <c r="AE151" s="126">
        <v>26.751999999999999</v>
      </c>
      <c r="AF151" s="126">
        <v>52</v>
      </c>
      <c r="AG151" t="s">
        <v>2976</v>
      </c>
    </row>
    <row r="152" spans="1:33" x14ac:dyDescent="0.3">
      <c r="A152">
        <v>220</v>
      </c>
      <c r="B152" t="s">
        <v>2977</v>
      </c>
      <c r="C152" t="s">
        <v>199</v>
      </c>
      <c r="D152">
        <v>6518</v>
      </c>
      <c r="E152">
        <v>7170</v>
      </c>
      <c r="F152">
        <v>100</v>
      </c>
      <c r="G152">
        <v>2000</v>
      </c>
      <c r="H152">
        <v>0</v>
      </c>
      <c r="I152">
        <v>1.2</v>
      </c>
      <c r="J152" s="28">
        <v>7.24</v>
      </c>
      <c r="K152" s="126">
        <v>0.28999999999999998</v>
      </c>
      <c r="L152" s="126">
        <v>1.8</v>
      </c>
      <c r="M152" s="126">
        <v>0.1</v>
      </c>
      <c r="N152" s="126">
        <v>0</v>
      </c>
      <c r="O152" s="126">
        <v>0.6</v>
      </c>
      <c r="P152" s="126">
        <v>0.88500000000000001</v>
      </c>
      <c r="Q152" s="126">
        <v>0.8</v>
      </c>
      <c r="R152" s="126">
        <v>0</v>
      </c>
      <c r="S152" s="126">
        <v>0.95</v>
      </c>
      <c r="T152" s="126">
        <v>30</v>
      </c>
      <c r="U152" s="126">
        <v>150</v>
      </c>
      <c r="V152" s="126">
        <v>0</v>
      </c>
      <c r="W152" s="126">
        <v>0</v>
      </c>
      <c r="X152" s="126">
        <v>0</v>
      </c>
      <c r="Y152" s="126">
        <v>0</v>
      </c>
      <c r="Z152" s="142">
        <v>0</v>
      </c>
      <c r="AA152" s="126">
        <v>0</v>
      </c>
      <c r="AB152" s="126">
        <v>0</v>
      </c>
      <c r="AC152" s="126">
        <v>0</v>
      </c>
      <c r="AD152" s="126">
        <v>0</v>
      </c>
      <c r="AE152" s="126">
        <v>26.751999999999999</v>
      </c>
      <c r="AF152" s="126">
        <v>52</v>
      </c>
      <c r="AG152" t="s">
        <v>2978</v>
      </c>
    </row>
    <row r="153" spans="1:33" x14ac:dyDescent="0.3">
      <c r="A153">
        <v>221</v>
      </c>
      <c r="B153" t="s">
        <v>2979</v>
      </c>
      <c r="C153" t="s">
        <v>199</v>
      </c>
      <c r="D153">
        <v>12506</v>
      </c>
      <c r="E153">
        <v>13756</v>
      </c>
      <c r="F153">
        <v>100</v>
      </c>
      <c r="G153">
        <v>2000</v>
      </c>
      <c r="H153">
        <v>0</v>
      </c>
      <c r="I153">
        <v>6.1</v>
      </c>
      <c r="J153" s="28">
        <v>7.24</v>
      </c>
      <c r="K153" s="126">
        <v>0.18</v>
      </c>
      <c r="L153" s="126">
        <v>1.7</v>
      </c>
      <c r="M153" s="126">
        <v>0.1</v>
      </c>
      <c r="N153" s="126">
        <v>0</v>
      </c>
      <c r="O153" s="126">
        <v>0.6</v>
      </c>
      <c r="P153" s="126">
        <v>0.88500000000000001</v>
      </c>
      <c r="Q153" s="126">
        <v>0.85</v>
      </c>
      <c r="R153" s="126">
        <v>0</v>
      </c>
      <c r="S153" s="126">
        <v>0.15</v>
      </c>
      <c r="T153" s="126">
        <v>15</v>
      </c>
      <c r="U153" s="126">
        <v>75</v>
      </c>
      <c r="V153" s="126">
        <v>0</v>
      </c>
      <c r="W153" s="126">
        <v>0</v>
      </c>
      <c r="X153" s="126">
        <v>0</v>
      </c>
      <c r="Y153" s="126">
        <v>0</v>
      </c>
      <c r="Z153" s="142">
        <v>0</v>
      </c>
      <c r="AA153" s="126">
        <v>0</v>
      </c>
      <c r="AB153" s="126">
        <v>0</v>
      </c>
      <c r="AC153" s="126">
        <v>0</v>
      </c>
      <c r="AD153" s="126">
        <v>0</v>
      </c>
      <c r="AE153" s="126">
        <v>0</v>
      </c>
      <c r="AF153" s="126">
        <v>31.2</v>
      </c>
      <c r="AG153" t="s">
        <v>2980</v>
      </c>
    </row>
    <row r="154" spans="1:33" x14ac:dyDescent="0.3">
      <c r="A154">
        <v>222</v>
      </c>
      <c r="B154" t="s">
        <v>2981</v>
      </c>
      <c r="C154" t="s">
        <v>199</v>
      </c>
      <c r="D154">
        <v>10581</v>
      </c>
      <c r="E154">
        <v>11640</v>
      </c>
      <c r="F154">
        <v>100</v>
      </c>
      <c r="G154">
        <v>2000</v>
      </c>
      <c r="H154">
        <v>0</v>
      </c>
      <c r="I154">
        <v>4.3</v>
      </c>
      <c r="J154" s="28">
        <v>7.24</v>
      </c>
      <c r="K154" s="126">
        <v>0.18</v>
      </c>
      <c r="L154" s="126">
        <v>1.7</v>
      </c>
      <c r="M154" s="126">
        <v>0.1</v>
      </c>
      <c r="N154" s="126">
        <v>0</v>
      </c>
      <c r="O154" s="126">
        <v>0.6</v>
      </c>
      <c r="P154" s="126">
        <v>0.88500000000000001</v>
      </c>
      <c r="Q154" s="126">
        <v>0.85</v>
      </c>
      <c r="R154" s="126">
        <v>0</v>
      </c>
      <c r="S154" s="126">
        <v>0.15</v>
      </c>
      <c r="T154" s="126">
        <v>15</v>
      </c>
      <c r="U154" s="126">
        <v>75</v>
      </c>
      <c r="V154" s="126">
        <v>0</v>
      </c>
      <c r="W154" s="126">
        <v>0</v>
      </c>
      <c r="X154" s="126">
        <v>0</v>
      </c>
      <c r="Y154" s="126">
        <v>0</v>
      </c>
      <c r="Z154" s="142">
        <v>0</v>
      </c>
      <c r="AA154" s="126">
        <v>0</v>
      </c>
      <c r="AB154" s="126">
        <v>0</v>
      </c>
      <c r="AC154" s="126">
        <v>0</v>
      </c>
      <c r="AD154" s="126">
        <v>0</v>
      </c>
      <c r="AE154" s="126">
        <v>0</v>
      </c>
      <c r="AF154" s="126">
        <v>31.2</v>
      </c>
      <c r="AG154" t="s">
        <v>2982</v>
      </c>
    </row>
    <row r="155" spans="1:33" x14ac:dyDescent="0.3">
      <c r="A155">
        <v>223</v>
      </c>
      <c r="B155" t="s">
        <v>228</v>
      </c>
      <c r="C155" t="s">
        <v>199</v>
      </c>
      <c r="D155">
        <v>10724</v>
      </c>
      <c r="E155">
        <v>11796</v>
      </c>
      <c r="F155">
        <v>100</v>
      </c>
      <c r="G155">
        <v>2000</v>
      </c>
      <c r="H155">
        <v>0</v>
      </c>
      <c r="I155">
        <v>5.5</v>
      </c>
      <c r="J155" s="28">
        <v>6.44</v>
      </c>
      <c r="K155" s="126">
        <v>0.28000000000000003</v>
      </c>
      <c r="L155" s="126">
        <v>1.4</v>
      </c>
      <c r="M155" s="126">
        <v>0.1</v>
      </c>
      <c r="N155" s="126">
        <v>0</v>
      </c>
      <c r="O155" s="126">
        <v>0.6</v>
      </c>
      <c r="P155" s="126">
        <v>0.88500000000000001</v>
      </c>
      <c r="Q155" s="126">
        <v>0.8</v>
      </c>
      <c r="R155" s="126">
        <v>0</v>
      </c>
      <c r="S155" s="126">
        <v>0.45</v>
      </c>
      <c r="T155" s="126">
        <v>15</v>
      </c>
      <c r="U155" s="126">
        <v>350</v>
      </c>
      <c r="V155" s="126">
        <v>0</v>
      </c>
      <c r="W155" s="126">
        <v>0</v>
      </c>
      <c r="X155" s="126">
        <v>0</v>
      </c>
      <c r="Y155" s="126">
        <v>0</v>
      </c>
      <c r="Z155" s="142">
        <v>0</v>
      </c>
      <c r="AA155" s="126">
        <v>0</v>
      </c>
      <c r="AB155" s="126">
        <v>0</v>
      </c>
      <c r="AC155" s="126">
        <v>0</v>
      </c>
      <c r="AD155" s="126">
        <v>0</v>
      </c>
      <c r="AE155" s="126">
        <v>9.4559999999999995</v>
      </c>
      <c r="AF155" s="126">
        <v>45.5</v>
      </c>
      <c r="AG155" t="s">
        <v>2450</v>
      </c>
    </row>
    <row r="156" spans="1:33" x14ac:dyDescent="0.3">
      <c r="A156">
        <v>224</v>
      </c>
      <c r="B156" t="s">
        <v>2983</v>
      </c>
      <c r="C156" t="s">
        <v>199</v>
      </c>
      <c r="D156">
        <v>307</v>
      </c>
      <c r="E156">
        <v>338</v>
      </c>
      <c r="F156">
        <v>200</v>
      </c>
      <c r="G156">
        <v>2000</v>
      </c>
      <c r="H156">
        <v>0</v>
      </c>
      <c r="I156">
        <v>3</v>
      </c>
      <c r="J156" s="28">
        <v>4.99</v>
      </c>
      <c r="K156" s="126">
        <v>0.17</v>
      </c>
      <c r="L156" s="126">
        <v>2.2000000000000002</v>
      </c>
      <c r="M156" s="126">
        <v>0</v>
      </c>
      <c r="N156" s="126">
        <v>0</v>
      </c>
      <c r="O156" s="126">
        <v>0.6</v>
      </c>
      <c r="P156" s="126">
        <v>0.88500000000000001</v>
      </c>
      <c r="Q156" s="126">
        <v>0.65</v>
      </c>
      <c r="R156" s="126">
        <v>0</v>
      </c>
      <c r="S156" s="126">
        <v>0</v>
      </c>
      <c r="T156" s="126">
        <v>0</v>
      </c>
      <c r="U156" s="126">
        <v>25</v>
      </c>
      <c r="V156" s="126">
        <v>0</v>
      </c>
      <c r="W156" s="126">
        <v>0</v>
      </c>
      <c r="X156" s="126">
        <v>0</v>
      </c>
      <c r="Y156" s="126">
        <v>0</v>
      </c>
      <c r="Z156" s="142">
        <v>0</v>
      </c>
      <c r="AA156" s="126">
        <v>0</v>
      </c>
      <c r="AB156" s="126">
        <v>0</v>
      </c>
      <c r="AC156" s="126">
        <v>0</v>
      </c>
      <c r="AD156" s="126">
        <v>0</v>
      </c>
      <c r="AE156" s="126">
        <v>0</v>
      </c>
      <c r="AF156" s="126">
        <v>4.875</v>
      </c>
      <c r="AG156" t="s">
        <v>2984</v>
      </c>
    </row>
    <row r="157" spans="1:33" x14ac:dyDescent="0.3">
      <c r="A157">
        <v>225</v>
      </c>
      <c r="B157" t="s">
        <v>2985</v>
      </c>
      <c r="C157" t="s">
        <v>199</v>
      </c>
      <c r="D157">
        <v>921</v>
      </c>
      <c r="E157">
        <v>1013</v>
      </c>
      <c r="F157">
        <v>150</v>
      </c>
      <c r="G157">
        <v>1500</v>
      </c>
      <c r="H157">
        <v>0</v>
      </c>
      <c r="I157">
        <v>0.9</v>
      </c>
      <c r="J157" s="28">
        <v>4.42</v>
      </c>
      <c r="K157" s="126">
        <v>0.63</v>
      </c>
      <c r="L157" s="126">
        <v>1.3</v>
      </c>
      <c r="M157" s="126">
        <v>0</v>
      </c>
      <c r="N157" s="126">
        <v>0</v>
      </c>
      <c r="O157" s="126">
        <v>0.6</v>
      </c>
      <c r="P157" s="126">
        <v>0.88500000000000001</v>
      </c>
      <c r="Q157" s="126">
        <v>0.65</v>
      </c>
      <c r="R157" s="126">
        <v>0</v>
      </c>
      <c r="S157" s="126">
        <v>0.5</v>
      </c>
      <c r="T157" s="126">
        <v>13</v>
      </c>
      <c r="U157" s="126">
        <v>100</v>
      </c>
      <c r="V157" s="126">
        <v>0</v>
      </c>
      <c r="W157" s="126">
        <v>0</v>
      </c>
      <c r="X157" s="126">
        <v>0</v>
      </c>
      <c r="Y157" s="126">
        <v>0</v>
      </c>
      <c r="Z157" s="142">
        <v>9</v>
      </c>
      <c r="AA157" s="126">
        <v>0</v>
      </c>
      <c r="AB157" s="126">
        <v>0</v>
      </c>
      <c r="AC157" s="126">
        <v>0</v>
      </c>
      <c r="AD157" s="126">
        <v>0</v>
      </c>
      <c r="AE157" s="126">
        <v>5</v>
      </c>
      <c r="AF157" s="126">
        <v>2.6</v>
      </c>
      <c r="AG157" t="s">
        <v>2986</v>
      </c>
    </row>
    <row r="158" spans="1:33" x14ac:dyDescent="0.3">
      <c r="A158">
        <v>226</v>
      </c>
      <c r="B158" t="s">
        <v>2987</v>
      </c>
      <c r="C158" t="s">
        <v>199</v>
      </c>
      <c r="D158">
        <v>679</v>
      </c>
      <c r="E158">
        <v>746</v>
      </c>
      <c r="F158">
        <v>200</v>
      </c>
      <c r="G158">
        <v>2000</v>
      </c>
      <c r="H158">
        <v>0</v>
      </c>
      <c r="I158">
        <v>0.9</v>
      </c>
      <c r="J158" s="28">
        <v>4.42</v>
      </c>
      <c r="K158" s="126">
        <v>0.28999999999999998</v>
      </c>
      <c r="L158" s="126">
        <v>1.8</v>
      </c>
      <c r="M158" s="126">
        <v>0</v>
      </c>
      <c r="N158" s="126">
        <v>0</v>
      </c>
      <c r="O158" s="126">
        <v>0.6</v>
      </c>
      <c r="P158" s="126">
        <v>0.88500000000000001</v>
      </c>
      <c r="Q158" s="126">
        <v>0.65</v>
      </c>
      <c r="R158" s="126">
        <v>0</v>
      </c>
      <c r="S158" s="126">
        <v>0.5</v>
      </c>
      <c r="T158" s="126">
        <v>13</v>
      </c>
      <c r="U158" s="126">
        <v>100</v>
      </c>
      <c r="V158" s="126">
        <v>0</v>
      </c>
      <c r="W158" s="126">
        <v>0</v>
      </c>
      <c r="X158" s="126">
        <v>0</v>
      </c>
      <c r="Y158" s="126">
        <v>0</v>
      </c>
      <c r="Z158" s="142">
        <v>0</v>
      </c>
      <c r="AA158" s="126">
        <v>0</v>
      </c>
      <c r="AB158" s="126">
        <v>0</v>
      </c>
      <c r="AC158" s="126">
        <v>0</v>
      </c>
      <c r="AD158" s="126">
        <v>0</v>
      </c>
      <c r="AE158" s="126">
        <v>0</v>
      </c>
      <c r="AF158" s="126">
        <v>26</v>
      </c>
      <c r="AG158" t="s">
        <v>2988</v>
      </c>
    </row>
    <row r="159" spans="1:33" x14ac:dyDescent="0.3">
      <c r="A159">
        <v>227</v>
      </c>
      <c r="B159" t="s">
        <v>229</v>
      </c>
      <c r="C159" t="s">
        <v>199</v>
      </c>
      <c r="D159">
        <v>7233</v>
      </c>
      <c r="E159">
        <v>7956</v>
      </c>
      <c r="F159">
        <v>58</v>
      </c>
      <c r="G159">
        <v>1750</v>
      </c>
      <c r="H159">
        <v>0</v>
      </c>
      <c r="I159">
        <v>1.8</v>
      </c>
      <c r="J159" s="28">
        <v>4.83</v>
      </c>
      <c r="K159" s="126">
        <v>0.16</v>
      </c>
      <c r="L159" s="126">
        <v>1.3</v>
      </c>
      <c r="M159" s="126">
        <v>0.1</v>
      </c>
      <c r="N159" s="126">
        <v>0</v>
      </c>
      <c r="O159" s="126">
        <v>0.6</v>
      </c>
      <c r="P159" s="126">
        <v>0.88500000000000001</v>
      </c>
      <c r="Q159" s="126">
        <v>0.7</v>
      </c>
      <c r="R159" s="126">
        <v>0</v>
      </c>
      <c r="S159" s="126">
        <v>0</v>
      </c>
      <c r="T159" s="126">
        <v>0</v>
      </c>
      <c r="U159" s="126">
        <v>50</v>
      </c>
      <c r="V159" s="126">
        <v>0</v>
      </c>
      <c r="W159" s="126">
        <v>0</v>
      </c>
      <c r="X159" s="126">
        <v>0</v>
      </c>
      <c r="Y159" s="126">
        <v>0</v>
      </c>
      <c r="Z159" s="142">
        <v>0</v>
      </c>
      <c r="AA159" s="126">
        <v>0</v>
      </c>
      <c r="AB159" s="126">
        <v>0</v>
      </c>
      <c r="AC159" s="126">
        <v>0</v>
      </c>
      <c r="AD159" s="126">
        <v>0</v>
      </c>
      <c r="AE159" s="126">
        <v>0</v>
      </c>
      <c r="AF159" s="126">
        <v>2.9249999999999998</v>
      </c>
      <c r="AG159" t="s">
        <v>2451</v>
      </c>
    </row>
    <row r="160" spans="1:33" x14ac:dyDescent="0.3">
      <c r="A160">
        <v>228</v>
      </c>
      <c r="B160" t="s">
        <v>2989</v>
      </c>
      <c r="C160" t="s">
        <v>199</v>
      </c>
      <c r="D160">
        <v>6122</v>
      </c>
      <c r="E160">
        <v>6734</v>
      </c>
      <c r="F160">
        <v>100</v>
      </c>
      <c r="G160">
        <v>2000</v>
      </c>
      <c r="H160">
        <v>0</v>
      </c>
      <c r="I160">
        <v>5.5</v>
      </c>
      <c r="J160" s="28">
        <v>7.24</v>
      </c>
      <c r="K160" s="126">
        <v>0.18</v>
      </c>
      <c r="L160" s="126">
        <v>1.7</v>
      </c>
      <c r="M160" s="126">
        <v>0.1</v>
      </c>
      <c r="N160" s="126">
        <v>0</v>
      </c>
      <c r="O160" s="126">
        <v>0.6</v>
      </c>
      <c r="P160" s="126">
        <v>0.88500000000000001</v>
      </c>
      <c r="Q160" s="126">
        <v>0.85</v>
      </c>
      <c r="R160" s="126">
        <v>0</v>
      </c>
      <c r="S160" s="126">
        <v>0.15</v>
      </c>
      <c r="T160" s="126">
        <v>15</v>
      </c>
      <c r="U160" s="126">
        <v>350</v>
      </c>
      <c r="V160" s="126">
        <v>0</v>
      </c>
      <c r="W160" s="126">
        <v>0</v>
      </c>
      <c r="X160" s="126">
        <v>0</v>
      </c>
      <c r="Y160" s="126">
        <v>0</v>
      </c>
      <c r="Z160" s="142">
        <v>0</v>
      </c>
      <c r="AA160" s="126">
        <v>0</v>
      </c>
      <c r="AB160" s="126">
        <v>0</v>
      </c>
      <c r="AC160" s="126">
        <v>0</v>
      </c>
      <c r="AD160" s="126">
        <v>0</v>
      </c>
      <c r="AE160" s="126">
        <v>0</v>
      </c>
      <c r="AF160" s="126">
        <v>17.55</v>
      </c>
      <c r="AG160" t="s">
        <v>2989</v>
      </c>
    </row>
    <row r="161" spans="1:33" x14ac:dyDescent="0.3">
      <c r="A161">
        <v>229</v>
      </c>
      <c r="B161" t="s">
        <v>2990</v>
      </c>
      <c r="C161" t="s">
        <v>199</v>
      </c>
      <c r="D161">
        <v>13755</v>
      </c>
      <c r="E161">
        <v>15131</v>
      </c>
      <c r="F161">
        <v>100</v>
      </c>
      <c r="G161">
        <v>2000</v>
      </c>
      <c r="H161">
        <v>0</v>
      </c>
      <c r="I161">
        <v>4.3</v>
      </c>
      <c r="J161" s="28">
        <v>6.44</v>
      </c>
      <c r="K161" s="126">
        <v>0.28000000000000003</v>
      </c>
      <c r="L161" s="126">
        <v>1.4</v>
      </c>
      <c r="M161" s="126">
        <v>0.1</v>
      </c>
      <c r="N161" s="126">
        <v>0</v>
      </c>
      <c r="O161" s="126">
        <v>0.6</v>
      </c>
      <c r="P161" s="126">
        <v>0.88500000000000001</v>
      </c>
      <c r="Q161" s="126">
        <v>0.8</v>
      </c>
      <c r="R161" s="126">
        <v>0</v>
      </c>
      <c r="S161" s="126">
        <v>0.7</v>
      </c>
      <c r="T161" s="126">
        <v>15</v>
      </c>
      <c r="U161" s="126">
        <v>350</v>
      </c>
      <c r="V161" s="126">
        <v>0</v>
      </c>
      <c r="W161" s="126">
        <v>0</v>
      </c>
      <c r="X161" s="126">
        <v>0</v>
      </c>
      <c r="Y161" s="126">
        <v>0</v>
      </c>
      <c r="Z161" s="142">
        <v>0</v>
      </c>
      <c r="AA161" s="126">
        <v>0</v>
      </c>
      <c r="AB161" s="126">
        <v>0</v>
      </c>
      <c r="AC161" s="126">
        <v>0</v>
      </c>
      <c r="AD161" s="126">
        <v>0</v>
      </c>
      <c r="AE161" s="126">
        <v>0</v>
      </c>
      <c r="AF161" s="126">
        <v>45.5</v>
      </c>
      <c r="AG161" t="s">
        <v>2991</v>
      </c>
    </row>
    <row r="162" spans="1:33" x14ac:dyDescent="0.3">
      <c r="A162">
        <v>230</v>
      </c>
      <c r="B162" t="s">
        <v>230</v>
      </c>
      <c r="C162" t="s">
        <v>199</v>
      </c>
      <c r="D162">
        <v>10525</v>
      </c>
      <c r="E162">
        <v>11578</v>
      </c>
      <c r="F162">
        <v>100</v>
      </c>
      <c r="G162">
        <v>2000</v>
      </c>
      <c r="H162">
        <v>0</v>
      </c>
      <c r="I162">
        <v>5.5</v>
      </c>
      <c r="J162" s="28">
        <v>6.44</v>
      </c>
      <c r="K162" s="126">
        <v>0.28000000000000003</v>
      </c>
      <c r="L162" s="126">
        <v>1.4</v>
      </c>
      <c r="M162" s="126">
        <v>0.1</v>
      </c>
      <c r="N162" s="126">
        <v>0</v>
      </c>
      <c r="O162" s="126">
        <v>0.6</v>
      </c>
      <c r="P162" s="126">
        <v>0.88500000000000001</v>
      </c>
      <c r="Q162" s="126">
        <v>0.8</v>
      </c>
      <c r="R162" s="126">
        <v>0</v>
      </c>
      <c r="S162" s="126">
        <v>0.25</v>
      </c>
      <c r="T162" s="126">
        <v>15</v>
      </c>
      <c r="U162" s="126">
        <v>350</v>
      </c>
      <c r="V162" s="126">
        <v>0</v>
      </c>
      <c r="W162" s="126">
        <v>0</v>
      </c>
      <c r="X162" s="126">
        <v>0</v>
      </c>
      <c r="Y162" s="126">
        <v>0</v>
      </c>
      <c r="Z162" s="142">
        <v>0</v>
      </c>
      <c r="AA162" s="126">
        <v>0</v>
      </c>
      <c r="AB162" s="126">
        <v>0</v>
      </c>
      <c r="AC162" s="126">
        <v>0</v>
      </c>
      <c r="AD162" s="126">
        <v>0</v>
      </c>
      <c r="AE162" s="126">
        <v>0</v>
      </c>
      <c r="AF162" s="126">
        <v>45.5</v>
      </c>
      <c r="AG162" t="s">
        <v>1885</v>
      </c>
    </row>
    <row r="163" spans="1:33" x14ac:dyDescent="0.3">
      <c r="A163">
        <v>231</v>
      </c>
      <c r="B163" t="s">
        <v>2992</v>
      </c>
      <c r="C163" t="s">
        <v>199</v>
      </c>
      <c r="D163">
        <v>4846</v>
      </c>
      <c r="E163">
        <v>5331</v>
      </c>
      <c r="F163">
        <v>100</v>
      </c>
      <c r="G163">
        <v>1500</v>
      </c>
      <c r="H163">
        <v>0</v>
      </c>
      <c r="I163">
        <v>2.4</v>
      </c>
      <c r="J163" s="28">
        <v>4.83</v>
      </c>
      <c r="K163" s="126">
        <v>0.28000000000000003</v>
      </c>
      <c r="L163" s="126">
        <v>1.4</v>
      </c>
      <c r="M163" s="126">
        <v>0.1</v>
      </c>
      <c r="N163" s="126">
        <v>0</v>
      </c>
      <c r="O163" s="126">
        <v>0.6</v>
      </c>
      <c r="P163" s="126">
        <v>0.88500000000000001</v>
      </c>
      <c r="Q163" s="126">
        <v>0.8</v>
      </c>
      <c r="R163" s="126">
        <v>0</v>
      </c>
      <c r="S163" s="126">
        <v>0.25</v>
      </c>
      <c r="T163" s="126">
        <v>15</v>
      </c>
      <c r="U163" s="126">
        <v>350</v>
      </c>
      <c r="V163" s="126">
        <v>0</v>
      </c>
      <c r="W163" s="126">
        <v>0</v>
      </c>
      <c r="X163" s="126">
        <v>0</v>
      </c>
      <c r="Y163" s="126">
        <v>0</v>
      </c>
      <c r="Z163" s="142">
        <v>0</v>
      </c>
      <c r="AA163" s="126">
        <v>0</v>
      </c>
      <c r="AB163" s="126">
        <v>0</v>
      </c>
      <c r="AC163" s="126">
        <v>0</v>
      </c>
      <c r="AD163" s="126">
        <v>0</v>
      </c>
      <c r="AE163" s="126">
        <v>0</v>
      </c>
      <c r="AF163" s="126">
        <v>45.5</v>
      </c>
      <c r="AG163" t="s">
        <v>2993</v>
      </c>
    </row>
    <row r="164" spans="1:33" x14ac:dyDescent="0.3">
      <c r="A164">
        <v>232</v>
      </c>
      <c r="B164" t="s">
        <v>2994</v>
      </c>
      <c r="C164" t="s">
        <v>199</v>
      </c>
      <c r="D164">
        <v>8263</v>
      </c>
      <c r="E164">
        <v>9090</v>
      </c>
      <c r="F164">
        <v>250</v>
      </c>
      <c r="G164">
        <v>2500</v>
      </c>
      <c r="H164">
        <v>0</v>
      </c>
      <c r="I164">
        <v>5.5</v>
      </c>
      <c r="J164" s="28">
        <v>5.63</v>
      </c>
      <c r="K164" s="126">
        <v>0.17</v>
      </c>
      <c r="L164" s="126">
        <v>2.2000000000000002</v>
      </c>
      <c r="M164" s="126">
        <v>0.1</v>
      </c>
      <c r="N164" s="126">
        <v>0</v>
      </c>
      <c r="O164" s="126">
        <v>0.6</v>
      </c>
      <c r="P164" s="126">
        <v>0.88500000000000001</v>
      </c>
      <c r="Q164" s="126">
        <v>0.8</v>
      </c>
      <c r="R164" s="126">
        <v>0</v>
      </c>
      <c r="S164" s="126">
        <v>0.25</v>
      </c>
      <c r="T164" s="126">
        <v>10</v>
      </c>
      <c r="U164" s="126">
        <v>0</v>
      </c>
      <c r="V164" s="126">
        <v>0</v>
      </c>
      <c r="W164" s="126">
        <v>0</v>
      </c>
      <c r="X164" s="126">
        <v>0</v>
      </c>
      <c r="Y164" s="126">
        <v>0</v>
      </c>
      <c r="Z164" s="142">
        <v>18</v>
      </c>
      <c r="AA164" s="126">
        <v>0</v>
      </c>
      <c r="AB164" s="126">
        <v>0</v>
      </c>
      <c r="AC164" s="126">
        <v>0</v>
      </c>
      <c r="AD164" s="126">
        <v>0</v>
      </c>
      <c r="AE164" s="126">
        <v>0</v>
      </c>
      <c r="AF164" s="126">
        <v>0</v>
      </c>
      <c r="AG164" t="s">
        <v>2995</v>
      </c>
    </row>
    <row r="165" spans="1:33" x14ac:dyDescent="0.3">
      <c r="A165">
        <v>233</v>
      </c>
      <c r="B165" t="s">
        <v>2996</v>
      </c>
      <c r="C165" t="s">
        <v>199</v>
      </c>
      <c r="D165">
        <v>4362</v>
      </c>
      <c r="E165">
        <v>4798</v>
      </c>
      <c r="F165">
        <v>200</v>
      </c>
      <c r="G165">
        <v>2000</v>
      </c>
      <c r="H165">
        <v>0</v>
      </c>
      <c r="I165">
        <v>2.4</v>
      </c>
      <c r="J165" s="28">
        <v>5.63</v>
      </c>
      <c r="K165" s="126">
        <v>0.16</v>
      </c>
      <c r="L165" s="126">
        <v>1.3</v>
      </c>
      <c r="M165" s="126">
        <v>0.1</v>
      </c>
      <c r="N165" s="126">
        <v>0</v>
      </c>
      <c r="O165" s="126">
        <v>0.6</v>
      </c>
      <c r="P165" s="126">
        <v>0.88500000000000001</v>
      </c>
      <c r="Q165" s="126">
        <v>0.8</v>
      </c>
      <c r="R165" s="126">
        <v>0</v>
      </c>
      <c r="S165" s="126">
        <v>0.25</v>
      </c>
      <c r="T165" s="126">
        <v>5</v>
      </c>
      <c r="U165" s="126">
        <v>50</v>
      </c>
      <c r="V165" s="126">
        <v>0</v>
      </c>
      <c r="W165" s="126">
        <v>0</v>
      </c>
      <c r="X165" s="126">
        <v>0</v>
      </c>
      <c r="Y165" s="126">
        <v>0</v>
      </c>
      <c r="Z165" s="142">
        <v>0</v>
      </c>
      <c r="AA165" s="126">
        <v>0</v>
      </c>
      <c r="AB165" s="126">
        <v>0</v>
      </c>
      <c r="AC165" s="126">
        <v>0</v>
      </c>
      <c r="AD165" s="126">
        <v>0</v>
      </c>
      <c r="AE165" s="126">
        <v>0</v>
      </c>
      <c r="AF165" s="126">
        <v>2.9249999999999998</v>
      </c>
      <c r="AG165" t="s">
        <v>2997</v>
      </c>
    </row>
    <row r="166" spans="1:33" x14ac:dyDescent="0.3">
      <c r="A166">
        <v>234</v>
      </c>
      <c r="B166" t="s">
        <v>2998</v>
      </c>
      <c r="C166" t="s">
        <v>199</v>
      </c>
      <c r="D166">
        <v>6469</v>
      </c>
      <c r="E166">
        <v>7116</v>
      </c>
      <c r="F166">
        <v>100</v>
      </c>
      <c r="G166">
        <v>2500</v>
      </c>
      <c r="H166">
        <v>0</v>
      </c>
      <c r="I166">
        <v>4.3</v>
      </c>
      <c r="J166" s="28">
        <v>7.24</v>
      </c>
      <c r="K166" s="126">
        <v>0.18</v>
      </c>
      <c r="L166" s="126">
        <v>1.7</v>
      </c>
      <c r="M166" s="126">
        <v>0.1</v>
      </c>
      <c r="N166" s="126">
        <v>0</v>
      </c>
      <c r="O166" s="126">
        <v>0.6</v>
      </c>
      <c r="P166" s="126">
        <v>0.88500000000000001</v>
      </c>
      <c r="Q166" s="126">
        <v>0.8</v>
      </c>
      <c r="R166" s="126">
        <v>0</v>
      </c>
      <c r="S166" s="126">
        <v>0.85</v>
      </c>
      <c r="T166" s="126">
        <v>50</v>
      </c>
      <c r="U166" s="126">
        <v>150</v>
      </c>
      <c r="V166" s="126">
        <v>50</v>
      </c>
      <c r="W166" s="126">
        <v>0.3</v>
      </c>
      <c r="X166" s="126">
        <v>0</v>
      </c>
      <c r="Y166" s="126">
        <v>0</v>
      </c>
      <c r="Z166" s="142">
        <v>0</v>
      </c>
      <c r="AA166" s="126">
        <v>0</v>
      </c>
      <c r="AB166" s="126">
        <v>0</v>
      </c>
      <c r="AC166" s="126">
        <v>0</v>
      </c>
      <c r="AD166" s="126">
        <v>0</v>
      </c>
      <c r="AE166" s="126">
        <v>0</v>
      </c>
      <c r="AF166" s="126">
        <v>39</v>
      </c>
      <c r="AG166" t="s">
        <v>2999</v>
      </c>
    </row>
    <row r="167" spans="1:33" x14ac:dyDescent="0.3">
      <c r="A167">
        <v>235</v>
      </c>
      <c r="B167" t="s">
        <v>3000</v>
      </c>
      <c r="C167" t="s">
        <v>199</v>
      </c>
      <c r="D167">
        <v>6469</v>
      </c>
      <c r="E167">
        <v>7116</v>
      </c>
      <c r="F167">
        <v>100</v>
      </c>
      <c r="G167">
        <v>2500</v>
      </c>
      <c r="H167">
        <v>0</v>
      </c>
      <c r="I167">
        <v>4.3</v>
      </c>
      <c r="J167" s="28">
        <v>7.24</v>
      </c>
      <c r="K167" s="126">
        <v>0.18</v>
      </c>
      <c r="L167" s="126">
        <v>1.7</v>
      </c>
      <c r="M167" s="126">
        <v>0.1</v>
      </c>
      <c r="N167" s="126">
        <v>0</v>
      </c>
      <c r="O167" s="126">
        <v>0.6</v>
      </c>
      <c r="P167" s="126">
        <v>0.88500000000000001</v>
      </c>
      <c r="Q167" s="126">
        <v>0.8</v>
      </c>
      <c r="R167" s="126">
        <v>0</v>
      </c>
      <c r="S167" s="126">
        <v>0.65</v>
      </c>
      <c r="T167" s="126">
        <v>25</v>
      </c>
      <c r="U167" s="126">
        <v>150</v>
      </c>
      <c r="V167" s="126">
        <v>75</v>
      </c>
      <c r="W167" s="126">
        <v>0.3</v>
      </c>
      <c r="X167" s="126">
        <v>0</v>
      </c>
      <c r="Y167" s="126">
        <v>0</v>
      </c>
      <c r="Z167" s="142">
        <v>0</v>
      </c>
      <c r="AA167" s="126">
        <v>0</v>
      </c>
      <c r="AB167" s="126">
        <v>0</v>
      </c>
      <c r="AC167" s="126">
        <v>0</v>
      </c>
      <c r="AD167" s="126">
        <v>0</v>
      </c>
      <c r="AE167" s="126">
        <v>0</v>
      </c>
      <c r="AF167" s="126">
        <v>45.5</v>
      </c>
      <c r="AG167" t="s">
        <v>3001</v>
      </c>
    </row>
    <row r="168" spans="1:33" x14ac:dyDescent="0.3">
      <c r="A168">
        <v>236</v>
      </c>
      <c r="B168" t="s">
        <v>3002</v>
      </c>
      <c r="C168" t="s">
        <v>199</v>
      </c>
      <c r="D168">
        <v>6469</v>
      </c>
      <c r="E168">
        <v>7116</v>
      </c>
      <c r="F168">
        <v>100</v>
      </c>
      <c r="G168">
        <v>2500</v>
      </c>
      <c r="H168">
        <v>0</v>
      </c>
      <c r="I168">
        <v>4.3</v>
      </c>
      <c r="J168" s="28">
        <v>7.24</v>
      </c>
      <c r="K168" s="126">
        <v>0.18</v>
      </c>
      <c r="L168" s="126">
        <v>1.7</v>
      </c>
      <c r="M168" s="126">
        <v>0.1</v>
      </c>
      <c r="N168" s="126">
        <v>0</v>
      </c>
      <c r="O168" s="126">
        <v>0.6</v>
      </c>
      <c r="P168" s="126">
        <v>0.88500000000000001</v>
      </c>
      <c r="Q168" s="126">
        <v>0.8</v>
      </c>
      <c r="R168" s="126">
        <v>0</v>
      </c>
      <c r="S168" s="126">
        <v>0.85</v>
      </c>
      <c r="T168" s="126">
        <v>50.037999999999997</v>
      </c>
      <c r="U168" s="126">
        <v>100.07599999999999</v>
      </c>
      <c r="V168" s="126">
        <v>0</v>
      </c>
      <c r="W168" s="126">
        <v>0</v>
      </c>
      <c r="X168" s="126">
        <v>0</v>
      </c>
      <c r="Y168" s="126">
        <v>0</v>
      </c>
      <c r="Z168" s="142">
        <v>0</v>
      </c>
      <c r="AA168" s="126">
        <v>0</v>
      </c>
      <c r="AB168" s="126">
        <v>0</v>
      </c>
      <c r="AC168" s="126">
        <v>0</v>
      </c>
      <c r="AD168" s="126">
        <v>0</v>
      </c>
      <c r="AE168" s="126">
        <v>28.004999999999999</v>
      </c>
      <c r="AF168" s="126">
        <v>45.5</v>
      </c>
      <c r="AG168" t="s">
        <v>3003</v>
      </c>
    </row>
    <row r="169" spans="1:33" x14ac:dyDescent="0.3">
      <c r="A169">
        <v>237</v>
      </c>
      <c r="B169" t="s">
        <v>3004</v>
      </c>
      <c r="C169" t="s">
        <v>199</v>
      </c>
      <c r="D169">
        <v>6780</v>
      </c>
      <c r="E169">
        <v>7458</v>
      </c>
      <c r="F169">
        <v>100</v>
      </c>
      <c r="G169">
        <v>2000</v>
      </c>
      <c r="H169">
        <v>0</v>
      </c>
      <c r="I169">
        <v>4.3</v>
      </c>
      <c r="J169" s="28">
        <v>7.24</v>
      </c>
      <c r="K169" s="126">
        <v>0.18</v>
      </c>
      <c r="L169" s="126">
        <v>1.7</v>
      </c>
      <c r="M169" s="126">
        <v>0.1</v>
      </c>
      <c r="N169" s="126">
        <v>0</v>
      </c>
      <c r="O169" s="126">
        <v>0.6</v>
      </c>
      <c r="P169" s="126">
        <v>0.88500000000000001</v>
      </c>
      <c r="Q169" s="126">
        <v>0.8</v>
      </c>
      <c r="R169" s="126">
        <v>0</v>
      </c>
      <c r="S169" s="126">
        <v>0.55000000000000004</v>
      </c>
      <c r="T169" s="126">
        <v>20</v>
      </c>
      <c r="U169" s="126">
        <v>150</v>
      </c>
      <c r="V169" s="126">
        <v>50</v>
      </c>
      <c r="W169" s="126">
        <v>0.3</v>
      </c>
      <c r="X169" s="126">
        <v>0</v>
      </c>
      <c r="Y169" s="126">
        <v>0</v>
      </c>
      <c r="Z169" s="142">
        <v>0</v>
      </c>
      <c r="AA169" s="126">
        <v>0</v>
      </c>
      <c r="AB169" s="126">
        <v>0</v>
      </c>
      <c r="AC169" s="126">
        <v>0</v>
      </c>
      <c r="AD169" s="126">
        <v>0</v>
      </c>
      <c r="AE169" s="126">
        <v>0</v>
      </c>
      <c r="AF169" s="126">
        <v>39</v>
      </c>
      <c r="AG169" t="s">
        <v>3005</v>
      </c>
    </row>
    <row r="170" spans="1:33" x14ac:dyDescent="0.3">
      <c r="A170">
        <v>238</v>
      </c>
      <c r="B170" t="s">
        <v>231</v>
      </c>
      <c r="C170" t="s">
        <v>199</v>
      </c>
      <c r="D170">
        <v>21009</v>
      </c>
      <c r="E170">
        <v>23110</v>
      </c>
      <c r="F170">
        <v>50</v>
      </c>
      <c r="G170">
        <v>2500</v>
      </c>
      <c r="H170">
        <v>0</v>
      </c>
      <c r="I170">
        <v>2.1</v>
      </c>
      <c r="J170" s="28">
        <v>7.24</v>
      </c>
      <c r="K170" s="126">
        <v>0.18</v>
      </c>
      <c r="L170" s="126">
        <v>1.7</v>
      </c>
      <c r="M170" s="126">
        <v>0.1</v>
      </c>
      <c r="N170" s="126">
        <v>0</v>
      </c>
      <c r="O170" s="126">
        <v>0.6</v>
      </c>
      <c r="P170" s="126">
        <v>0.88500000000000001</v>
      </c>
      <c r="Q170" s="126">
        <v>0.8</v>
      </c>
      <c r="R170" s="126">
        <v>0</v>
      </c>
      <c r="S170" s="126">
        <v>0.55000000000000004</v>
      </c>
      <c r="T170" s="126">
        <v>20</v>
      </c>
      <c r="U170" s="126">
        <v>150</v>
      </c>
      <c r="V170" s="126">
        <v>50</v>
      </c>
      <c r="W170" s="126">
        <v>0.3</v>
      </c>
      <c r="X170" s="126">
        <v>0</v>
      </c>
      <c r="Y170" s="126">
        <v>0</v>
      </c>
      <c r="Z170" s="142">
        <v>-1</v>
      </c>
      <c r="AA170" s="126">
        <v>0</v>
      </c>
      <c r="AB170" s="126">
        <v>0</v>
      </c>
      <c r="AC170" s="126">
        <v>0</v>
      </c>
      <c r="AD170" s="126">
        <v>0</v>
      </c>
      <c r="AE170" s="126">
        <v>0</v>
      </c>
      <c r="AF170" s="126">
        <v>26</v>
      </c>
      <c r="AG170" t="s">
        <v>1887</v>
      </c>
    </row>
    <row r="171" spans="1:33" x14ac:dyDescent="0.3">
      <c r="A171">
        <v>239</v>
      </c>
      <c r="B171" t="s">
        <v>1846</v>
      </c>
      <c r="C171" t="s">
        <v>199</v>
      </c>
      <c r="D171">
        <v>3362</v>
      </c>
      <c r="E171">
        <v>3699</v>
      </c>
      <c r="F171">
        <v>100</v>
      </c>
      <c r="G171">
        <v>2000</v>
      </c>
      <c r="H171">
        <v>0</v>
      </c>
      <c r="I171">
        <v>4</v>
      </c>
      <c r="J171" s="28">
        <v>8.0500000000000007</v>
      </c>
      <c r="K171" s="126">
        <v>0.18</v>
      </c>
      <c r="L171" s="126">
        <v>1.7</v>
      </c>
      <c r="M171" s="126">
        <v>0.1</v>
      </c>
      <c r="N171" s="126">
        <v>0</v>
      </c>
      <c r="O171" s="126">
        <v>0.6</v>
      </c>
      <c r="P171" s="126">
        <v>0.88500000000000001</v>
      </c>
      <c r="Q171" s="126">
        <v>0.85</v>
      </c>
      <c r="R171" s="126">
        <v>0</v>
      </c>
      <c r="S171" s="126">
        <v>0.25</v>
      </c>
      <c r="T171" s="126">
        <v>13</v>
      </c>
      <c r="U171" s="126">
        <v>150</v>
      </c>
      <c r="V171" s="126">
        <v>50</v>
      </c>
      <c r="W171" s="126">
        <v>0.3</v>
      </c>
      <c r="X171" s="126">
        <v>0</v>
      </c>
      <c r="Y171" s="126">
        <v>0</v>
      </c>
      <c r="Z171" s="142">
        <v>0</v>
      </c>
      <c r="AA171" s="126">
        <v>0</v>
      </c>
      <c r="AB171" s="126">
        <v>0</v>
      </c>
      <c r="AC171" s="126">
        <v>0</v>
      </c>
      <c r="AD171" s="126">
        <v>0</v>
      </c>
      <c r="AE171" s="126">
        <v>0</v>
      </c>
      <c r="AF171" s="126">
        <v>31.2</v>
      </c>
      <c r="AG171" t="s">
        <v>2452</v>
      </c>
    </row>
    <row r="172" spans="1:33" x14ac:dyDescent="0.3">
      <c r="A172">
        <v>240</v>
      </c>
      <c r="B172" t="s">
        <v>232</v>
      </c>
      <c r="C172" t="s">
        <v>199</v>
      </c>
      <c r="D172">
        <v>34677</v>
      </c>
      <c r="E172">
        <v>38145</v>
      </c>
      <c r="F172">
        <v>100</v>
      </c>
      <c r="G172">
        <v>2000</v>
      </c>
      <c r="H172">
        <v>0</v>
      </c>
      <c r="I172">
        <v>5.8</v>
      </c>
      <c r="J172" s="28">
        <v>7.24</v>
      </c>
      <c r="K172" s="126">
        <v>0.18</v>
      </c>
      <c r="L172" s="126">
        <v>1.7</v>
      </c>
      <c r="M172" s="126">
        <v>0.1</v>
      </c>
      <c r="N172" s="126">
        <v>0</v>
      </c>
      <c r="O172" s="126">
        <v>0.6</v>
      </c>
      <c r="P172" s="126">
        <v>0.88500000000000001</v>
      </c>
      <c r="Q172" s="126">
        <v>0.8</v>
      </c>
      <c r="R172" s="126">
        <v>0</v>
      </c>
      <c r="S172" s="126">
        <v>0.7</v>
      </c>
      <c r="T172" s="126">
        <v>50</v>
      </c>
      <c r="U172" s="126">
        <v>100</v>
      </c>
      <c r="V172" s="126">
        <v>0</v>
      </c>
      <c r="W172" s="126">
        <v>0</v>
      </c>
      <c r="X172" s="126">
        <v>0</v>
      </c>
      <c r="Y172" s="126">
        <v>0</v>
      </c>
      <c r="Z172" s="142">
        <v>0</v>
      </c>
      <c r="AA172" s="126">
        <v>0</v>
      </c>
      <c r="AB172" s="126">
        <v>0</v>
      </c>
      <c r="AC172" s="126">
        <v>0</v>
      </c>
      <c r="AD172" s="126">
        <v>0</v>
      </c>
      <c r="AE172" s="126">
        <v>19.456</v>
      </c>
      <c r="AF172" s="126">
        <v>32.5</v>
      </c>
      <c r="AG172" t="s">
        <v>3006</v>
      </c>
    </row>
    <row r="173" spans="1:33" x14ac:dyDescent="0.3">
      <c r="A173">
        <v>241</v>
      </c>
      <c r="B173" t="s">
        <v>3007</v>
      </c>
      <c r="C173" t="s">
        <v>199</v>
      </c>
      <c r="D173">
        <v>12377</v>
      </c>
      <c r="E173">
        <v>13614</v>
      </c>
      <c r="F173">
        <v>100</v>
      </c>
      <c r="G173">
        <v>2000</v>
      </c>
      <c r="H173">
        <v>0</v>
      </c>
      <c r="I173">
        <v>4</v>
      </c>
      <c r="J173" s="28">
        <v>7.24</v>
      </c>
      <c r="K173" s="126">
        <v>0.18</v>
      </c>
      <c r="L173" s="126">
        <v>1.7</v>
      </c>
      <c r="M173" s="126">
        <v>0.1</v>
      </c>
      <c r="N173" s="126">
        <v>0</v>
      </c>
      <c r="O173" s="126">
        <v>0.6</v>
      </c>
      <c r="P173" s="126">
        <v>0.88500000000000001</v>
      </c>
      <c r="Q173" s="126">
        <v>0.8</v>
      </c>
      <c r="R173" s="126">
        <v>0</v>
      </c>
      <c r="S173" s="126">
        <v>0.7</v>
      </c>
      <c r="T173" s="126">
        <v>50</v>
      </c>
      <c r="U173" s="126">
        <v>100</v>
      </c>
      <c r="V173" s="126">
        <v>0</v>
      </c>
      <c r="W173" s="126">
        <v>0</v>
      </c>
      <c r="X173" s="126">
        <v>0</v>
      </c>
      <c r="Y173" s="126">
        <v>0</v>
      </c>
      <c r="Z173" s="142">
        <v>0</v>
      </c>
      <c r="AA173" s="126">
        <v>0</v>
      </c>
      <c r="AB173" s="126">
        <v>0</v>
      </c>
      <c r="AC173" s="126">
        <v>0</v>
      </c>
      <c r="AD173" s="126">
        <v>0</v>
      </c>
      <c r="AE173" s="126">
        <v>19.456</v>
      </c>
      <c r="AF173" s="126">
        <v>39</v>
      </c>
      <c r="AG173" t="s">
        <v>3008</v>
      </c>
    </row>
    <row r="174" spans="1:33" x14ac:dyDescent="0.3">
      <c r="A174">
        <v>242</v>
      </c>
      <c r="B174" t="s">
        <v>3009</v>
      </c>
      <c r="C174" t="s">
        <v>199</v>
      </c>
      <c r="D174">
        <v>21838</v>
      </c>
      <c r="E174">
        <v>24022</v>
      </c>
      <c r="F174">
        <v>100</v>
      </c>
      <c r="G174">
        <v>2000</v>
      </c>
      <c r="H174">
        <v>0</v>
      </c>
      <c r="I174">
        <v>4.9000000000000004</v>
      </c>
      <c r="J174" s="28">
        <v>7.24</v>
      </c>
      <c r="K174" s="126">
        <v>0.18</v>
      </c>
      <c r="L174" s="126">
        <v>1.7</v>
      </c>
      <c r="M174" s="126">
        <v>0.1</v>
      </c>
      <c r="N174" s="126">
        <v>0</v>
      </c>
      <c r="O174" s="126">
        <v>0.6</v>
      </c>
      <c r="P174" s="126">
        <v>0.88500000000000001</v>
      </c>
      <c r="Q174" s="126">
        <v>0.8</v>
      </c>
      <c r="R174" s="126">
        <v>0</v>
      </c>
      <c r="S174" s="126">
        <v>0.7</v>
      </c>
      <c r="T174" s="126">
        <v>50</v>
      </c>
      <c r="U174" s="126">
        <v>100</v>
      </c>
      <c r="V174" s="126">
        <v>0</v>
      </c>
      <c r="W174" s="126">
        <v>0</v>
      </c>
      <c r="X174" s="126">
        <v>0</v>
      </c>
      <c r="Y174" s="126">
        <v>0</v>
      </c>
      <c r="Z174" s="142">
        <v>0</v>
      </c>
      <c r="AA174" s="126">
        <v>0</v>
      </c>
      <c r="AB174" s="126">
        <v>0</v>
      </c>
      <c r="AC174" s="126">
        <v>0</v>
      </c>
      <c r="AD174" s="126">
        <v>0</v>
      </c>
      <c r="AE174" s="126">
        <v>19.456</v>
      </c>
      <c r="AF174" s="126">
        <v>39</v>
      </c>
      <c r="AG174" t="s">
        <v>3010</v>
      </c>
    </row>
    <row r="175" spans="1:33" x14ac:dyDescent="0.3">
      <c r="A175">
        <v>243</v>
      </c>
      <c r="B175" t="s">
        <v>3011</v>
      </c>
      <c r="C175" t="s">
        <v>199</v>
      </c>
      <c r="D175">
        <v>25499</v>
      </c>
      <c r="E175">
        <v>28049</v>
      </c>
      <c r="F175">
        <v>100</v>
      </c>
      <c r="G175">
        <v>2000</v>
      </c>
      <c r="H175">
        <v>0</v>
      </c>
      <c r="I175">
        <v>5.8</v>
      </c>
      <c r="J175" s="28">
        <v>7.24</v>
      </c>
      <c r="K175" s="126">
        <v>0.18</v>
      </c>
      <c r="L175" s="126">
        <v>1.7</v>
      </c>
      <c r="M175" s="126">
        <v>0.1</v>
      </c>
      <c r="N175" s="126">
        <v>0</v>
      </c>
      <c r="O175" s="126">
        <v>0.6</v>
      </c>
      <c r="P175" s="126">
        <v>0.88500000000000001</v>
      </c>
      <c r="Q175" s="126">
        <v>0.85</v>
      </c>
      <c r="R175" s="126">
        <v>0</v>
      </c>
      <c r="S175" s="126">
        <v>0.55000000000000004</v>
      </c>
      <c r="T175" s="126">
        <v>50</v>
      </c>
      <c r="U175" s="126">
        <v>100</v>
      </c>
      <c r="V175" s="126">
        <v>0</v>
      </c>
      <c r="W175" s="126">
        <v>0</v>
      </c>
      <c r="X175" s="126">
        <v>0</v>
      </c>
      <c r="Y175" s="126">
        <v>0</v>
      </c>
      <c r="Z175" s="142">
        <v>0</v>
      </c>
      <c r="AA175" s="126">
        <v>0</v>
      </c>
      <c r="AB175" s="126">
        <v>0</v>
      </c>
      <c r="AC175" s="126">
        <v>0</v>
      </c>
      <c r="AD175" s="126">
        <v>0</v>
      </c>
      <c r="AE175" s="126">
        <v>9.4559999999999995</v>
      </c>
      <c r="AF175" s="126">
        <v>32.5</v>
      </c>
      <c r="AG175" t="s">
        <v>3012</v>
      </c>
    </row>
    <row r="176" spans="1:33" x14ac:dyDescent="0.3">
      <c r="A176">
        <v>244</v>
      </c>
      <c r="B176" t="s">
        <v>3013</v>
      </c>
      <c r="C176" t="s">
        <v>199</v>
      </c>
      <c r="D176">
        <v>5995</v>
      </c>
      <c r="E176">
        <v>6595</v>
      </c>
      <c r="F176">
        <v>100</v>
      </c>
      <c r="G176">
        <v>2000</v>
      </c>
      <c r="H176">
        <v>0</v>
      </c>
      <c r="I176">
        <v>2.7</v>
      </c>
      <c r="J176" s="28">
        <v>7.24</v>
      </c>
      <c r="K176" s="126">
        <v>0.18</v>
      </c>
      <c r="L176" s="126">
        <v>1.7</v>
      </c>
      <c r="M176" s="126">
        <v>0.1</v>
      </c>
      <c r="N176" s="126">
        <v>0</v>
      </c>
      <c r="O176" s="126">
        <v>0.6</v>
      </c>
      <c r="P176" s="126">
        <v>0.88500000000000001</v>
      </c>
      <c r="Q176" s="126">
        <v>0.85</v>
      </c>
      <c r="R176" s="126">
        <v>0</v>
      </c>
      <c r="S176" s="126">
        <v>0.55000000000000004</v>
      </c>
      <c r="T176" s="126">
        <v>50</v>
      </c>
      <c r="U176" s="126">
        <v>100</v>
      </c>
      <c r="V176" s="126">
        <v>0</v>
      </c>
      <c r="W176" s="126">
        <v>0</v>
      </c>
      <c r="X176" s="126">
        <v>0</v>
      </c>
      <c r="Y176" s="126">
        <v>0</v>
      </c>
      <c r="Z176" s="142">
        <v>0</v>
      </c>
      <c r="AA176" s="126">
        <v>0</v>
      </c>
      <c r="AB176" s="126">
        <v>0</v>
      </c>
      <c r="AC176" s="126">
        <v>0</v>
      </c>
      <c r="AD176" s="126">
        <v>0</v>
      </c>
      <c r="AE176" s="126">
        <v>9.4559999999999995</v>
      </c>
      <c r="AF176" s="126">
        <v>32.5</v>
      </c>
      <c r="AG176" t="s">
        <v>3014</v>
      </c>
    </row>
    <row r="177" spans="1:33" x14ac:dyDescent="0.3">
      <c r="A177">
        <v>245</v>
      </c>
      <c r="B177" t="s">
        <v>3015</v>
      </c>
      <c r="C177" t="s">
        <v>199</v>
      </c>
      <c r="D177">
        <v>13699</v>
      </c>
      <c r="E177">
        <v>15069</v>
      </c>
      <c r="F177">
        <v>100</v>
      </c>
      <c r="G177">
        <v>2000</v>
      </c>
      <c r="H177">
        <v>0</v>
      </c>
      <c r="I177">
        <v>4.3</v>
      </c>
      <c r="J177" s="28">
        <v>7.24</v>
      </c>
      <c r="K177" s="126">
        <v>0.18</v>
      </c>
      <c r="L177" s="126">
        <v>1.7</v>
      </c>
      <c r="M177" s="126">
        <v>0.1</v>
      </c>
      <c r="N177" s="126">
        <v>0</v>
      </c>
      <c r="O177" s="126">
        <v>0.6</v>
      </c>
      <c r="P177" s="126">
        <v>0.88500000000000001</v>
      </c>
      <c r="Q177" s="126">
        <v>0.85</v>
      </c>
      <c r="R177" s="126">
        <v>0</v>
      </c>
      <c r="S177" s="126">
        <v>0.55000000000000004</v>
      </c>
      <c r="T177" s="126">
        <v>50</v>
      </c>
      <c r="U177" s="126">
        <v>100</v>
      </c>
      <c r="V177" s="126">
        <v>0</v>
      </c>
      <c r="W177" s="126">
        <v>0</v>
      </c>
      <c r="X177" s="126">
        <v>0</v>
      </c>
      <c r="Y177" s="126">
        <v>0</v>
      </c>
      <c r="Z177" s="142">
        <v>0</v>
      </c>
      <c r="AA177" s="126">
        <v>0</v>
      </c>
      <c r="AB177" s="126">
        <v>0</v>
      </c>
      <c r="AC177" s="126">
        <v>0</v>
      </c>
      <c r="AD177" s="126">
        <v>0</v>
      </c>
      <c r="AE177" s="126">
        <v>9.4559999999999995</v>
      </c>
      <c r="AF177" s="126">
        <v>32.5</v>
      </c>
      <c r="AG177" t="s">
        <v>3016</v>
      </c>
    </row>
    <row r="178" spans="1:33" x14ac:dyDescent="0.3">
      <c r="A178">
        <v>246</v>
      </c>
      <c r="B178" t="s">
        <v>3017</v>
      </c>
      <c r="C178" t="s">
        <v>199</v>
      </c>
      <c r="D178">
        <v>7212</v>
      </c>
      <c r="E178">
        <v>7933</v>
      </c>
      <c r="F178">
        <v>100</v>
      </c>
      <c r="G178">
        <v>2000</v>
      </c>
      <c r="H178">
        <v>0</v>
      </c>
      <c r="I178">
        <v>4</v>
      </c>
      <c r="J178" s="28">
        <v>8.85</v>
      </c>
      <c r="K178" s="126">
        <v>0.18</v>
      </c>
      <c r="L178" s="126">
        <v>1.7</v>
      </c>
      <c r="M178" s="126">
        <v>0.1</v>
      </c>
      <c r="N178" s="126">
        <v>0</v>
      </c>
      <c r="O178" s="126">
        <v>0.6</v>
      </c>
      <c r="P178" s="126">
        <v>0.88500000000000001</v>
      </c>
      <c r="Q178" s="126">
        <v>0.8</v>
      </c>
      <c r="R178" s="126">
        <v>0</v>
      </c>
      <c r="S178" s="126">
        <v>0.6</v>
      </c>
      <c r="T178" s="126">
        <v>50</v>
      </c>
      <c r="U178" s="126">
        <v>100</v>
      </c>
      <c r="V178" s="126">
        <v>0</v>
      </c>
      <c r="W178" s="126">
        <v>0</v>
      </c>
      <c r="X178" s="126">
        <v>0</v>
      </c>
      <c r="Y178" s="126">
        <v>0</v>
      </c>
      <c r="Z178" s="142">
        <v>0</v>
      </c>
      <c r="AA178" s="126">
        <v>0</v>
      </c>
      <c r="AB178" s="126">
        <v>0</v>
      </c>
      <c r="AC178" s="126">
        <v>0</v>
      </c>
      <c r="AD178" s="126">
        <v>0</v>
      </c>
      <c r="AE178" s="126">
        <v>7.024</v>
      </c>
      <c r="AF178" s="126">
        <v>32.5</v>
      </c>
      <c r="AG178" t="s">
        <v>3018</v>
      </c>
    </row>
    <row r="179" spans="1:33" x14ac:dyDescent="0.3">
      <c r="A179">
        <v>247</v>
      </c>
      <c r="B179" t="s">
        <v>233</v>
      </c>
      <c r="C179" t="s">
        <v>199</v>
      </c>
      <c r="D179">
        <v>29713</v>
      </c>
      <c r="E179">
        <v>32685</v>
      </c>
      <c r="F179">
        <v>100</v>
      </c>
      <c r="G179">
        <v>2000</v>
      </c>
      <c r="H179">
        <v>0</v>
      </c>
      <c r="I179">
        <v>5.8</v>
      </c>
      <c r="J179" s="28">
        <v>7.24</v>
      </c>
      <c r="K179" s="126">
        <v>0.18</v>
      </c>
      <c r="L179" s="126">
        <v>1.7</v>
      </c>
      <c r="M179" s="126">
        <v>0.1</v>
      </c>
      <c r="N179" s="126">
        <v>0</v>
      </c>
      <c r="O179" s="126">
        <v>0.6</v>
      </c>
      <c r="P179" s="126">
        <v>0.88500000000000001</v>
      </c>
      <c r="Q179" s="126">
        <v>0.8</v>
      </c>
      <c r="R179" s="126">
        <v>0</v>
      </c>
      <c r="S179" s="126">
        <v>0.55000000000000004</v>
      </c>
      <c r="T179" s="126">
        <v>18</v>
      </c>
      <c r="U179" s="126">
        <v>75</v>
      </c>
      <c r="V179" s="126">
        <v>0</v>
      </c>
      <c r="W179" s="126">
        <v>0</v>
      </c>
      <c r="X179" s="126">
        <v>0</v>
      </c>
      <c r="Y179" s="126">
        <v>0</v>
      </c>
      <c r="Z179" s="142">
        <v>0</v>
      </c>
      <c r="AA179" s="126">
        <v>0</v>
      </c>
      <c r="AB179" s="126">
        <v>0</v>
      </c>
      <c r="AC179" s="126">
        <v>0</v>
      </c>
      <c r="AD179" s="126">
        <v>0</v>
      </c>
      <c r="AE179" s="126">
        <v>15.2</v>
      </c>
      <c r="AF179" s="126">
        <v>39</v>
      </c>
      <c r="AG179" t="s">
        <v>2453</v>
      </c>
    </row>
    <row r="180" spans="1:33" x14ac:dyDescent="0.3">
      <c r="A180">
        <v>248</v>
      </c>
      <c r="B180" t="s">
        <v>3019</v>
      </c>
      <c r="C180" t="s">
        <v>199</v>
      </c>
      <c r="D180">
        <v>8650</v>
      </c>
      <c r="E180">
        <v>9515</v>
      </c>
      <c r="F180">
        <v>100</v>
      </c>
      <c r="G180">
        <v>2000</v>
      </c>
      <c r="H180">
        <v>0</v>
      </c>
      <c r="I180">
        <v>4</v>
      </c>
      <c r="J180" s="28">
        <v>7.24</v>
      </c>
      <c r="K180" s="126">
        <v>0.18</v>
      </c>
      <c r="L180" s="126">
        <v>1.7</v>
      </c>
      <c r="M180" s="126">
        <v>0.1</v>
      </c>
      <c r="N180" s="126">
        <v>0</v>
      </c>
      <c r="O180" s="126">
        <v>0.6</v>
      </c>
      <c r="P180" s="126">
        <v>0.88500000000000001</v>
      </c>
      <c r="Q180" s="126">
        <v>0.8</v>
      </c>
      <c r="R180" s="126">
        <v>0</v>
      </c>
      <c r="S180" s="126">
        <v>0.55000000000000004</v>
      </c>
      <c r="T180" s="126">
        <v>18</v>
      </c>
      <c r="U180" s="126">
        <v>75</v>
      </c>
      <c r="V180" s="126">
        <v>0</v>
      </c>
      <c r="W180" s="126">
        <v>0</v>
      </c>
      <c r="X180" s="126">
        <v>0</v>
      </c>
      <c r="Y180" s="126">
        <v>0</v>
      </c>
      <c r="Z180" s="142">
        <v>0</v>
      </c>
      <c r="AA180" s="126">
        <v>0</v>
      </c>
      <c r="AB180" s="126">
        <v>0</v>
      </c>
      <c r="AC180" s="126">
        <v>0</v>
      </c>
      <c r="AD180" s="126">
        <v>0</v>
      </c>
      <c r="AE180" s="126">
        <v>15.2</v>
      </c>
      <c r="AF180" s="126">
        <v>39</v>
      </c>
      <c r="AG180" t="s">
        <v>3020</v>
      </c>
    </row>
    <row r="181" spans="1:33" x14ac:dyDescent="0.3">
      <c r="A181">
        <v>249</v>
      </c>
      <c r="B181" t="s">
        <v>3021</v>
      </c>
      <c r="C181" t="s">
        <v>199</v>
      </c>
      <c r="D181">
        <v>20269</v>
      </c>
      <c r="E181">
        <v>22296</v>
      </c>
      <c r="F181">
        <v>100</v>
      </c>
      <c r="G181">
        <v>2000</v>
      </c>
      <c r="H181">
        <v>0</v>
      </c>
      <c r="I181">
        <v>4.3</v>
      </c>
      <c r="J181" s="28">
        <v>7.24</v>
      </c>
      <c r="K181" s="126">
        <v>0.18</v>
      </c>
      <c r="L181" s="126">
        <v>1.7</v>
      </c>
      <c r="M181" s="126">
        <v>0.1</v>
      </c>
      <c r="N181" s="126">
        <v>0</v>
      </c>
      <c r="O181" s="126">
        <v>0.6</v>
      </c>
      <c r="P181" s="126">
        <v>0.88500000000000001</v>
      </c>
      <c r="Q181" s="126">
        <v>0.8</v>
      </c>
      <c r="R181" s="126">
        <v>0</v>
      </c>
      <c r="S181" s="126">
        <v>0.55000000000000004</v>
      </c>
      <c r="T181" s="126">
        <v>18</v>
      </c>
      <c r="U181" s="126">
        <v>75</v>
      </c>
      <c r="V181" s="126">
        <v>0</v>
      </c>
      <c r="W181" s="126">
        <v>0</v>
      </c>
      <c r="X181" s="126">
        <v>0</v>
      </c>
      <c r="Y181" s="126">
        <v>0</v>
      </c>
      <c r="Z181" s="142">
        <v>0</v>
      </c>
      <c r="AA181" s="126">
        <v>0</v>
      </c>
      <c r="AB181" s="126">
        <v>0</v>
      </c>
      <c r="AC181" s="126">
        <v>0</v>
      </c>
      <c r="AD181" s="126">
        <v>0</v>
      </c>
      <c r="AE181" s="126">
        <v>15.2</v>
      </c>
      <c r="AF181" s="126">
        <v>39</v>
      </c>
      <c r="AG181" t="s">
        <v>3022</v>
      </c>
    </row>
    <row r="182" spans="1:33" x14ac:dyDescent="0.3">
      <c r="A182">
        <v>250</v>
      </c>
      <c r="B182" t="s">
        <v>234</v>
      </c>
      <c r="C182" t="s">
        <v>199</v>
      </c>
      <c r="D182">
        <v>17821</v>
      </c>
      <c r="E182">
        <v>19603</v>
      </c>
      <c r="F182">
        <v>100</v>
      </c>
      <c r="G182">
        <v>2000</v>
      </c>
      <c r="H182">
        <v>0</v>
      </c>
      <c r="I182">
        <v>5.8</v>
      </c>
      <c r="J182" s="28">
        <v>6.44</v>
      </c>
      <c r="K182" s="126">
        <v>0.18</v>
      </c>
      <c r="L182" s="126">
        <v>1.7</v>
      </c>
      <c r="M182" s="126">
        <v>0.1</v>
      </c>
      <c r="N182" s="126">
        <v>0</v>
      </c>
      <c r="O182" s="126">
        <v>0.6</v>
      </c>
      <c r="P182" s="126">
        <v>0.88500000000000001</v>
      </c>
      <c r="Q182" s="126">
        <v>0.8</v>
      </c>
      <c r="R182" s="126">
        <v>0</v>
      </c>
      <c r="S182" s="126">
        <v>0.55000000000000004</v>
      </c>
      <c r="T182" s="126">
        <v>50</v>
      </c>
      <c r="U182" s="126">
        <v>100</v>
      </c>
      <c r="V182" s="126">
        <v>0</v>
      </c>
      <c r="W182" s="126">
        <v>0</v>
      </c>
      <c r="X182" s="126">
        <v>0</v>
      </c>
      <c r="Y182" s="126">
        <v>0</v>
      </c>
      <c r="Z182" s="142">
        <v>0</v>
      </c>
      <c r="AA182" s="126">
        <v>0</v>
      </c>
      <c r="AB182" s="126">
        <v>0</v>
      </c>
      <c r="AC182" s="126">
        <v>0</v>
      </c>
      <c r="AD182" s="126">
        <v>0</v>
      </c>
      <c r="AE182" s="126">
        <v>20.672000000000001</v>
      </c>
      <c r="AF182" s="126">
        <v>39</v>
      </c>
      <c r="AG182" t="s">
        <v>2454</v>
      </c>
    </row>
    <row r="183" spans="1:33" x14ac:dyDescent="0.3">
      <c r="A183">
        <v>251</v>
      </c>
      <c r="B183" t="s">
        <v>3023</v>
      </c>
      <c r="C183" t="s">
        <v>199</v>
      </c>
      <c r="D183">
        <v>18000</v>
      </c>
      <c r="E183">
        <v>19800</v>
      </c>
      <c r="F183">
        <v>100</v>
      </c>
      <c r="G183">
        <v>2000</v>
      </c>
      <c r="H183">
        <v>0</v>
      </c>
      <c r="I183">
        <v>4</v>
      </c>
      <c r="J183" s="28">
        <v>6.44</v>
      </c>
      <c r="K183" s="126">
        <v>0.18</v>
      </c>
      <c r="L183" s="126">
        <v>1.7</v>
      </c>
      <c r="M183" s="126">
        <v>0.1</v>
      </c>
      <c r="N183" s="126">
        <v>0</v>
      </c>
      <c r="O183" s="126">
        <v>0.6</v>
      </c>
      <c r="P183" s="126">
        <v>0.88500000000000001</v>
      </c>
      <c r="Q183" s="126">
        <v>0.8</v>
      </c>
      <c r="R183" s="126">
        <v>0</v>
      </c>
      <c r="S183" s="126">
        <v>0.55000000000000004</v>
      </c>
      <c r="T183" s="126">
        <v>50</v>
      </c>
      <c r="U183" s="126">
        <v>75</v>
      </c>
      <c r="V183" s="126">
        <v>0</v>
      </c>
      <c r="W183" s="126">
        <v>0</v>
      </c>
      <c r="X183" s="126">
        <v>0</v>
      </c>
      <c r="Y183" s="126">
        <v>0</v>
      </c>
      <c r="Z183" s="142">
        <v>0</v>
      </c>
      <c r="AA183" s="126">
        <v>0</v>
      </c>
      <c r="AB183" s="126">
        <v>0</v>
      </c>
      <c r="AC183" s="126">
        <v>0</v>
      </c>
      <c r="AD183" s="126">
        <v>0</v>
      </c>
      <c r="AE183" s="126">
        <v>20.672000000000001</v>
      </c>
      <c r="AF183" s="126">
        <v>39</v>
      </c>
      <c r="AG183" t="s">
        <v>3024</v>
      </c>
    </row>
    <row r="184" spans="1:33" x14ac:dyDescent="0.3">
      <c r="A184">
        <v>252</v>
      </c>
      <c r="B184" t="s">
        <v>3025</v>
      </c>
      <c r="C184" t="s">
        <v>199</v>
      </c>
      <c r="D184">
        <v>12874</v>
      </c>
      <c r="E184">
        <v>14161</v>
      </c>
      <c r="F184">
        <v>100</v>
      </c>
      <c r="G184">
        <v>2000</v>
      </c>
      <c r="H184">
        <v>0</v>
      </c>
      <c r="I184">
        <v>4.9000000000000004</v>
      </c>
      <c r="J184" s="28">
        <v>6.44</v>
      </c>
      <c r="K184" s="126">
        <v>0.18</v>
      </c>
      <c r="L184" s="126">
        <v>0.6</v>
      </c>
      <c r="M184" s="126">
        <v>0.1</v>
      </c>
      <c r="N184" s="126">
        <v>0</v>
      </c>
      <c r="O184" s="126">
        <v>0.6</v>
      </c>
      <c r="P184" s="126">
        <v>0.88500000000000001</v>
      </c>
      <c r="Q184" s="126">
        <v>0.8</v>
      </c>
      <c r="R184" s="126">
        <v>0</v>
      </c>
      <c r="S184" s="126">
        <v>0.55000000000000004</v>
      </c>
      <c r="T184" s="126">
        <v>18</v>
      </c>
      <c r="U184" s="126">
        <v>75</v>
      </c>
      <c r="V184" s="126">
        <v>0</v>
      </c>
      <c r="W184" s="126">
        <v>0</v>
      </c>
      <c r="X184" s="126">
        <v>0</v>
      </c>
      <c r="Y184" s="126">
        <v>0</v>
      </c>
      <c r="Z184" s="142">
        <v>0</v>
      </c>
      <c r="AA184" s="126">
        <v>0</v>
      </c>
      <c r="AB184" s="126">
        <v>0</v>
      </c>
      <c r="AC184" s="126">
        <v>0</v>
      </c>
      <c r="AD184" s="126">
        <v>0</v>
      </c>
      <c r="AE184" s="126">
        <v>20.672000000000001</v>
      </c>
      <c r="AF184" s="126">
        <v>39</v>
      </c>
      <c r="AG184" t="s">
        <v>3026</v>
      </c>
    </row>
    <row r="185" spans="1:33" x14ac:dyDescent="0.3">
      <c r="A185">
        <v>253</v>
      </c>
      <c r="B185" t="s">
        <v>3027</v>
      </c>
      <c r="C185" t="s">
        <v>199</v>
      </c>
      <c r="D185">
        <v>13700</v>
      </c>
      <c r="E185">
        <v>15070</v>
      </c>
      <c r="F185">
        <v>100</v>
      </c>
      <c r="G185">
        <v>2500</v>
      </c>
      <c r="H185">
        <v>0</v>
      </c>
      <c r="I185">
        <v>4</v>
      </c>
      <c r="J185" s="28">
        <v>8.0500000000000007</v>
      </c>
      <c r="K185" s="126">
        <v>0.18</v>
      </c>
      <c r="L185" s="126">
        <v>0.65</v>
      </c>
      <c r="M185" s="126">
        <v>0.1</v>
      </c>
      <c r="N185" s="126">
        <v>0</v>
      </c>
      <c r="O185" s="126">
        <v>0.6</v>
      </c>
      <c r="P185" s="126">
        <v>0.88500000000000001</v>
      </c>
      <c r="Q185" s="126">
        <v>0.8</v>
      </c>
      <c r="R185" s="126">
        <v>0</v>
      </c>
      <c r="S185" s="126">
        <v>0.45</v>
      </c>
      <c r="T185" s="126">
        <v>50</v>
      </c>
      <c r="U185" s="126">
        <v>100</v>
      </c>
      <c r="V185" s="126">
        <v>0</v>
      </c>
      <c r="W185" s="126">
        <v>0</v>
      </c>
      <c r="X185" s="126">
        <v>0</v>
      </c>
      <c r="Y185" s="126">
        <v>0</v>
      </c>
      <c r="Z185" s="142">
        <v>0</v>
      </c>
      <c r="AA185" s="126">
        <v>0</v>
      </c>
      <c r="AB185" s="126">
        <v>0</v>
      </c>
      <c r="AC185" s="126">
        <v>0</v>
      </c>
      <c r="AD185" s="126">
        <v>0</v>
      </c>
      <c r="AE185" s="126">
        <v>19.456</v>
      </c>
      <c r="AF185" s="126">
        <v>6.3380000000000001</v>
      </c>
      <c r="AG185" t="s">
        <v>3028</v>
      </c>
    </row>
    <row r="186" spans="1:33" x14ac:dyDescent="0.3">
      <c r="A186">
        <v>254</v>
      </c>
      <c r="B186" t="s">
        <v>3029</v>
      </c>
      <c r="C186" t="s">
        <v>199</v>
      </c>
      <c r="D186">
        <v>7270</v>
      </c>
      <c r="E186">
        <v>7997</v>
      </c>
      <c r="F186">
        <v>250</v>
      </c>
      <c r="G186">
        <v>2500</v>
      </c>
      <c r="H186">
        <v>0</v>
      </c>
      <c r="I186">
        <v>4</v>
      </c>
      <c r="J186" s="28">
        <v>7.24</v>
      </c>
      <c r="K186" s="126">
        <v>0.18</v>
      </c>
      <c r="L186" s="126">
        <v>1.7</v>
      </c>
      <c r="M186" s="126">
        <v>0.1</v>
      </c>
      <c r="N186" s="126">
        <v>0</v>
      </c>
      <c r="O186" s="126">
        <v>0.6</v>
      </c>
      <c r="P186" s="126">
        <v>0.92</v>
      </c>
      <c r="Q186" s="126">
        <v>0.8</v>
      </c>
      <c r="R186" s="126">
        <v>0</v>
      </c>
      <c r="S186" s="126">
        <v>0.7</v>
      </c>
      <c r="T186" s="126">
        <v>13</v>
      </c>
      <c r="U186" s="126">
        <v>50</v>
      </c>
      <c r="V186" s="126">
        <v>0</v>
      </c>
      <c r="W186" s="126">
        <v>0</v>
      </c>
      <c r="X186" s="126">
        <v>0</v>
      </c>
      <c r="Y186" s="126">
        <v>0</v>
      </c>
      <c r="Z186" s="142">
        <v>0</v>
      </c>
      <c r="AA186" s="126">
        <v>0</v>
      </c>
      <c r="AB186" s="126">
        <v>0</v>
      </c>
      <c r="AC186" s="126">
        <v>0</v>
      </c>
      <c r="AD186" s="126">
        <v>0</v>
      </c>
      <c r="AE186" s="126">
        <v>0</v>
      </c>
      <c r="AF186" s="126">
        <v>0</v>
      </c>
      <c r="AG186" t="s">
        <v>3030</v>
      </c>
    </row>
    <row r="187" spans="1:33" x14ac:dyDescent="0.3">
      <c r="A187">
        <v>255</v>
      </c>
      <c r="B187" t="s">
        <v>236</v>
      </c>
      <c r="C187" t="s">
        <v>199</v>
      </c>
      <c r="D187">
        <v>291</v>
      </c>
      <c r="E187">
        <v>320</v>
      </c>
      <c r="F187">
        <v>250</v>
      </c>
      <c r="G187">
        <v>2500</v>
      </c>
      <c r="H187">
        <v>0</v>
      </c>
      <c r="I187">
        <v>3</v>
      </c>
      <c r="J187" s="28">
        <v>6.44</v>
      </c>
      <c r="K187" s="126">
        <v>0.28999999999999998</v>
      </c>
      <c r="L187" s="126">
        <v>1.8</v>
      </c>
      <c r="M187" s="126">
        <v>0.1</v>
      </c>
      <c r="N187" s="126">
        <v>0</v>
      </c>
      <c r="O187" s="126">
        <v>0.6</v>
      </c>
      <c r="P187" s="126">
        <v>0.88500000000000001</v>
      </c>
      <c r="Q187" s="126">
        <v>0.8</v>
      </c>
      <c r="R187" s="126">
        <v>0</v>
      </c>
      <c r="S187" s="126">
        <v>0.25</v>
      </c>
      <c r="T187" s="126">
        <v>13</v>
      </c>
      <c r="U187" s="126">
        <v>75</v>
      </c>
      <c r="V187" s="126">
        <v>0</v>
      </c>
      <c r="W187" s="126">
        <v>0</v>
      </c>
      <c r="X187" s="126">
        <v>0</v>
      </c>
      <c r="Y187" s="126">
        <v>0</v>
      </c>
      <c r="Z187" s="142">
        <v>0</v>
      </c>
      <c r="AA187" s="126">
        <v>0</v>
      </c>
      <c r="AB187" s="126">
        <v>0</v>
      </c>
      <c r="AC187" s="126">
        <v>0</v>
      </c>
      <c r="AD187" s="126">
        <v>0</v>
      </c>
      <c r="AE187" s="126">
        <v>7.9039999999999999</v>
      </c>
      <c r="AF187" s="126">
        <v>0</v>
      </c>
      <c r="AG187" t="s">
        <v>2455</v>
      </c>
    </row>
    <row r="188" spans="1:33" x14ac:dyDescent="0.3">
      <c r="A188">
        <v>256</v>
      </c>
      <c r="B188" t="s">
        <v>237</v>
      </c>
      <c r="C188" t="s">
        <v>199</v>
      </c>
      <c r="D188">
        <v>19196</v>
      </c>
      <c r="E188">
        <v>21116</v>
      </c>
      <c r="F188">
        <v>50</v>
      </c>
      <c r="G188">
        <v>2500</v>
      </c>
      <c r="H188">
        <v>0</v>
      </c>
      <c r="I188">
        <v>2.1</v>
      </c>
      <c r="J188" s="28">
        <v>7.24</v>
      </c>
      <c r="K188" s="126">
        <v>0.17</v>
      </c>
      <c r="L188" s="126">
        <v>2.2000000000000002</v>
      </c>
      <c r="M188" s="126">
        <v>0.1</v>
      </c>
      <c r="N188" s="126">
        <v>0</v>
      </c>
      <c r="O188" s="126">
        <v>0.6</v>
      </c>
      <c r="P188" s="126">
        <v>0.88500000000000001</v>
      </c>
      <c r="Q188" s="126">
        <v>0.8</v>
      </c>
      <c r="R188" s="126">
        <v>0</v>
      </c>
      <c r="S188" s="126">
        <v>0.3</v>
      </c>
      <c r="T188" s="126">
        <v>13</v>
      </c>
      <c r="U188" s="126">
        <v>100</v>
      </c>
      <c r="V188" s="126">
        <v>150</v>
      </c>
      <c r="W188" s="126">
        <v>1</v>
      </c>
      <c r="X188" s="126">
        <v>150</v>
      </c>
      <c r="Y188" s="126">
        <v>1</v>
      </c>
      <c r="Z188" s="142">
        <v>17</v>
      </c>
      <c r="AA188" s="126">
        <v>0</v>
      </c>
      <c r="AB188" s="126">
        <v>0</v>
      </c>
      <c r="AC188" s="126">
        <v>0</v>
      </c>
      <c r="AD188" s="126">
        <v>0</v>
      </c>
      <c r="AE188" s="126">
        <v>0</v>
      </c>
      <c r="AF188" s="126">
        <v>0.15</v>
      </c>
      <c r="AG188" t="s">
        <v>1847</v>
      </c>
    </row>
    <row r="189" spans="1:33" x14ac:dyDescent="0.3">
      <c r="A189">
        <v>257</v>
      </c>
      <c r="B189" t="s">
        <v>3031</v>
      </c>
      <c r="C189" t="s">
        <v>199</v>
      </c>
      <c r="D189">
        <v>8616</v>
      </c>
      <c r="E189">
        <v>9478</v>
      </c>
      <c r="F189">
        <v>115</v>
      </c>
      <c r="G189">
        <v>1725</v>
      </c>
      <c r="H189">
        <v>0</v>
      </c>
      <c r="I189">
        <v>8</v>
      </c>
      <c r="J189" s="28">
        <v>5.63</v>
      </c>
      <c r="K189" s="126">
        <v>0.17</v>
      </c>
      <c r="L189" s="126">
        <v>2.2000000000000002</v>
      </c>
      <c r="M189" s="126">
        <v>0.1</v>
      </c>
      <c r="N189" s="126">
        <v>0</v>
      </c>
      <c r="O189" s="126">
        <v>0.7</v>
      </c>
      <c r="P189" s="126">
        <v>0.94</v>
      </c>
      <c r="Q189" s="126">
        <v>0.7</v>
      </c>
      <c r="R189" s="126">
        <v>0</v>
      </c>
      <c r="S189" s="126">
        <v>0.25</v>
      </c>
      <c r="T189" s="126">
        <v>15</v>
      </c>
      <c r="U189" s="126">
        <v>25</v>
      </c>
      <c r="V189" s="126">
        <v>100</v>
      </c>
      <c r="W189" s="126">
        <v>1</v>
      </c>
      <c r="X189" s="126">
        <v>0</v>
      </c>
      <c r="Y189" s="126">
        <v>0</v>
      </c>
      <c r="Z189" s="142">
        <v>0</v>
      </c>
      <c r="AA189" s="126">
        <v>0</v>
      </c>
      <c r="AB189" s="126">
        <v>0</v>
      </c>
      <c r="AC189" s="126">
        <v>0</v>
      </c>
      <c r="AD189" s="126">
        <v>0</v>
      </c>
      <c r="AE189" s="126">
        <v>6.08</v>
      </c>
      <c r="AF189" s="126">
        <v>31.2</v>
      </c>
      <c r="AG189" t="s">
        <v>3032</v>
      </c>
    </row>
    <row r="190" spans="1:33" x14ac:dyDescent="0.3">
      <c r="A190">
        <v>258</v>
      </c>
      <c r="B190" t="s">
        <v>238</v>
      </c>
      <c r="C190" t="s">
        <v>187</v>
      </c>
      <c r="D190">
        <v>78942</v>
      </c>
      <c r="E190">
        <v>86837</v>
      </c>
      <c r="F190">
        <v>50</v>
      </c>
      <c r="G190">
        <v>6000</v>
      </c>
      <c r="H190">
        <v>224</v>
      </c>
      <c r="I190">
        <v>9.1</v>
      </c>
      <c r="J190" s="28">
        <v>6.44</v>
      </c>
      <c r="K190" s="126">
        <v>0.63</v>
      </c>
      <c r="L190" s="126">
        <v>1.3</v>
      </c>
      <c r="M190" s="126">
        <v>0.1</v>
      </c>
      <c r="N190" s="126">
        <v>0.223</v>
      </c>
      <c r="O190" s="126">
        <v>0.56000000000000005</v>
      </c>
      <c r="P190" s="126">
        <v>0.88500000000000001</v>
      </c>
      <c r="Q190" s="126">
        <v>0.67</v>
      </c>
      <c r="R190" s="126">
        <v>0</v>
      </c>
      <c r="S190" s="126">
        <v>0</v>
      </c>
      <c r="T190" s="126">
        <v>0</v>
      </c>
      <c r="U190" s="126">
        <v>0</v>
      </c>
      <c r="V190" s="126">
        <v>0</v>
      </c>
      <c r="W190" s="126">
        <v>0</v>
      </c>
      <c r="X190" s="126">
        <v>0</v>
      </c>
      <c r="Y190" s="126">
        <v>0</v>
      </c>
      <c r="Z190" s="142">
        <v>9</v>
      </c>
      <c r="AA190" s="126">
        <v>0</v>
      </c>
      <c r="AB190" s="126">
        <v>0</v>
      </c>
      <c r="AC190" s="126">
        <v>0</v>
      </c>
      <c r="AD190" s="126">
        <v>0</v>
      </c>
      <c r="AE190" s="126">
        <v>5</v>
      </c>
      <c r="AF190" s="126">
        <v>0</v>
      </c>
      <c r="AG190" t="s">
        <v>1875</v>
      </c>
    </row>
    <row r="191" spans="1:33" x14ac:dyDescent="0.3">
      <c r="A191">
        <v>259</v>
      </c>
      <c r="B191" t="s">
        <v>239</v>
      </c>
      <c r="C191" t="s">
        <v>199</v>
      </c>
      <c r="D191">
        <v>5594</v>
      </c>
      <c r="E191">
        <v>6154</v>
      </c>
      <c r="F191">
        <v>50</v>
      </c>
      <c r="G191">
        <v>1200</v>
      </c>
      <c r="H191">
        <v>0</v>
      </c>
      <c r="I191">
        <v>9.1</v>
      </c>
      <c r="J191" s="28">
        <v>6.44</v>
      </c>
      <c r="K191" s="126">
        <v>0.63</v>
      </c>
      <c r="L191" s="126">
        <v>1.3</v>
      </c>
      <c r="M191" s="126">
        <v>0.1</v>
      </c>
      <c r="N191" s="126">
        <v>0</v>
      </c>
      <c r="O191" s="126">
        <v>0.6</v>
      </c>
      <c r="P191" s="126">
        <v>0.88500000000000001</v>
      </c>
      <c r="Q191" s="126">
        <v>0.65</v>
      </c>
      <c r="R191" s="126">
        <v>0</v>
      </c>
      <c r="S191" s="126">
        <v>0.3</v>
      </c>
      <c r="T191" s="126">
        <v>13</v>
      </c>
      <c r="U191" s="126">
        <v>75</v>
      </c>
      <c r="V191" s="126">
        <v>25</v>
      </c>
      <c r="W191" s="126">
        <v>0.3</v>
      </c>
      <c r="X191" s="126">
        <v>0</v>
      </c>
      <c r="Y191" s="126">
        <v>0</v>
      </c>
      <c r="Z191" s="142">
        <v>9</v>
      </c>
      <c r="AA191" s="126">
        <v>0</v>
      </c>
      <c r="AB191" s="126">
        <v>0</v>
      </c>
      <c r="AC191" s="126">
        <v>0</v>
      </c>
      <c r="AD191" s="126">
        <v>0</v>
      </c>
      <c r="AE191" s="126">
        <v>5</v>
      </c>
      <c r="AF191" s="126">
        <v>2.6</v>
      </c>
      <c r="AG191" t="s">
        <v>3033</v>
      </c>
    </row>
    <row r="192" spans="1:33" x14ac:dyDescent="0.3">
      <c r="A192">
        <v>260</v>
      </c>
      <c r="B192" t="s">
        <v>240</v>
      </c>
      <c r="C192" t="s">
        <v>199</v>
      </c>
      <c r="D192">
        <v>12047</v>
      </c>
      <c r="E192">
        <v>13252</v>
      </c>
      <c r="F192">
        <v>50</v>
      </c>
      <c r="G192">
        <v>1200</v>
      </c>
      <c r="H192">
        <v>0</v>
      </c>
      <c r="I192">
        <v>9.1</v>
      </c>
      <c r="J192" s="28">
        <v>6.44</v>
      </c>
      <c r="K192" s="126">
        <v>0.63</v>
      </c>
      <c r="L192" s="126">
        <v>1.3</v>
      </c>
      <c r="M192" s="126">
        <v>0.1</v>
      </c>
      <c r="N192" s="126">
        <v>0</v>
      </c>
      <c r="O192" s="126">
        <v>0.6</v>
      </c>
      <c r="P192" s="126">
        <v>0.88500000000000001</v>
      </c>
      <c r="Q192" s="126">
        <v>0.65</v>
      </c>
      <c r="R192" s="126">
        <v>0</v>
      </c>
      <c r="S192" s="126">
        <v>0.3</v>
      </c>
      <c r="T192" s="126">
        <v>13</v>
      </c>
      <c r="U192" s="126">
        <v>75</v>
      </c>
      <c r="V192" s="126">
        <v>25</v>
      </c>
      <c r="W192" s="126">
        <v>0.3</v>
      </c>
      <c r="X192" s="126">
        <v>0</v>
      </c>
      <c r="Y192" s="126">
        <v>0</v>
      </c>
      <c r="Z192" s="142">
        <v>9</v>
      </c>
      <c r="AA192" s="126">
        <v>0</v>
      </c>
      <c r="AB192" s="126">
        <v>0</v>
      </c>
      <c r="AC192" s="126">
        <v>0</v>
      </c>
      <c r="AD192" s="126">
        <v>0</v>
      </c>
      <c r="AE192" s="126">
        <v>5</v>
      </c>
      <c r="AF192" s="126">
        <v>2.6</v>
      </c>
      <c r="AG192" t="s">
        <v>3034</v>
      </c>
    </row>
    <row r="193" spans="1:33" s="12" customFormat="1" x14ac:dyDescent="0.3">
      <c r="A193" s="12">
        <v>261</v>
      </c>
      <c r="B193" s="12" t="s">
        <v>241</v>
      </c>
      <c r="C193" s="12" t="s">
        <v>199</v>
      </c>
      <c r="D193" s="12">
        <v>1483</v>
      </c>
      <c r="E193" s="12">
        <v>1631</v>
      </c>
      <c r="F193" s="12">
        <v>50</v>
      </c>
      <c r="G193" s="12">
        <v>1200</v>
      </c>
      <c r="H193" s="12">
        <v>0</v>
      </c>
      <c r="I193" s="12">
        <v>9.1</v>
      </c>
      <c r="J193" s="118">
        <v>7.24</v>
      </c>
      <c r="K193" s="119">
        <v>0.63</v>
      </c>
      <c r="L193" s="119">
        <v>1.3</v>
      </c>
      <c r="M193" s="119">
        <v>0.1</v>
      </c>
      <c r="N193" s="119">
        <v>0</v>
      </c>
      <c r="O193" s="119">
        <v>0.6</v>
      </c>
      <c r="P193" s="119">
        <v>0.88500000000000001</v>
      </c>
      <c r="Q193" s="119">
        <v>0.7</v>
      </c>
      <c r="R193" s="119">
        <v>0</v>
      </c>
      <c r="S193" s="119">
        <v>0</v>
      </c>
      <c r="T193" s="119">
        <v>0</v>
      </c>
      <c r="U193" s="119">
        <v>75</v>
      </c>
      <c r="V193" s="119">
        <v>25</v>
      </c>
      <c r="W193" s="119">
        <v>0.3</v>
      </c>
      <c r="X193" s="119">
        <v>0</v>
      </c>
      <c r="Y193" s="119">
        <v>0</v>
      </c>
      <c r="Z193" s="157">
        <v>9</v>
      </c>
      <c r="AA193" s="119">
        <v>0</v>
      </c>
      <c r="AB193" s="119">
        <v>0</v>
      </c>
      <c r="AC193" s="119">
        <v>0</v>
      </c>
      <c r="AD193" s="119">
        <v>0</v>
      </c>
      <c r="AE193" s="119">
        <v>5</v>
      </c>
      <c r="AF193" s="119">
        <v>6.0999999999999999E-2</v>
      </c>
      <c r="AG193" s="12" t="s">
        <v>3035</v>
      </c>
    </row>
    <row r="194" spans="1:33" x14ac:dyDescent="0.3">
      <c r="A194">
        <v>262</v>
      </c>
      <c r="B194" t="s">
        <v>3036</v>
      </c>
      <c r="C194" t="s">
        <v>199</v>
      </c>
      <c r="D194">
        <v>674</v>
      </c>
      <c r="E194">
        <v>741</v>
      </c>
      <c r="F194">
        <v>50</v>
      </c>
      <c r="G194">
        <v>1200</v>
      </c>
      <c r="H194">
        <v>0</v>
      </c>
      <c r="I194">
        <v>9.1</v>
      </c>
      <c r="J194" s="28">
        <v>7.24</v>
      </c>
      <c r="K194" s="126">
        <v>0.63</v>
      </c>
      <c r="L194" s="126">
        <v>1.3</v>
      </c>
      <c r="M194" s="126">
        <v>0.1</v>
      </c>
      <c r="N194" s="126">
        <v>0</v>
      </c>
      <c r="O194" s="126">
        <v>0.6</v>
      </c>
      <c r="P194" s="126">
        <v>0.88500000000000001</v>
      </c>
      <c r="Q194" s="126">
        <v>0.7</v>
      </c>
      <c r="R194" s="126">
        <v>0</v>
      </c>
      <c r="S194" s="126">
        <v>0</v>
      </c>
      <c r="T194" s="126">
        <v>0</v>
      </c>
      <c r="U194" s="126">
        <v>75</v>
      </c>
      <c r="V194" s="126">
        <v>25</v>
      </c>
      <c r="W194" s="126">
        <v>0.3</v>
      </c>
      <c r="X194" s="126">
        <v>0</v>
      </c>
      <c r="Y194" s="126">
        <v>0</v>
      </c>
      <c r="Z194" s="142">
        <v>9</v>
      </c>
      <c r="AA194" s="126">
        <v>0</v>
      </c>
      <c r="AB194" s="126">
        <v>0</v>
      </c>
      <c r="AC194" s="126">
        <v>0</v>
      </c>
      <c r="AD194" s="126">
        <v>0</v>
      </c>
      <c r="AE194" s="126">
        <v>5</v>
      </c>
      <c r="AF194" s="126">
        <v>6.0999999999999999E-2</v>
      </c>
      <c r="AG194" t="s">
        <v>3037</v>
      </c>
    </row>
    <row r="195" spans="1:33" x14ac:dyDescent="0.3">
      <c r="A195">
        <v>263</v>
      </c>
      <c r="B195" t="s">
        <v>3038</v>
      </c>
      <c r="C195" t="s">
        <v>199</v>
      </c>
      <c r="D195">
        <v>1563</v>
      </c>
      <c r="E195">
        <v>1719</v>
      </c>
      <c r="F195">
        <v>50</v>
      </c>
      <c r="G195">
        <v>1200</v>
      </c>
      <c r="H195">
        <v>0</v>
      </c>
      <c r="I195">
        <v>3</v>
      </c>
      <c r="J195" s="28">
        <v>7.24</v>
      </c>
      <c r="K195" s="126">
        <v>0.63</v>
      </c>
      <c r="L195" s="126">
        <v>1.3</v>
      </c>
      <c r="M195" s="126">
        <v>0.1</v>
      </c>
      <c r="N195" s="126">
        <v>0</v>
      </c>
      <c r="O195" s="126">
        <v>0.6</v>
      </c>
      <c r="P195" s="126">
        <v>0.88500000000000001</v>
      </c>
      <c r="Q195" s="126">
        <v>0.7</v>
      </c>
      <c r="R195" s="126">
        <v>0</v>
      </c>
      <c r="S195" s="126">
        <v>0</v>
      </c>
      <c r="T195" s="126">
        <v>0</v>
      </c>
      <c r="U195" s="126">
        <v>0</v>
      </c>
      <c r="V195" s="126">
        <v>0</v>
      </c>
      <c r="W195" s="126">
        <v>0</v>
      </c>
      <c r="X195" s="126">
        <v>0</v>
      </c>
      <c r="Y195" s="126">
        <v>0</v>
      </c>
      <c r="Z195" s="142">
        <v>9</v>
      </c>
      <c r="AA195" s="126">
        <v>0</v>
      </c>
      <c r="AB195" s="126">
        <v>0</v>
      </c>
      <c r="AC195" s="126">
        <v>0</v>
      </c>
      <c r="AD195" s="126">
        <v>0</v>
      </c>
      <c r="AE195" s="126">
        <v>5</v>
      </c>
      <c r="AF195" s="126">
        <v>5.3630000000000004</v>
      </c>
      <c r="AG195" t="s">
        <v>3039</v>
      </c>
    </row>
    <row r="196" spans="1:33" x14ac:dyDescent="0.3">
      <c r="A196">
        <v>264</v>
      </c>
      <c r="B196" t="s">
        <v>3040</v>
      </c>
      <c r="C196" t="s">
        <v>199</v>
      </c>
      <c r="D196">
        <v>4638</v>
      </c>
      <c r="E196">
        <v>5101</v>
      </c>
      <c r="F196">
        <v>80</v>
      </c>
      <c r="G196">
        <v>1500</v>
      </c>
      <c r="H196">
        <v>0</v>
      </c>
      <c r="I196">
        <v>9.1</v>
      </c>
      <c r="J196" s="28">
        <v>10.46</v>
      </c>
      <c r="K196" s="126">
        <v>0.63</v>
      </c>
      <c r="L196" s="126">
        <v>1.3</v>
      </c>
      <c r="M196" s="126">
        <v>0.1</v>
      </c>
      <c r="N196" s="126">
        <v>0</v>
      </c>
      <c r="O196" s="126">
        <v>0.6</v>
      </c>
      <c r="P196" s="126">
        <v>0.88500000000000001</v>
      </c>
      <c r="Q196" s="126">
        <v>0.65</v>
      </c>
      <c r="R196" s="126">
        <v>0</v>
      </c>
      <c r="S196" s="126">
        <v>0</v>
      </c>
      <c r="T196" s="126">
        <v>0</v>
      </c>
      <c r="U196" s="126">
        <v>0</v>
      </c>
      <c r="V196" s="126">
        <v>0</v>
      </c>
      <c r="W196" s="126">
        <v>0</v>
      </c>
      <c r="X196" s="126">
        <v>0</v>
      </c>
      <c r="Y196" s="126">
        <v>0</v>
      </c>
      <c r="Z196" s="142">
        <v>9</v>
      </c>
      <c r="AA196" s="126">
        <v>0</v>
      </c>
      <c r="AB196" s="126">
        <v>0</v>
      </c>
      <c r="AC196" s="126">
        <v>0</v>
      </c>
      <c r="AD196" s="126">
        <v>0</v>
      </c>
      <c r="AE196" s="126">
        <v>5</v>
      </c>
      <c r="AF196" s="126">
        <v>6.0999999999999999E-2</v>
      </c>
      <c r="AG196" t="s">
        <v>3041</v>
      </c>
    </row>
    <row r="197" spans="1:33" x14ac:dyDescent="0.3">
      <c r="A197">
        <v>265</v>
      </c>
      <c r="B197" t="s">
        <v>242</v>
      </c>
      <c r="C197" t="s">
        <v>199</v>
      </c>
      <c r="D197">
        <v>6829</v>
      </c>
      <c r="E197">
        <v>7512</v>
      </c>
      <c r="F197">
        <v>80</v>
      </c>
      <c r="G197">
        <v>1500</v>
      </c>
      <c r="H197">
        <v>0</v>
      </c>
      <c r="I197">
        <v>9.1</v>
      </c>
      <c r="J197" s="28">
        <v>10.46</v>
      </c>
      <c r="K197" s="126">
        <v>0.63</v>
      </c>
      <c r="L197" s="126">
        <v>1.3</v>
      </c>
      <c r="M197" s="126">
        <v>0.1</v>
      </c>
      <c r="N197" s="126">
        <v>0</v>
      </c>
      <c r="O197" s="126">
        <v>0.6</v>
      </c>
      <c r="P197" s="126">
        <v>0.88500000000000001</v>
      </c>
      <c r="Q197" s="126">
        <v>0.65</v>
      </c>
      <c r="R197" s="126">
        <v>0</v>
      </c>
      <c r="S197" s="126">
        <v>0</v>
      </c>
      <c r="T197" s="126">
        <v>0</v>
      </c>
      <c r="U197" s="126">
        <v>0</v>
      </c>
      <c r="V197" s="126">
        <v>0</v>
      </c>
      <c r="W197" s="126">
        <v>0</v>
      </c>
      <c r="X197" s="126">
        <v>0</v>
      </c>
      <c r="Y197" s="126">
        <v>0</v>
      </c>
      <c r="Z197" s="142">
        <v>9</v>
      </c>
      <c r="AA197" s="126">
        <v>0</v>
      </c>
      <c r="AB197" s="126">
        <v>0</v>
      </c>
      <c r="AC197" s="126">
        <v>0</v>
      </c>
      <c r="AD197" s="126">
        <v>0</v>
      </c>
      <c r="AE197" s="126">
        <v>5</v>
      </c>
      <c r="AF197" s="126">
        <v>6.0999999999999999E-2</v>
      </c>
      <c r="AG197" t="s">
        <v>3042</v>
      </c>
    </row>
    <row r="198" spans="1:33" x14ac:dyDescent="0.3">
      <c r="A198">
        <v>266</v>
      </c>
      <c r="B198" t="s">
        <v>243</v>
      </c>
      <c r="C198" t="s">
        <v>199</v>
      </c>
      <c r="D198">
        <v>5665</v>
      </c>
      <c r="E198">
        <v>6232</v>
      </c>
      <c r="F198">
        <v>100</v>
      </c>
      <c r="G198">
        <v>2000</v>
      </c>
      <c r="H198">
        <v>0</v>
      </c>
      <c r="I198">
        <v>6.1</v>
      </c>
      <c r="J198" s="28">
        <v>6.44</v>
      </c>
      <c r="K198" s="126">
        <v>0.63</v>
      </c>
      <c r="L198" s="126">
        <v>1.3</v>
      </c>
      <c r="M198" s="126">
        <v>0.1</v>
      </c>
      <c r="N198" s="126">
        <v>0</v>
      </c>
      <c r="O198" s="126">
        <v>0.6</v>
      </c>
      <c r="P198" s="126">
        <v>0.88500000000000001</v>
      </c>
      <c r="Q198" s="126">
        <v>0.65</v>
      </c>
      <c r="R198" s="126">
        <v>0</v>
      </c>
      <c r="S198" s="126">
        <v>0</v>
      </c>
      <c r="T198" s="126">
        <v>0</v>
      </c>
      <c r="U198" s="126">
        <v>0</v>
      </c>
      <c r="V198" s="126">
        <v>25</v>
      </c>
      <c r="W198" s="126">
        <v>0.3</v>
      </c>
      <c r="X198" s="126">
        <v>0</v>
      </c>
      <c r="Y198" s="126">
        <v>0</v>
      </c>
      <c r="Z198" s="142">
        <v>9</v>
      </c>
      <c r="AA198" s="126">
        <v>0</v>
      </c>
      <c r="AB198" s="126">
        <v>0</v>
      </c>
      <c r="AC198" s="126">
        <v>0</v>
      </c>
      <c r="AD198" s="126">
        <v>0</v>
      </c>
      <c r="AE198" s="126">
        <v>5</v>
      </c>
      <c r="AF198" s="126">
        <v>0.29299999999999998</v>
      </c>
      <c r="AG198" t="s">
        <v>2456</v>
      </c>
    </row>
    <row r="199" spans="1:33" x14ac:dyDescent="0.3">
      <c r="A199">
        <v>267</v>
      </c>
      <c r="B199" t="s">
        <v>244</v>
      </c>
      <c r="C199" t="s">
        <v>187</v>
      </c>
      <c r="D199">
        <v>62569</v>
      </c>
      <c r="E199">
        <v>68826</v>
      </c>
      <c r="F199">
        <v>50</v>
      </c>
      <c r="G199">
        <v>6000</v>
      </c>
      <c r="H199">
        <v>75</v>
      </c>
      <c r="I199">
        <v>9.1</v>
      </c>
      <c r="J199" s="28">
        <v>10.46</v>
      </c>
      <c r="K199" s="126">
        <v>0.63</v>
      </c>
      <c r="L199" s="126">
        <v>1.3</v>
      </c>
      <c r="M199" s="126">
        <v>0.1</v>
      </c>
      <c r="N199" s="126">
        <v>0</v>
      </c>
      <c r="O199" s="126">
        <v>0.56000000000000005</v>
      </c>
      <c r="P199" s="126">
        <v>0.88500000000000001</v>
      </c>
      <c r="Q199" s="126">
        <v>0.65</v>
      </c>
      <c r="R199" s="126">
        <v>0</v>
      </c>
      <c r="S199" s="126">
        <v>0</v>
      </c>
      <c r="T199" s="126">
        <v>0</v>
      </c>
      <c r="U199" s="126">
        <v>0</v>
      </c>
      <c r="V199" s="126">
        <v>0</v>
      </c>
      <c r="W199" s="126">
        <v>0</v>
      </c>
      <c r="X199" s="126">
        <v>0</v>
      </c>
      <c r="Y199" s="126">
        <v>0</v>
      </c>
      <c r="Z199" s="142">
        <v>9</v>
      </c>
      <c r="AA199" s="126">
        <v>0</v>
      </c>
      <c r="AB199" s="126">
        <v>0</v>
      </c>
      <c r="AC199" s="126">
        <v>0</v>
      </c>
      <c r="AD199" s="126">
        <v>0</v>
      </c>
      <c r="AE199" s="126">
        <v>5</v>
      </c>
      <c r="AF199" s="126">
        <v>0.29299999999999998</v>
      </c>
      <c r="AG199" t="s">
        <v>2457</v>
      </c>
    </row>
    <row r="200" spans="1:33" x14ac:dyDescent="0.3">
      <c r="A200">
        <v>268</v>
      </c>
      <c r="B200" t="s">
        <v>3043</v>
      </c>
      <c r="C200" t="s">
        <v>199</v>
      </c>
      <c r="D200">
        <v>10701</v>
      </c>
      <c r="E200">
        <v>11771</v>
      </c>
      <c r="F200">
        <v>50</v>
      </c>
      <c r="G200">
        <v>1200</v>
      </c>
      <c r="H200">
        <v>0</v>
      </c>
      <c r="I200">
        <v>9.1</v>
      </c>
      <c r="J200" s="28">
        <v>7.24</v>
      </c>
      <c r="K200" s="126">
        <v>0.63</v>
      </c>
      <c r="L200" s="126">
        <v>1.3</v>
      </c>
      <c r="M200" s="126">
        <v>0.1</v>
      </c>
      <c r="N200" s="126">
        <v>0</v>
      </c>
      <c r="O200" s="126">
        <v>0.6</v>
      </c>
      <c r="P200" s="126">
        <v>0.88500000000000001</v>
      </c>
      <c r="Q200" s="126">
        <v>0.7</v>
      </c>
      <c r="R200" s="126">
        <v>0</v>
      </c>
      <c r="S200" s="126">
        <v>0</v>
      </c>
      <c r="T200" s="126">
        <v>0</v>
      </c>
      <c r="U200" s="126">
        <v>75</v>
      </c>
      <c r="V200" s="126">
        <v>25</v>
      </c>
      <c r="W200" s="126">
        <v>0.3</v>
      </c>
      <c r="X200" s="126">
        <v>0</v>
      </c>
      <c r="Y200" s="126">
        <v>0</v>
      </c>
      <c r="Z200" s="142">
        <v>9</v>
      </c>
      <c r="AA200" s="126">
        <v>0</v>
      </c>
      <c r="AB200" s="126">
        <v>0</v>
      </c>
      <c r="AC200" s="126">
        <v>0</v>
      </c>
      <c r="AD200" s="126">
        <v>0</v>
      </c>
      <c r="AE200" s="126">
        <v>5</v>
      </c>
      <c r="AF200" s="126">
        <v>2.6</v>
      </c>
      <c r="AG200" t="s">
        <v>3044</v>
      </c>
    </row>
    <row r="201" spans="1:33" x14ac:dyDescent="0.3">
      <c r="A201">
        <v>269</v>
      </c>
      <c r="B201" t="s">
        <v>3045</v>
      </c>
      <c r="C201" t="s">
        <v>199</v>
      </c>
      <c r="D201">
        <v>388</v>
      </c>
      <c r="E201">
        <v>426</v>
      </c>
      <c r="F201">
        <v>100</v>
      </c>
      <c r="G201">
        <v>1500</v>
      </c>
      <c r="H201">
        <v>0</v>
      </c>
      <c r="I201">
        <v>1.8</v>
      </c>
      <c r="J201" s="28">
        <v>7.24</v>
      </c>
      <c r="K201" s="126">
        <v>0.63</v>
      </c>
      <c r="L201" s="126">
        <v>1.3</v>
      </c>
      <c r="M201" s="126">
        <v>0</v>
      </c>
      <c r="N201" s="126">
        <v>0</v>
      </c>
      <c r="O201" s="126">
        <v>0.6</v>
      </c>
      <c r="P201" s="126">
        <v>0.88500000000000001</v>
      </c>
      <c r="Q201" s="126">
        <v>0.7</v>
      </c>
      <c r="R201" s="126">
        <v>0</v>
      </c>
      <c r="S201" s="126">
        <v>0</v>
      </c>
      <c r="T201" s="126">
        <v>0</v>
      </c>
      <c r="U201" s="126">
        <v>0</v>
      </c>
      <c r="V201" s="126">
        <v>0</v>
      </c>
      <c r="W201" s="126">
        <v>0</v>
      </c>
      <c r="X201" s="126">
        <v>0</v>
      </c>
      <c r="Y201" s="126">
        <v>0</v>
      </c>
      <c r="Z201" s="142">
        <v>9</v>
      </c>
      <c r="AA201" s="126">
        <v>0</v>
      </c>
      <c r="AB201" s="126">
        <v>0</v>
      </c>
      <c r="AC201" s="126">
        <v>0</v>
      </c>
      <c r="AD201" s="126">
        <v>0</v>
      </c>
      <c r="AE201" s="126">
        <v>5</v>
      </c>
      <c r="AF201" s="126">
        <v>5.3630000000000004</v>
      </c>
      <c r="AG201" t="s">
        <v>3046</v>
      </c>
    </row>
    <row r="202" spans="1:33" x14ac:dyDescent="0.3">
      <c r="A202">
        <v>270</v>
      </c>
      <c r="B202" t="s">
        <v>3047</v>
      </c>
      <c r="C202" t="s">
        <v>247</v>
      </c>
      <c r="D202">
        <v>10</v>
      </c>
      <c r="E202">
        <v>0</v>
      </c>
      <c r="F202">
        <v>1</v>
      </c>
      <c r="G202">
        <v>2</v>
      </c>
      <c r="H202">
        <v>1</v>
      </c>
      <c r="I202">
        <v>7.6</v>
      </c>
      <c r="J202" s="28">
        <v>12.87</v>
      </c>
      <c r="K202" s="126">
        <v>0.2</v>
      </c>
      <c r="L202" s="126">
        <v>1.6</v>
      </c>
      <c r="M202" s="126">
        <v>1</v>
      </c>
      <c r="N202" s="126">
        <v>0</v>
      </c>
      <c r="O202" s="126">
        <v>0.01</v>
      </c>
      <c r="P202" s="126">
        <v>0.01</v>
      </c>
      <c r="Q202" s="126">
        <v>1</v>
      </c>
      <c r="R202" s="126">
        <v>0</v>
      </c>
      <c r="S202" s="126">
        <v>0</v>
      </c>
      <c r="T202" s="126">
        <v>0</v>
      </c>
      <c r="U202" s="126">
        <v>0</v>
      </c>
      <c r="V202" s="126">
        <v>0</v>
      </c>
      <c r="W202" s="126">
        <v>0</v>
      </c>
      <c r="X202" s="126">
        <v>0</v>
      </c>
      <c r="Y202" s="126">
        <v>0</v>
      </c>
      <c r="Z202" s="142">
        <v>9</v>
      </c>
      <c r="AA202" s="126">
        <v>0</v>
      </c>
      <c r="AB202" s="126">
        <v>0</v>
      </c>
      <c r="AC202" s="126">
        <v>0</v>
      </c>
      <c r="AD202" s="126">
        <v>0</v>
      </c>
      <c r="AE202" s="126">
        <v>5</v>
      </c>
      <c r="AF202" s="126">
        <v>0</v>
      </c>
      <c r="AG202" t="s">
        <v>3048</v>
      </c>
    </row>
    <row r="203" spans="1:33" x14ac:dyDescent="0.3">
      <c r="A203">
        <v>271</v>
      </c>
      <c r="B203" t="s">
        <v>246</v>
      </c>
      <c r="C203" t="s">
        <v>247</v>
      </c>
      <c r="D203">
        <v>50</v>
      </c>
      <c r="E203">
        <v>0</v>
      </c>
      <c r="F203">
        <v>800</v>
      </c>
      <c r="G203">
        <v>24000</v>
      </c>
      <c r="H203">
        <v>0</v>
      </c>
      <c r="I203">
        <v>11</v>
      </c>
      <c r="J203" s="28">
        <v>4.83</v>
      </c>
      <c r="K203" s="126">
        <v>0.63</v>
      </c>
      <c r="L203" s="126">
        <v>1.3</v>
      </c>
      <c r="M203" s="126">
        <v>0</v>
      </c>
      <c r="N203" s="126">
        <v>0</v>
      </c>
      <c r="O203" s="126">
        <v>0.6</v>
      </c>
      <c r="P203" s="126">
        <v>0.85799999999999998</v>
      </c>
      <c r="Q203" s="126">
        <v>0.5</v>
      </c>
      <c r="R203" s="126">
        <v>0</v>
      </c>
      <c r="S203" s="126">
        <v>0.3</v>
      </c>
      <c r="T203" s="126">
        <v>13</v>
      </c>
      <c r="U203" s="126">
        <v>75</v>
      </c>
      <c r="V203" s="126">
        <v>25</v>
      </c>
      <c r="W203" s="126">
        <v>0.3</v>
      </c>
      <c r="X203" s="126">
        <v>0</v>
      </c>
      <c r="Y203" s="126">
        <v>0</v>
      </c>
      <c r="Z203" s="142">
        <v>9</v>
      </c>
      <c r="AA203" s="126">
        <v>0</v>
      </c>
      <c r="AB203" s="126">
        <v>0</v>
      </c>
      <c r="AC203" s="126">
        <v>0</v>
      </c>
      <c r="AD203" s="126">
        <v>0</v>
      </c>
      <c r="AE203" s="126">
        <v>5</v>
      </c>
      <c r="AF203" s="126">
        <v>19.5</v>
      </c>
      <c r="AG203" t="s">
        <v>3049</v>
      </c>
    </row>
    <row r="204" spans="1:33" x14ac:dyDescent="0.3">
      <c r="A204">
        <v>272</v>
      </c>
      <c r="B204" t="s">
        <v>248</v>
      </c>
      <c r="C204" t="s">
        <v>187</v>
      </c>
      <c r="D204">
        <v>25027</v>
      </c>
      <c r="E204">
        <v>27529</v>
      </c>
      <c r="F204">
        <v>100</v>
      </c>
      <c r="G204">
        <v>6000</v>
      </c>
      <c r="H204">
        <v>0</v>
      </c>
      <c r="I204">
        <v>9.1</v>
      </c>
      <c r="J204" s="28">
        <v>8.1</v>
      </c>
      <c r="K204" s="126">
        <v>0.2</v>
      </c>
      <c r="L204" s="126">
        <v>1.6</v>
      </c>
      <c r="M204" s="126">
        <v>0.1</v>
      </c>
      <c r="N204" s="126">
        <v>0</v>
      </c>
      <c r="O204" s="126">
        <v>0.6</v>
      </c>
      <c r="P204" s="126">
        <v>0.88500000000000001</v>
      </c>
      <c r="Q204" s="126">
        <v>0.8</v>
      </c>
      <c r="R204" s="126">
        <v>0</v>
      </c>
      <c r="S204" s="126">
        <v>0</v>
      </c>
      <c r="T204" s="126">
        <v>0</v>
      </c>
      <c r="U204" s="126">
        <v>0</v>
      </c>
      <c r="V204" s="126">
        <v>0</v>
      </c>
      <c r="W204" s="126">
        <v>0</v>
      </c>
      <c r="X204" s="126">
        <v>0</v>
      </c>
      <c r="Y204" s="126">
        <v>0</v>
      </c>
      <c r="Z204" s="142">
        <v>7</v>
      </c>
      <c r="AA204" s="126">
        <v>0.95</v>
      </c>
      <c r="AB204" s="126">
        <v>0</v>
      </c>
      <c r="AC204" s="126">
        <v>0</v>
      </c>
      <c r="AD204" s="126">
        <v>0</v>
      </c>
      <c r="AE204" s="126">
        <v>2.54</v>
      </c>
      <c r="AF204" s="126">
        <v>0</v>
      </c>
      <c r="AG204" t="s">
        <v>1874</v>
      </c>
    </row>
    <row r="205" spans="1:33" x14ac:dyDescent="0.3">
      <c r="A205">
        <v>273</v>
      </c>
      <c r="B205" t="s">
        <v>249</v>
      </c>
      <c r="C205" t="s">
        <v>199</v>
      </c>
      <c r="D205">
        <v>2284</v>
      </c>
      <c r="E205">
        <v>2512</v>
      </c>
      <c r="F205">
        <v>50</v>
      </c>
      <c r="G205">
        <v>1200</v>
      </c>
      <c r="H205">
        <v>0</v>
      </c>
      <c r="I205">
        <v>3</v>
      </c>
      <c r="J205" s="28">
        <v>7.24</v>
      </c>
      <c r="K205" s="126">
        <v>0.41</v>
      </c>
      <c r="L205" s="126">
        <v>1.3</v>
      </c>
      <c r="M205" s="126">
        <v>0.1</v>
      </c>
      <c r="N205" s="126">
        <v>0</v>
      </c>
      <c r="O205" s="126">
        <v>0.6</v>
      </c>
      <c r="P205" s="126">
        <v>0.88500000000000001</v>
      </c>
      <c r="Q205" s="126">
        <v>0.7</v>
      </c>
      <c r="R205" s="126">
        <v>0</v>
      </c>
      <c r="S205" s="126">
        <v>0</v>
      </c>
      <c r="T205" s="126">
        <v>0</v>
      </c>
      <c r="U205" s="126">
        <v>0</v>
      </c>
      <c r="V205" s="126">
        <v>0</v>
      </c>
      <c r="W205" s="126">
        <v>0</v>
      </c>
      <c r="X205" s="126">
        <v>0</v>
      </c>
      <c r="Y205" s="126">
        <v>0</v>
      </c>
      <c r="Z205" s="142">
        <v>7</v>
      </c>
      <c r="AA205" s="126">
        <v>0.95</v>
      </c>
      <c r="AB205" s="126">
        <v>0</v>
      </c>
      <c r="AC205" s="126">
        <v>0</v>
      </c>
      <c r="AD205" s="126">
        <v>0</v>
      </c>
      <c r="AE205" s="126">
        <v>2.54</v>
      </c>
      <c r="AF205" s="126">
        <v>0.15</v>
      </c>
      <c r="AG205" t="s">
        <v>2458</v>
      </c>
    </row>
    <row r="206" spans="1:33" x14ac:dyDescent="0.3">
      <c r="A206">
        <v>274</v>
      </c>
      <c r="B206" t="s">
        <v>250</v>
      </c>
      <c r="C206" t="s">
        <v>187</v>
      </c>
      <c r="D206">
        <v>30899</v>
      </c>
      <c r="E206">
        <v>33989</v>
      </c>
      <c r="F206">
        <v>50</v>
      </c>
      <c r="G206">
        <v>6000</v>
      </c>
      <c r="H206">
        <v>75</v>
      </c>
      <c r="I206">
        <v>9.1</v>
      </c>
      <c r="J206" s="28">
        <v>10.46</v>
      </c>
      <c r="K206" s="126">
        <v>0.41</v>
      </c>
      <c r="L206" s="126">
        <v>1.3</v>
      </c>
      <c r="M206" s="126">
        <v>0.1</v>
      </c>
      <c r="N206" s="126">
        <v>0.223</v>
      </c>
      <c r="O206" s="126">
        <v>0.56000000000000005</v>
      </c>
      <c r="P206" s="126">
        <v>0.88500000000000001</v>
      </c>
      <c r="Q206" s="126">
        <v>0.65</v>
      </c>
      <c r="R206" s="126">
        <v>0</v>
      </c>
      <c r="S206" s="126">
        <v>0</v>
      </c>
      <c r="T206" s="126">
        <v>0</v>
      </c>
      <c r="U206" s="126">
        <v>0</v>
      </c>
      <c r="V206" s="126">
        <v>0</v>
      </c>
      <c r="W206" s="126">
        <v>0</v>
      </c>
      <c r="X206" s="126">
        <v>0</v>
      </c>
      <c r="Y206" s="126">
        <v>0</v>
      </c>
      <c r="Z206" s="142">
        <v>7</v>
      </c>
      <c r="AA206" s="126">
        <v>0.95</v>
      </c>
      <c r="AB206" s="126">
        <v>0</v>
      </c>
      <c r="AC206" s="126">
        <v>0</v>
      </c>
      <c r="AD206" s="126">
        <v>0</v>
      </c>
      <c r="AE206" s="126">
        <v>2.54</v>
      </c>
      <c r="AF206" s="126">
        <v>0.15</v>
      </c>
      <c r="AG206" t="s">
        <v>2459</v>
      </c>
    </row>
    <row r="207" spans="1:33" x14ac:dyDescent="0.3">
      <c r="A207">
        <v>275</v>
      </c>
      <c r="B207" t="s">
        <v>3050</v>
      </c>
      <c r="C207" t="s">
        <v>187</v>
      </c>
      <c r="D207">
        <v>22539</v>
      </c>
      <c r="E207">
        <v>24793</v>
      </c>
      <c r="F207">
        <v>50</v>
      </c>
      <c r="G207">
        <v>6000</v>
      </c>
      <c r="H207">
        <v>75</v>
      </c>
      <c r="I207">
        <v>9.1</v>
      </c>
      <c r="J207" s="28">
        <v>10.46</v>
      </c>
      <c r="K207" s="126">
        <v>0.41</v>
      </c>
      <c r="L207" s="126">
        <v>1.3</v>
      </c>
      <c r="M207" s="126">
        <v>0.1</v>
      </c>
      <c r="N207" s="126">
        <v>0.223</v>
      </c>
      <c r="O207" s="126">
        <v>0.56000000000000005</v>
      </c>
      <c r="P207" s="126">
        <v>0.88500000000000001</v>
      </c>
      <c r="Q207" s="126">
        <v>0.65</v>
      </c>
      <c r="R207" s="126">
        <v>0</v>
      </c>
      <c r="S207" s="126">
        <v>0</v>
      </c>
      <c r="T207" s="126">
        <v>0</v>
      </c>
      <c r="U207" s="126">
        <v>0</v>
      </c>
      <c r="V207" s="126">
        <v>0</v>
      </c>
      <c r="W207" s="126">
        <v>0</v>
      </c>
      <c r="X207" s="126">
        <v>0</v>
      </c>
      <c r="Y207" s="126">
        <v>0</v>
      </c>
      <c r="Z207" s="142">
        <v>7</v>
      </c>
      <c r="AA207" s="126">
        <v>0.95</v>
      </c>
      <c r="AB207" s="126">
        <v>0</v>
      </c>
      <c r="AC207" s="126">
        <v>0</v>
      </c>
      <c r="AD207" s="126">
        <v>0</v>
      </c>
      <c r="AE207" s="126">
        <v>2.54</v>
      </c>
      <c r="AF207" s="126">
        <v>0.15</v>
      </c>
      <c r="AG207" t="s">
        <v>3051</v>
      </c>
    </row>
    <row r="208" spans="1:33" x14ac:dyDescent="0.3">
      <c r="A208">
        <v>276</v>
      </c>
      <c r="B208" t="s">
        <v>3052</v>
      </c>
      <c r="C208" t="s">
        <v>187</v>
      </c>
      <c r="D208">
        <v>7951</v>
      </c>
      <c r="E208">
        <v>8747</v>
      </c>
      <c r="F208">
        <v>40</v>
      </c>
      <c r="G208">
        <v>6000</v>
      </c>
      <c r="H208">
        <v>0</v>
      </c>
      <c r="I208">
        <v>9.1</v>
      </c>
      <c r="J208" s="28">
        <v>7.24</v>
      </c>
      <c r="K208" s="126">
        <v>0.41</v>
      </c>
      <c r="L208" s="126">
        <v>1.3</v>
      </c>
      <c r="M208" s="126">
        <v>0.1</v>
      </c>
      <c r="N208" s="126">
        <v>0</v>
      </c>
      <c r="O208" s="126">
        <v>0.6</v>
      </c>
      <c r="P208" s="126">
        <v>0.88500000000000001</v>
      </c>
      <c r="Q208" s="126">
        <v>0.8</v>
      </c>
      <c r="R208" s="126">
        <v>0</v>
      </c>
      <c r="S208" s="126">
        <v>0</v>
      </c>
      <c r="T208" s="126">
        <v>0</v>
      </c>
      <c r="U208" s="126">
        <v>0</v>
      </c>
      <c r="V208" s="126">
        <v>0</v>
      </c>
      <c r="W208" s="126">
        <v>0</v>
      </c>
      <c r="X208" s="126">
        <v>0</v>
      </c>
      <c r="Y208" s="126">
        <v>0</v>
      </c>
      <c r="Z208" s="142">
        <v>7</v>
      </c>
      <c r="AA208" s="126">
        <v>0.95</v>
      </c>
      <c r="AB208" s="126">
        <v>0</v>
      </c>
      <c r="AC208" s="126">
        <v>0</v>
      </c>
      <c r="AD208" s="126">
        <v>0</v>
      </c>
      <c r="AE208" s="126">
        <v>2.54</v>
      </c>
      <c r="AF208" s="126">
        <v>0.15</v>
      </c>
      <c r="AG208" t="s">
        <v>3053</v>
      </c>
    </row>
    <row r="209" spans="1:33" x14ac:dyDescent="0.3">
      <c r="A209">
        <v>277</v>
      </c>
      <c r="B209" t="s">
        <v>251</v>
      </c>
      <c r="C209" t="s">
        <v>199</v>
      </c>
      <c r="D209">
        <v>6700</v>
      </c>
      <c r="E209">
        <v>7370</v>
      </c>
      <c r="F209">
        <v>80</v>
      </c>
      <c r="G209">
        <v>1500</v>
      </c>
      <c r="H209">
        <v>0</v>
      </c>
      <c r="I209">
        <v>11</v>
      </c>
      <c r="J209" s="28">
        <v>7.24</v>
      </c>
      <c r="K209" s="126">
        <v>0.41</v>
      </c>
      <c r="L209" s="126">
        <v>1.3</v>
      </c>
      <c r="M209" s="126">
        <v>0.1</v>
      </c>
      <c r="N209" s="126">
        <v>0</v>
      </c>
      <c r="O209" s="126">
        <v>0.6</v>
      </c>
      <c r="P209" s="126">
        <v>0.88500000000000001</v>
      </c>
      <c r="Q209" s="126">
        <v>0.65</v>
      </c>
      <c r="R209" s="126">
        <v>0</v>
      </c>
      <c r="S209" s="126">
        <v>0</v>
      </c>
      <c r="T209" s="126">
        <v>0</v>
      </c>
      <c r="U209" s="126">
        <v>0</v>
      </c>
      <c r="V209" s="126">
        <v>0</v>
      </c>
      <c r="W209" s="126">
        <v>0</v>
      </c>
      <c r="X209" s="126">
        <v>0</v>
      </c>
      <c r="Y209" s="126">
        <v>0</v>
      </c>
      <c r="Z209" s="142">
        <v>7</v>
      </c>
      <c r="AA209" s="126">
        <v>0.95</v>
      </c>
      <c r="AB209" s="126">
        <v>0</v>
      </c>
      <c r="AC209" s="126">
        <v>0</v>
      </c>
      <c r="AD209" s="126">
        <v>0</v>
      </c>
      <c r="AE209" s="126">
        <v>2.54</v>
      </c>
      <c r="AF209" s="126">
        <v>0.15</v>
      </c>
      <c r="AG209" t="s">
        <v>3054</v>
      </c>
    </row>
    <row r="210" spans="1:33" x14ac:dyDescent="0.3">
      <c r="A210">
        <v>278</v>
      </c>
      <c r="B210" t="s">
        <v>3055</v>
      </c>
      <c r="C210" t="s">
        <v>199</v>
      </c>
      <c r="D210">
        <v>3047</v>
      </c>
      <c r="E210">
        <v>3352</v>
      </c>
      <c r="F210">
        <v>80</v>
      </c>
      <c r="G210">
        <v>1500</v>
      </c>
      <c r="H210">
        <v>0</v>
      </c>
      <c r="I210">
        <v>11</v>
      </c>
      <c r="J210" s="28">
        <v>10.46</v>
      </c>
      <c r="K210" s="126">
        <v>0.41</v>
      </c>
      <c r="L210" s="126">
        <v>1.3</v>
      </c>
      <c r="M210" s="126">
        <v>0.1</v>
      </c>
      <c r="N210" s="126">
        <v>0</v>
      </c>
      <c r="O210" s="126">
        <v>0.6</v>
      </c>
      <c r="P210" s="126">
        <v>0.88500000000000001</v>
      </c>
      <c r="Q210" s="126">
        <v>0.65</v>
      </c>
      <c r="R210" s="126">
        <v>0</v>
      </c>
      <c r="S210" s="126">
        <v>0</v>
      </c>
      <c r="T210" s="126">
        <v>0</v>
      </c>
      <c r="U210" s="126">
        <v>0</v>
      </c>
      <c r="V210" s="126">
        <v>0</v>
      </c>
      <c r="W210" s="126">
        <v>0</v>
      </c>
      <c r="X210" s="126">
        <v>0</v>
      </c>
      <c r="Y210" s="126">
        <v>0</v>
      </c>
      <c r="Z210" s="142">
        <v>7</v>
      </c>
      <c r="AA210" s="126">
        <v>0.95</v>
      </c>
      <c r="AB210" s="126">
        <v>0</v>
      </c>
      <c r="AC210" s="126">
        <v>0</v>
      </c>
      <c r="AD210" s="126">
        <v>0</v>
      </c>
      <c r="AE210" s="126">
        <v>2.54</v>
      </c>
      <c r="AF210" s="126">
        <v>0.15</v>
      </c>
      <c r="AG210" t="s">
        <v>3056</v>
      </c>
    </row>
    <row r="211" spans="1:33" x14ac:dyDescent="0.3">
      <c r="A211">
        <v>279</v>
      </c>
      <c r="B211" t="s">
        <v>3057</v>
      </c>
      <c r="C211" t="s">
        <v>199</v>
      </c>
      <c r="D211">
        <v>6700</v>
      </c>
      <c r="E211">
        <v>7370</v>
      </c>
      <c r="F211">
        <v>80</v>
      </c>
      <c r="G211">
        <v>1500</v>
      </c>
      <c r="H211">
        <v>0</v>
      </c>
      <c r="I211">
        <v>8.1999999999999993</v>
      </c>
      <c r="J211" s="28">
        <v>10.46</v>
      </c>
      <c r="K211" s="126">
        <v>0.41</v>
      </c>
      <c r="L211" s="126">
        <v>1.3</v>
      </c>
      <c r="M211" s="126">
        <v>0.1</v>
      </c>
      <c r="N211" s="126">
        <v>0</v>
      </c>
      <c r="O211" s="126">
        <v>0.6</v>
      </c>
      <c r="P211" s="126">
        <v>0.88500000000000001</v>
      </c>
      <c r="Q211" s="126">
        <v>0.65</v>
      </c>
      <c r="R211" s="126">
        <v>0</v>
      </c>
      <c r="S211" s="126">
        <v>0</v>
      </c>
      <c r="T211" s="126">
        <v>0</v>
      </c>
      <c r="U211" s="126">
        <v>0</v>
      </c>
      <c r="V211" s="126">
        <v>0</v>
      </c>
      <c r="W211" s="126">
        <v>0</v>
      </c>
      <c r="X211" s="126">
        <v>0</v>
      </c>
      <c r="Y211" s="126">
        <v>0</v>
      </c>
      <c r="Z211" s="142">
        <v>7</v>
      </c>
      <c r="AA211" s="126">
        <v>0.95</v>
      </c>
      <c r="AB211" s="126">
        <v>0</v>
      </c>
      <c r="AC211" s="126">
        <v>0</v>
      </c>
      <c r="AD211" s="126">
        <v>0</v>
      </c>
      <c r="AE211" s="126">
        <v>2.54</v>
      </c>
      <c r="AF211" s="126">
        <v>0.15</v>
      </c>
      <c r="AG211" t="s">
        <v>3058</v>
      </c>
    </row>
    <row r="212" spans="1:33" x14ac:dyDescent="0.3">
      <c r="A212">
        <v>280</v>
      </c>
      <c r="B212" t="s">
        <v>3059</v>
      </c>
      <c r="C212" t="s">
        <v>199</v>
      </c>
      <c r="D212">
        <v>11300</v>
      </c>
      <c r="E212">
        <v>12430</v>
      </c>
      <c r="F212">
        <v>80</v>
      </c>
      <c r="G212">
        <v>1500</v>
      </c>
      <c r="H212">
        <v>0</v>
      </c>
      <c r="I212">
        <v>8.1999999999999993</v>
      </c>
      <c r="J212" s="28">
        <v>10.46</v>
      </c>
      <c r="K212" s="126">
        <v>0.41</v>
      </c>
      <c r="L212" s="126">
        <v>1.3</v>
      </c>
      <c r="M212" s="126">
        <v>0.1</v>
      </c>
      <c r="N212" s="126">
        <v>0</v>
      </c>
      <c r="O212" s="126">
        <v>0.6</v>
      </c>
      <c r="P212" s="126">
        <v>0.88500000000000001</v>
      </c>
      <c r="Q212" s="126">
        <v>0.65</v>
      </c>
      <c r="R212" s="126">
        <v>0</v>
      </c>
      <c r="S212" s="126">
        <v>0</v>
      </c>
      <c r="T212" s="126">
        <v>0</v>
      </c>
      <c r="U212" s="126">
        <v>0</v>
      </c>
      <c r="V212" s="126">
        <v>0</v>
      </c>
      <c r="W212" s="126">
        <v>0</v>
      </c>
      <c r="X212" s="126">
        <v>0</v>
      </c>
      <c r="Y212" s="126">
        <v>0</v>
      </c>
      <c r="Z212" s="142">
        <v>7</v>
      </c>
      <c r="AA212" s="126">
        <v>0.95</v>
      </c>
      <c r="AB212" s="126">
        <v>0</v>
      </c>
      <c r="AC212" s="126">
        <v>0</v>
      </c>
      <c r="AD212" s="126">
        <v>0</v>
      </c>
      <c r="AE212" s="126">
        <v>2.54</v>
      </c>
      <c r="AF212" s="126">
        <v>0.15</v>
      </c>
      <c r="AG212" t="s">
        <v>3060</v>
      </c>
    </row>
    <row r="213" spans="1:33" x14ac:dyDescent="0.3">
      <c r="A213">
        <v>281</v>
      </c>
      <c r="B213" t="s">
        <v>3061</v>
      </c>
      <c r="C213" t="s">
        <v>199</v>
      </c>
      <c r="D213">
        <v>1163</v>
      </c>
      <c r="E213">
        <v>1279</v>
      </c>
      <c r="F213">
        <v>150</v>
      </c>
      <c r="G213">
        <v>1200</v>
      </c>
      <c r="H213">
        <v>0</v>
      </c>
      <c r="I213">
        <v>6.4</v>
      </c>
      <c r="J213" s="28">
        <v>9.6999999999999993</v>
      </c>
      <c r="K213" s="126">
        <v>0.41</v>
      </c>
      <c r="L213" s="126">
        <v>1.3</v>
      </c>
      <c r="M213" s="126">
        <v>0</v>
      </c>
      <c r="N213" s="126">
        <v>0</v>
      </c>
      <c r="O213" s="126">
        <v>0.6</v>
      </c>
      <c r="P213" s="126">
        <v>0.88500000000000001</v>
      </c>
      <c r="Q213" s="126">
        <v>0.6</v>
      </c>
      <c r="R213" s="126">
        <v>0</v>
      </c>
      <c r="S213" s="126">
        <v>0</v>
      </c>
      <c r="T213" s="126">
        <v>0</v>
      </c>
      <c r="U213" s="126">
        <v>0</v>
      </c>
      <c r="V213" s="126">
        <v>0</v>
      </c>
      <c r="W213" s="126">
        <v>0</v>
      </c>
      <c r="X213" s="126">
        <v>0</v>
      </c>
      <c r="Y213" s="126">
        <v>0</v>
      </c>
      <c r="Z213" s="142">
        <v>7</v>
      </c>
      <c r="AA213" s="126">
        <v>0.95</v>
      </c>
      <c r="AB213" s="126">
        <v>0</v>
      </c>
      <c r="AC213" s="126">
        <v>0</v>
      </c>
      <c r="AD213" s="126">
        <v>0</v>
      </c>
      <c r="AE213" s="126">
        <v>2.54</v>
      </c>
      <c r="AF213" s="126">
        <v>0.15</v>
      </c>
      <c r="AG213" t="s">
        <v>3062</v>
      </c>
    </row>
    <row r="214" spans="1:33" x14ac:dyDescent="0.3">
      <c r="A214">
        <v>282</v>
      </c>
      <c r="B214" t="s">
        <v>3063</v>
      </c>
      <c r="C214" t="s">
        <v>199</v>
      </c>
      <c r="D214">
        <v>5500</v>
      </c>
      <c r="E214">
        <v>6050</v>
      </c>
      <c r="F214">
        <v>50</v>
      </c>
      <c r="G214">
        <v>1000</v>
      </c>
      <c r="H214">
        <v>0</v>
      </c>
      <c r="I214">
        <v>4.5999999999999996</v>
      </c>
      <c r="J214" s="28">
        <v>4.83</v>
      </c>
      <c r="K214" s="126">
        <v>0.41</v>
      </c>
      <c r="L214" s="126">
        <v>1.3</v>
      </c>
      <c r="M214" s="126">
        <v>0</v>
      </c>
      <c r="N214" s="126">
        <v>0</v>
      </c>
      <c r="O214" s="126">
        <v>0.8</v>
      </c>
      <c r="P214" s="126">
        <v>0.95</v>
      </c>
      <c r="Q214" s="126">
        <v>0.6</v>
      </c>
      <c r="R214" s="126">
        <v>0</v>
      </c>
      <c r="S214" s="126">
        <v>0</v>
      </c>
      <c r="T214" s="126">
        <v>0</v>
      </c>
      <c r="U214" s="126">
        <v>0</v>
      </c>
      <c r="V214" s="126">
        <v>0</v>
      </c>
      <c r="W214" s="126">
        <v>0</v>
      </c>
      <c r="X214" s="126">
        <v>0</v>
      </c>
      <c r="Y214" s="126">
        <v>0</v>
      </c>
      <c r="Z214" s="142">
        <v>7</v>
      </c>
      <c r="AA214" s="126">
        <v>0.95</v>
      </c>
      <c r="AB214" s="126">
        <v>0</v>
      </c>
      <c r="AC214" s="126">
        <v>0</v>
      </c>
      <c r="AD214" s="126">
        <v>0</v>
      </c>
      <c r="AE214" s="126">
        <v>0</v>
      </c>
      <c r="AF214" s="126">
        <v>0.15</v>
      </c>
      <c r="AG214" t="s">
        <v>3064</v>
      </c>
    </row>
    <row r="215" spans="1:33" x14ac:dyDescent="0.3">
      <c r="A215">
        <v>283</v>
      </c>
      <c r="B215" t="s">
        <v>252</v>
      </c>
      <c r="C215" t="s">
        <v>247</v>
      </c>
      <c r="D215">
        <v>24</v>
      </c>
      <c r="E215">
        <v>0</v>
      </c>
      <c r="F215">
        <v>128</v>
      </c>
      <c r="G215">
        <v>1</v>
      </c>
      <c r="H215">
        <v>0</v>
      </c>
      <c r="I215">
        <v>18.3</v>
      </c>
      <c r="J215" s="28">
        <v>6.44</v>
      </c>
      <c r="K215" s="126">
        <v>0.41</v>
      </c>
      <c r="L215" s="126">
        <v>1.3</v>
      </c>
      <c r="M215" s="126">
        <v>0</v>
      </c>
      <c r="N215" s="126">
        <v>0</v>
      </c>
      <c r="O215" s="126">
        <v>0</v>
      </c>
      <c r="P215" s="126">
        <v>0</v>
      </c>
      <c r="Q215" s="126">
        <v>0.75</v>
      </c>
      <c r="R215" s="126">
        <v>0</v>
      </c>
      <c r="S215" s="126">
        <v>0</v>
      </c>
      <c r="T215" s="126">
        <v>0</v>
      </c>
      <c r="U215" s="126">
        <v>0</v>
      </c>
      <c r="V215" s="126">
        <v>0</v>
      </c>
      <c r="W215" s="126">
        <v>0</v>
      </c>
      <c r="X215" s="126">
        <v>0</v>
      </c>
      <c r="Y215" s="126">
        <v>0</v>
      </c>
      <c r="Z215" s="142">
        <v>7</v>
      </c>
      <c r="AA215" s="126">
        <v>0.95</v>
      </c>
      <c r="AB215" s="126">
        <v>0</v>
      </c>
      <c r="AC215" s="126">
        <v>0</v>
      </c>
      <c r="AD215" s="126">
        <v>0</v>
      </c>
      <c r="AE215" s="126">
        <v>2.54</v>
      </c>
      <c r="AF215" s="126">
        <v>0.15</v>
      </c>
      <c r="AG215" t="s">
        <v>2460</v>
      </c>
    </row>
    <row r="216" spans="1:33" x14ac:dyDescent="0.3">
      <c r="A216">
        <v>284</v>
      </c>
      <c r="B216" t="s">
        <v>3065</v>
      </c>
      <c r="C216" t="s">
        <v>199</v>
      </c>
      <c r="D216">
        <v>3097</v>
      </c>
      <c r="E216">
        <v>3407</v>
      </c>
      <c r="F216">
        <v>100</v>
      </c>
      <c r="G216">
        <v>2500</v>
      </c>
      <c r="H216">
        <v>0</v>
      </c>
      <c r="I216">
        <v>2.7</v>
      </c>
      <c r="J216" s="28">
        <v>4.83</v>
      </c>
      <c r="K216" s="126">
        <v>0.12</v>
      </c>
      <c r="L216" s="126">
        <v>2.2999999999999998</v>
      </c>
      <c r="M216" s="126">
        <v>0.1</v>
      </c>
      <c r="N216" s="126">
        <v>0</v>
      </c>
      <c r="O216" s="126">
        <v>0.6</v>
      </c>
      <c r="P216" s="126">
        <v>0.88500000000000001</v>
      </c>
      <c r="Q216" s="126">
        <v>0.8</v>
      </c>
      <c r="R216" s="126">
        <v>0</v>
      </c>
      <c r="S216" s="126">
        <v>0</v>
      </c>
      <c r="T216" s="126">
        <v>0</v>
      </c>
      <c r="U216" s="126">
        <v>-50</v>
      </c>
      <c r="V216" s="126">
        <v>0</v>
      </c>
      <c r="W216" s="126">
        <v>0</v>
      </c>
      <c r="X216" s="126">
        <v>0</v>
      </c>
      <c r="Y216" s="126">
        <v>0</v>
      </c>
      <c r="Z216" s="142">
        <v>2</v>
      </c>
      <c r="AA216" s="126">
        <v>0.95</v>
      </c>
      <c r="AB216" s="126">
        <v>0</v>
      </c>
      <c r="AC216" s="126">
        <v>0</v>
      </c>
      <c r="AD216" s="126">
        <v>0</v>
      </c>
      <c r="AE216" s="126">
        <v>0</v>
      </c>
      <c r="AF216" s="126">
        <v>0</v>
      </c>
      <c r="AG216" t="s">
        <v>3066</v>
      </c>
    </row>
    <row r="217" spans="1:33" x14ac:dyDescent="0.3">
      <c r="A217">
        <v>285</v>
      </c>
      <c r="B217" t="s">
        <v>3067</v>
      </c>
      <c r="C217" t="s">
        <v>187</v>
      </c>
      <c r="D217">
        <v>153619</v>
      </c>
      <c r="E217">
        <v>168981</v>
      </c>
      <c r="F217">
        <v>150</v>
      </c>
      <c r="G217">
        <v>6000</v>
      </c>
      <c r="H217">
        <v>119</v>
      </c>
      <c r="I217">
        <v>8.1999999999999993</v>
      </c>
      <c r="J217" s="28">
        <v>8</v>
      </c>
      <c r="K217" s="126">
        <v>0.12</v>
      </c>
      <c r="L217" s="126">
        <v>2.2999999999999998</v>
      </c>
      <c r="M217" s="126">
        <v>0.1</v>
      </c>
      <c r="N217" s="126">
        <v>0.223</v>
      </c>
      <c r="O217" s="126">
        <v>0.64</v>
      </c>
      <c r="P217" s="126">
        <v>0.88500000000000001</v>
      </c>
      <c r="Q217" s="126">
        <v>0.65</v>
      </c>
      <c r="R217" s="126">
        <v>0</v>
      </c>
      <c r="S217" s="126">
        <v>0</v>
      </c>
      <c r="T217" s="126">
        <v>0</v>
      </c>
      <c r="U217" s="126">
        <v>-50</v>
      </c>
      <c r="V217" s="126">
        <v>0</v>
      </c>
      <c r="W217" s="126">
        <v>0</v>
      </c>
      <c r="X217" s="126">
        <v>0</v>
      </c>
      <c r="Y217" s="126">
        <v>0</v>
      </c>
      <c r="Z217" s="142">
        <v>2</v>
      </c>
      <c r="AA217" s="126">
        <v>0.95</v>
      </c>
      <c r="AB217" s="126">
        <v>0</v>
      </c>
      <c r="AC217" s="126">
        <v>0</v>
      </c>
      <c r="AD217" s="126">
        <v>0</v>
      </c>
      <c r="AE217" s="126">
        <v>6.47</v>
      </c>
      <c r="AF217" s="126">
        <v>0.15</v>
      </c>
      <c r="AG217" t="s">
        <v>3068</v>
      </c>
    </row>
    <row r="218" spans="1:33" x14ac:dyDescent="0.3">
      <c r="A218">
        <v>286</v>
      </c>
      <c r="B218" t="s">
        <v>3069</v>
      </c>
      <c r="C218" t="s">
        <v>199</v>
      </c>
      <c r="D218">
        <v>26344</v>
      </c>
      <c r="E218">
        <v>28978</v>
      </c>
      <c r="F218">
        <v>80</v>
      </c>
      <c r="G218">
        <v>1500</v>
      </c>
      <c r="H218">
        <v>0</v>
      </c>
      <c r="I218">
        <v>8.1999999999999993</v>
      </c>
      <c r="J218" s="28">
        <v>10.46</v>
      </c>
      <c r="K218" s="126">
        <v>0.41</v>
      </c>
      <c r="L218" s="126">
        <v>1.3</v>
      </c>
      <c r="M218" s="126">
        <v>0.1</v>
      </c>
      <c r="N218" s="126">
        <v>0</v>
      </c>
      <c r="O218" s="126">
        <v>0.6</v>
      </c>
      <c r="P218" s="126">
        <v>0.88500000000000001</v>
      </c>
      <c r="Q218" s="126">
        <v>0.65</v>
      </c>
      <c r="R218" s="126">
        <v>0</v>
      </c>
      <c r="S218" s="126">
        <v>0</v>
      </c>
      <c r="T218" s="126">
        <v>0</v>
      </c>
      <c r="U218" s="126">
        <v>0</v>
      </c>
      <c r="V218" s="126">
        <v>0</v>
      </c>
      <c r="W218" s="126">
        <v>0</v>
      </c>
      <c r="X218" s="126">
        <v>0</v>
      </c>
      <c r="Y218" s="126">
        <v>0</v>
      </c>
      <c r="Z218" s="142">
        <v>0</v>
      </c>
      <c r="AA218" s="126">
        <v>0.95</v>
      </c>
      <c r="AB218" s="126">
        <v>0</v>
      </c>
      <c r="AC218" s="126">
        <v>0</v>
      </c>
      <c r="AD218" s="126">
        <v>0</v>
      </c>
      <c r="AE218" s="126">
        <v>0</v>
      </c>
      <c r="AF218" s="126">
        <v>0</v>
      </c>
      <c r="AG218" t="s">
        <v>3070</v>
      </c>
    </row>
    <row r="219" spans="1:33" x14ac:dyDescent="0.3">
      <c r="A219">
        <v>287</v>
      </c>
      <c r="B219" t="s">
        <v>3071</v>
      </c>
      <c r="C219" t="s">
        <v>199</v>
      </c>
      <c r="D219">
        <v>34495</v>
      </c>
      <c r="E219">
        <v>37944</v>
      </c>
      <c r="F219">
        <v>80</v>
      </c>
      <c r="G219">
        <v>1500</v>
      </c>
      <c r="H219">
        <v>0</v>
      </c>
      <c r="I219">
        <v>8.1999999999999993</v>
      </c>
      <c r="J219" s="28">
        <v>10.46</v>
      </c>
      <c r="K219" s="126">
        <v>0.41</v>
      </c>
      <c r="L219" s="126">
        <v>1.3</v>
      </c>
      <c r="M219" s="126">
        <v>0.1</v>
      </c>
      <c r="N219" s="126">
        <v>0</v>
      </c>
      <c r="O219" s="126">
        <v>0.6</v>
      </c>
      <c r="P219" s="126">
        <v>0.88500000000000001</v>
      </c>
      <c r="Q219" s="126">
        <v>0.65</v>
      </c>
      <c r="R219" s="126">
        <v>0</v>
      </c>
      <c r="S219" s="126">
        <v>0</v>
      </c>
      <c r="T219" s="126">
        <v>0</v>
      </c>
      <c r="U219" s="126">
        <v>0</v>
      </c>
      <c r="V219" s="126">
        <v>0</v>
      </c>
      <c r="W219" s="126">
        <v>0</v>
      </c>
      <c r="X219" s="126">
        <v>0</v>
      </c>
      <c r="Y219" s="126">
        <v>0</v>
      </c>
      <c r="Z219" s="142">
        <v>0</v>
      </c>
      <c r="AA219" s="126">
        <v>0.95</v>
      </c>
      <c r="AB219" s="126">
        <v>0</v>
      </c>
      <c r="AC219" s="126">
        <v>0</v>
      </c>
      <c r="AD219" s="126">
        <v>0</v>
      </c>
      <c r="AE219" s="126">
        <v>0</v>
      </c>
      <c r="AF219" s="126">
        <v>0</v>
      </c>
      <c r="AG219" t="s">
        <v>3072</v>
      </c>
    </row>
    <row r="220" spans="1:33" x14ac:dyDescent="0.3">
      <c r="A220">
        <v>288</v>
      </c>
      <c r="B220" t="s">
        <v>3073</v>
      </c>
      <c r="C220" t="s">
        <v>199</v>
      </c>
      <c r="D220">
        <v>34495</v>
      </c>
      <c r="E220">
        <v>37944</v>
      </c>
      <c r="F220">
        <v>80</v>
      </c>
      <c r="G220">
        <v>1500</v>
      </c>
      <c r="H220">
        <v>0</v>
      </c>
      <c r="I220">
        <v>8.1999999999999993</v>
      </c>
      <c r="J220" s="28">
        <v>10.46</v>
      </c>
      <c r="K220" s="126">
        <v>0.41</v>
      </c>
      <c r="L220" s="126">
        <v>1.3</v>
      </c>
      <c r="M220" s="126">
        <v>0.1</v>
      </c>
      <c r="N220" s="126">
        <v>0</v>
      </c>
      <c r="O220" s="126">
        <v>0.6</v>
      </c>
      <c r="P220" s="126">
        <v>0.88500000000000001</v>
      </c>
      <c r="Q220" s="126">
        <v>0.65</v>
      </c>
      <c r="R220" s="126">
        <v>0</v>
      </c>
      <c r="S220" s="126">
        <v>0</v>
      </c>
      <c r="T220" s="126">
        <v>0</v>
      </c>
      <c r="U220" s="126">
        <v>0</v>
      </c>
      <c r="V220" s="126">
        <v>0</v>
      </c>
      <c r="W220" s="126">
        <v>0</v>
      </c>
      <c r="X220" s="126">
        <v>0</v>
      </c>
      <c r="Y220" s="126">
        <v>0</v>
      </c>
      <c r="Z220" s="142">
        <v>0</v>
      </c>
      <c r="AA220" s="126">
        <v>0.95</v>
      </c>
      <c r="AB220" s="126">
        <v>0</v>
      </c>
      <c r="AC220" s="126">
        <v>0</v>
      </c>
      <c r="AD220" s="126">
        <v>0</v>
      </c>
      <c r="AE220" s="126">
        <v>0</v>
      </c>
      <c r="AF220" s="126">
        <v>0</v>
      </c>
      <c r="AG220" t="s">
        <v>3074</v>
      </c>
    </row>
    <row r="221" spans="1:33" x14ac:dyDescent="0.3">
      <c r="A221">
        <v>289</v>
      </c>
      <c r="B221" t="s">
        <v>3075</v>
      </c>
      <c r="C221" t="s">
        <v>199</v>
      </c>
      <c r="D221">
        <v>34495</v>
      </c>
      <c r="E221">
        <v>37944</v>
      </c>
      <c r="F221">
        <v>80</v>
      </c>
      <c r="G221">
        <v>1500</v>
      </c>
      <c r="H221">
        <v>0</v>
      </c>
      <c r="I221">
        <v>8.1999999999999993</v>
      </c>
      <c r="J221" s="28">
        <v>10.46</v>
      </c>
      <c r="K221" s="126">
        <v>0.41</v>
      </c>
      <c r="L221" s="126">
        <v>1.3</v>
      </c>
      <c r="M221" s="126">
        <v>0.1</v>
      </c>
      <c r="N221" s="126">
        <v>0</v>
      </c>
      <c r="O221" s="126">
        <v>0.6</v>
      </c>
      <c r="P221" s="126">
        <v>0.88500000000000001</v>
      </c>
      <c r="Q221" s="126">
        <v>0.65</v>
      </c>
      <c r="R221" s="126">
        <v>0</v>
      </c>
      <c r="S221" s="126">
        <v>0</v>
      </c>
      <c r="T221" s="126">
        <v>0</v>
      </c>
      <c r="U221" s="126">
        <v>0</v>
      </c>
      <c r="V221" s="126">
        <v>0</v>
      </c>
      <c r="W221" s="126">
        <v>0</v>
      </c>
      <c r="X221" s="126">
        <v>0</v>
      </c>
      <c r="Y221" s="126">
        <v>0</v>
      </c>
      <c r="Z221" s="142">
        <v>0</v>
      </c>
      <c r="AA221" s="126">
        <v>0.95</v>
      </c>
      <c r="AB221" s="126">
        <v>0</v>
      </c>
      <c r="AC221" s="126">
        <v>0</v>
      </c>
      <c r="AD221" s="126">
        <v>0</v>
      </c>
      <c r="AE221" s="126">
        <v>0</v>
      </c>
      <c r="AF221" s="126">
        <v>0</v>
      </c>
      <c r="AG221" t="s">
        <v>3076</v>
      </c>
    </row>
    <row r="222" spans="1:33" x14ac:dyDescent="0.3">
      <c r="A222">
        <v>290</v>
      </c>
      <c r="B222" t="s">
        <v>3077</v>
      </c>
      <c r="C222" t="s">
        <v>199</v>
      </c>
      <c r="D222">
        <v>34495</v>
      </c>
      <c r="E222">
        <v>37944</v>
      </c>
      <c r="F222">
        <v>80</v>
      </c>
      <c r="G222">
        <v>1500</v>
      </c>
      <c r="H222">
        <v>0</v>
      </c>
      <c r="I222">
        <v>8.1999999999999993</v>
      </c>
      <c r="J222" s="28">
        <v>10.46</v>
      </c>
      <c r="K222" s="126">
        <v>0.41</v>
      </c>
      <c r="L222" s="126">
        <v>1.3</v>
      </c>
      <c r="M222" s="126">
        <v>0.1</v>
      </c>
      <c r="N222" s="126">
        <v>0</v>
      </c>
      <c r="O222" s="126">
        <v>0.6</v>
      </c>
      <c r="P222" s="126">
        <v>0.88500000000000001</v>
      </c>
      <c r="Q222" s="126">
        <v>0.65</v>
      </c>
      <c r="R222" s="126">
        <v>0</v>
      </c>
      <c r="S222" s="126">
        <v>0</v>
      </c>
      <c r="T222" s="126">
        <v>0</v>
      </c>
      <c r="U222" s="126">
        <v>0</v>
      </c>
      <c r="V222" s="126">
        <v>0</v>
      </c>
      <c r="W222" s="126">
        <v>0</v>
      </c>
      <c r="X222" s="126">
        <v>0</v>
      </c>
      <c r="Y222" s="126">
        <v>0</v>
      </c>
      <c r="Z222" s="142">
        <v>0</v>
      </c>
      <c r="AA222" s="126">
        <v>0.95</v>
      </c>
      <c r="AB222" s="126">
        <v>0</v>
      </c>
      <c r="AC222" s="126">
        <v>0</v>
      </c>
      <c r="AD222" s="126">
        <v>0</v>
      </c>
      <c r="AE222" s="126">
        <v>0</v>
      </c>
      <c r="AF222" s="126">
        <v>0</v>
      </c>
      <c r="AG222" t="s">
        <v>3078</v>
      </c>
    </row>
    <row r="223" spans="1:33" x14ac:dyDescent="0.3">
      <c r="A223">
        <v>291</v>
      </c>
      <c r="B223" t="s">
        <v>3079</v>
      </c>
      <c r="C223" t="s">
        <v>187</v>
      </c>
      <c r="D223">
        <v>187559</v>
      </c>
      <c r="E223">
        <v>206315</v>
      </c>
      <c r="F223">
        <v>135</v>
      </c>
      <c r="G223">
        <v>6000</v>
      </c>
      <c r="H223">
        <v>119</v>
      </c>
      <c r="I223">
        <v>8.1999999999999993</v>
      </c>
      <c r="J223" s="28">
        <v>8</v>
      </c>
      <c r="K223" s="126">
        <v>0.04</v>
      </c>
      <c r="L223" s="126">
        <v>2.1</v>
      </c>
      <c r="M223" s="126">
        <v>0.1</v>
      </c>
      <c r="N223" s="126">
        <v>0.223</v>
      </c>
      <c r="O223" s="126">
        <v>0.64</v>
      </c>
      <c r="P223" s="126">
        <v>0.88500000000000001</v>
      </c>
      <c r="Q223" s="126">
        <v>0.7</v>
      </c>
      <c r="R223" s="126">
        <v>0</v>
      </c>
      <c r="S223" s="126">
        <v>0</v>
      </c>
      <c r="T223" s="126">
        <v>0</v>
      </c>
      <c r="U223" s="126">
        <v>-50</v>
      </c>
      <c r="V223" s="126">
        <v>0</v>
      </c>
      <c r="W223" s="126">
        <v>0</v>
      </c>
      <c r="X223" s="126">
        <v>0</v>
      </c>
      <c r="Y223" s="126">
        <v>0</v>
      </c>
      <c r="Z223" s="142">
        <v>2</v>
      </c>
      <c r="AA223" s="126">
        <v>0.95</v>
      </c>
      <c r="AB223" s="126">
        <v>0</v>
      </c>
      <c r="AC223" s="126">
        <v>0</v>
      </c>
      <c r="AD223" s="126">
        <v>0</v>
      </c>
      <c r="AE223" s="126">
        <v>6.47</v>
      </c>
      <c r="AF223" s="126">
        <v>0.15</v>
      </c>
      <c r="AG223" t="s">
        <v>2482</v>
      </c>
    </row>
    <row r="224" spans="1:33" x14ac:dyDescent="0.3">
      <c r="A224">
        <v>292</v>
      </c>
      <c r="B224" t="s">
        <v>253</v>
      </c>
      <c r="C224" t="s">
        <v>187</v>
      </c>
      <c r="D224">
        <v>164865</v>
      </c>
      <c r="E224">
        <v>181352</v>
      </c>
      <c r="F224">
        <v>205</v>
      </c>
      <c r="G224">
        <v>6000</v>
      </c>
      <c r="H224">
        <v>119</v>
      </c>
      <c r="I224">
        <v>8.1999999999999993</v>
      </c>
      <c r="J224" s="28">
        <v>8</v>
      </c>
      <c r="K224" s="126">
        <v>0.04</v>
      </c>
      <c r="L224" s="126">
        <v>2.1</v>
      </c>
      <c r="M224" s="126">
        <v>0.1</v>
      </c>
      <c r="N224" s="126">
        <v>0.223</v>
      </c>
      <c r="O224" s="126">
        <v>0.64</v>
      </c>
      <c r="P224" s="126">
        <v>0.88500000000000001</v>
      </c>
      <c r="Q224" s="126">
        <v>0.7</v>
      </c>
      <c r="R224" s="126">
        <v>0</v>
      </c>
      <c r="S224" s="126">
        <v>0</v>
      </c>
      <c r="T224" s="126">
        <v>0</v>
      </c>
      <c r="U224" s="126">
        <v>-50</v>
      </c>
      <c r="V224" s="126">
        <v>0</v>
      </c>
      <c r="W224" s="126">
        <v>0</v>
      </c>
      <c r="X224" s="126">
        <v>0</v>
      </c>
      <c r="Y224" s="126">
        <v>0</v>
      </c>
      <c r="Z224" s="142">
        <v>2</v>
      </c>
      <c r="AA224" s="126">
        <v>0.95</v>
      </c>
      <c r="AB224" s="126">
        <v>0</v>
      </c>
      <c r="AC224" s="126">
        <v>0</v>
      </c>
      <c r="AD224" s="126">
        <v>0</v>
      </c>
      <c r="AE224" s="126">
        <v>6.47</v>
      </c>
      <c r="AF224" s="126">
        <v>0.15</v>
      </c>
      <c r="AG224" t="s">
        <v>2461</v>
      </c>
    </row>
    <row r="225" spans="1:33" x14ac:dyDescent="0.3">
      <c r="A225">
        <v>293</v>
      </c>
      <c r="B225" t="s">
        <v>254</v>
      </c>
      <c r="C225" t="s">
        <v>187</v>
      </c>
      <c r="D225">
        <v>147841</v>
      </c>
      <c r="E225">
        <v>162625</v>
      </c>
      <c r="F225">
        <v>205</v>
      </c>
      <c r="G225">
        <v>6000</v>
      </c>
      <c r="H225">
        <v>119</v>
      </c>
      <c r="I225">
        <v>8.1999999999999993</v>
      </c>
      <c r="J225" s="28">
        <v>8</v>
      </c>
      <c r="K225" s="126">
        <v>0.04</v>
      </c>
      <c r="L225" s="126">
        <v>2.1</v>
      </c>
      <c r="M225" s="126">
        <v>0.1</v>
      </c>
      <c r="N225" s="126">
        <v>0.223</v>
      </c>
      <c r="O225" s="126">
        <v>0.64</v>
      </c>
      <c r="P225" s="126">
        <v>0.88500000000000001</v>
      </c>
      <c r="Q225" s="126">
        <v>0.7</v>
      </c>
      <c r="R225" s="126">
        <v>0</v>
      </c>
      <c r="S225" s="126">
        <v>0</v>
      </c>
      <c r="T225" s="126">
        <v>0</v>
      </c>
      <c r="U225" s="126">
        <v>-50</v>
      </c>
      <c r="V225" s="126">
        <v>0</v>
      </c>
      <c r="W225" s="126">
        <v>0</v>
      </c>
      <c r="X225" s="126">
        <v>0</v>
      </c>
      <c r="Y225" s="126">
        <v>0</v>
      </c>
      <c r="Z225" s="142">
        <v>2</v>
      </c>
      <c r="AA225" s="126">
        <v>0.95</v>
      </c>
      <c r="AB225" s="126">
        <v>0</v>
      </c>
      <c r="AC225" s="126">
        <v>0</v>
      </c>
      <c r="AD225" s="126">
        <v>0</v>
      </c>
      <c r="AE225" s="126">
        <v>6.47</v>
      </c>
      <c r="AF225" s="126">
        <v>0.15</v>
      </c>
      <c r="AG225" t="s">
        <v>1884</v>
      </c>
    </row>
    <row r="226" spans="1:33" x14ac:dyDescent="0.3">
      <c r="A226">
        <v>294</v>
      </c>
      <c r="B226" t="s">
        <v>255</v>
      </c>
      <c r="C226" t="s">
        <v>187</v>
      </c>
      <c r="D226">
        <v>179346</v>
      </c>
      <c r="E226">
        <v>197281</v>
      </c>
      <c r="F226">
        <v>400</v>
      </c>
      <c r="G226">
        <v>6000</v>
      </c>
      <c r="H226">
        <v>119</v>
      </c>
      <c r="I226">
        <v>8.1999999999999993</v>
      </c>
      <c r="J226" s="28">
        <v>8</v>
      </c>
      <c r="K226" s="126">
        <v>0.04</v>
      </c>
      <c r="L226" s="126">
        <v>2.1</v>
      </c>
      <c r="M226" s="126">
        <v>0.1</v>
      </c>
      <c r="N226" s="126">
        <v>0.223</v>
      </c>
      <c r="O226" s="126">
        <v>0.64</v>
      </c>
      <c r="P226" s="126">
        <v>0.88500000000000001</v>
      </c>
      <c r="Q226" s="126">
        <v>0.7</v>
      </c>
      <c r="R226" s="126">
        <v>0</v>
      </c>
      <c r="S226" s="126">
        <v>0</v>
      </c>
      <c r="T226" s="126">
        <v>0</v>
      </c>
      <c r="U226" s="126">
        <v>-50</v>
      </c>
      <c r="V226" s="126">
        <v>0</v>
      </c>
      <c r="W226" s="126">
        <v>0</v>
      </c>
      <c r="X226" s="126">
        <v>0</v>
      </c>
      <c r="Y226" s="126">
        <v>0</v>
      </c>
      <c r="Z226" s="142">
        <v>2</v>
      </c>
      <c r="AA226" s="126">
        <v>0.95</v>
      </c>
      <c r="AB226" s="126">
        <v>0</v>
      </c>
      <c r="AC226" s="126">
        <v>0</v>
      </c>
      <c r="AD226" s="126">
        <v>0</v>
      </c>
      <c r="AE226" s="126">
        <v>6.47</v>
      </c>
      <c r="AF226" s="126">
        <v>0.15</v>
      </c>
      <c r="AG226" t="s">
        <v>2462</v>
      </c>
    </row>
    <row r="227" spans="1:33" x14ac:dyDescent="0.3">
      <c r="A227">
        <v>295</v>
      </c>
      <c r="B227" t="s">
        <v>256</v>
      </c>
      <c r="C227" t="s">
        <v>187</v>
      </c>
      <c r="D227">
        <v>14827</v>
      </c>
      <c r="E227">
        <v>16310</v>
      </c>
      <c r="F227">
        <v>55</v>
      </c>
      <c r="G227">
        <v>6000</v>
      </c>
      <c r="H227">
        <v>149</v>
      </c>
      <c r="I227">
        <v>1.5</v>
      </c>
      <c r="J227" s="28">
        <v>5.95</v>
      </c>
      <c r="K227" s="126">
        <v>0.14000000000000001</v>
      </c>
      <c r="L227" s="126">
        <v>2.2999999999999998</v>
      </c>
      <c r="M227" s="126">
        <v>0.1</v>
      </c>
      <c r="N227" s="126">
        <v>0</v>
      </c>
      <c r="O227" s="126">
        <v>0.6</v>
      </c>
      <c r="P227" s="126">
        <v>0.88500000000000001</v>
      </c>
      <c r="Q227" s="126">
        <v>0.7</v>
      </c>
      <c r="R227" s="126">
        <v>0</v>
      </c>
      <c r="S227" s="126">
        <v>0</v>
      </c>
      <c r="T227" s="126">
        <v>0</v>
      </c>
      <c r="U227" s="126">
        <v>-50</v>
      </c>
      <c r="V227" s="126">
        <v>0</v>
      </c>
      <c r="W227" s="126">
        <v>0</v>
      </c>
      <c r="X227" s="126">
        <v>0</v>
      </c>
      <c r="Y227" s="126">
        <v>0</v>
      </c>
      <c r="Z227" s="142">
        <v>2</v>
      </c>
      <c r="AA227" s="126">
        <v>0.95</v>
      </c>
      <c r="AB227" s="126">
        <v>0</v>
      </c>
      <c r="AC227" s="126">
        <v>0</v>
      </c>
      <c r="AD227" s="126">
        <v>0</v>
      </c>
      <c r="AE227" s="126">
        <v>0</v>
      </c>
      <c r="AF227" s="126">
        <v>0.15</v>
      </c>
      <c r="AG227" t="s">
        <v>2463</v>
      </c>
    </row>
    <row r="228" spans="1:33" x14ac:dyDescent="0.3">
      <c r="A228">
        <v>296</v>
      </c>
      <c r="B228" t="s">
        <v>257</v>
      </c>
      <c r="C228" t="s">
        <v>199</v>
      </c>
      <c r="D228">
        <v>7634</v>
      </c>
      <c r="E228">
        <v>8398</v>
      </c>
      <c r="F228">
        <v>50</v>
      </c>
      <c r="G228">
        <v>2000</v>
      </c>
      <c r="H228">
        <v>0</v>
      </c>
      <c r="I228">
        <v>4.9000000000000004</v>
      </c>
      <c r="J228" s="28">
        <v>4.83</v>
      </c>
      <c r="K228" s="126">
        <v>0.11</v>
      </c>
      <c r="L228" s="126">
        <v>1.8</v>
      </c>
      <c r="M228" s="126">
        <v>0.1</v>
      </c>
      <c r="N228" s="126">
        <v>0</v>
      </c>
      <c r="O228" s="126">
        <v>0.6</v>
      </c>
      <c r="P228" s="126">
        <v>0.88500000000000001</v>
      </c>
      <c r="Q228" s="126">
        <v>0.8</v>
      </c>
      <c r="R228" s="126">
        <v>0</v>
      </c>
      <c r="S228" s="126">
        <v>0</v>
      </c>
      <c r="T228" s="126">
        <v>0</v>
      </c>
      <c r="U228" s="126">
        <v>-150</v>
      </c>
      <c r="V228" s="126">
        <v>0</v>
      </c>
      <c r="W228" s="126">
        <v>0</v>
      </c>
      <c r="X228" s="126">
        <v>0</v>
      </c>
      <c r="Y228" s="126">
        <v>0</v>
      </c>
      <c r="Z228" s="142">
        <v>2</v>
      </c>
      <c r="AA228" s="126">
        <v>0.95</v>
      </c>
      <c r="AB228" s="126">
        <v>0</v>
      </c>
      <c r="AC228" s="126">
        <v>0</v>
      </c>
      <c r="AD228" s="126">
        <v>0</v>
      </c>
      <c r="AE228" s="126">
        <v>6.47</v>
      </c>
      <c r="AF228" s="126">
        <v>0.15</v>
      </c>
      <c r="AG228" t="s">
        <v>2464</v>
      </c>
    </row>
    <row r="229" spans="1:33" x14ac:dyDescent="0.3">
      <c r="A229">
        <v>297</v>
      </c>
      <c r="B229" t="s">
        <v>258</v>
      </c>
      <c r="C229" t="s">
        <v>187</v>
      </c>
      <c r="D229">
        <v>222000</v>
      </c>
      <c r="E229">
        <v>244200</v>
      </c>
      <c r="F229">
        <v>260</v>
      </c>
      <c r="G229">
        <v>6000</v>
      </c>
      <c r="H229">
        <v>149</v>
      </c>
      <c r="I229">
        <v>1.5</v>
      </c>
      <c r="J229" s="28">
        <v>4.18</v>
      </c>
      <c r="K229" s="126">
        <v>0.11</v>
      </c>
      <c r="L229" s="126">
        <v>1.8</v>
      </c>
      <c r="M229" s="126">
        <v>0.1</v>
      </c>
      <c r="N229" s="126">
        <v>0.223</v>
      </c>
      <c r="O229" s="126">
        <v>0.64</v>
      </c>
      <c r="P229" s="126">
        <v>0.88500000000000001</v>
      </c>
      <c r="Q229" s="126">
        <v>0.7</v>
      </c>
      <c r="R229" s="126">
        <v>0</v>
      </c>
      <c r="S229" s="126">
        <v>0</v>
      </c>
      <c r="T229" s="126">
        <v>0</v>
      </c>
      <c r="U229" s="126">
        <v>-150</v>
      </c>
      <c r="V229" s="126">
        <v>0</v>
      </c>
      <c r="W229" s="126">
        <v>0</v>
      </c>
      <c r="X229" s="126">
        <v>0</v>
      </c>
      <c r="Y229" s="126">
        <v>0</v>
      </c>
      <c r="Z229" s="142">
        <v>2</v>
      </c>
      <c r="AA229" s="126">
        <v>0.95</v>
      </c>
      <c r="AB229" s="126">
        <v>0</v>
      </c>
      <c r="AC229" s="126">
        <v>0</v>
      </c>
      <c r="AD229" s="126">
        <v>0</v>
      </c>
      <c r="AE229" s="126">
        <v>6.47</v>
      </c>
      <c r="AF229" s="126">
        <v>0.15</v>
      </c>
      <c r="AG229" t="s">
        <v>2465</v>
      </c>
    </row>
    <row r="230" spans="1:33" x14ac:dyDescent="0.3">
      <c r="A230">
        <v>298</v>
      </c>
      <c r="B230" t="s">
        <v>259</v>
      </c>
      <c r="C230" t="s">
        <v>199</v>
      </c>
      <c r="D230">
        <v>13000</v>
      </c>
      <c r="E230">
        <v>14300</v>
      </c>
      <c r="F230">
        <v>100</v>
      </c>
      <c r="G230">
        <v>20000</v>
      </c>
      <c r="H230">
        <v>0</v>
      </c>
      <c r="I230">
        <v>50</v>
      </c>
      <c r="J230" s="28">
        <v>5</v>
      </c>
      <c r="K230" s="126">
        <v>0.1</v>
      </c>
      <c r="L230" s="126">
        <v>1.8</v>
      </c>
      <c r="M230" s="126">
        <v>0.1</v>
      </c>
      <c r="N230" s="126">
        <v>0</v>
      </c>
      <c r="O230" s="126">
        <v>0.64</v>
      </c>
      <c r="P230" s="126">
        <v>0.88500000000000001</v>
      </c>
      <c r="Q230" s="126">
        <v>0.8</v>
      </c>
      <c r="R230" s="126">
        <v>0</v>
      </c>
      <c r="S230" s="126">
        <v>0</v>
      </c>
      <c r="T230" s="126">
        <v>0</v>
      </c>
      <c r="U230" s="126">
        <v>0</v>
      </c>
      <c r="V230" s="126">
        <v>0</v>
      </c>
      <c r="W230" s="126">
        <v>0</v>
      </c>
      <c r="X230" s="126">
        <v>0</v>
      </c>
      <c r="Y230" s="126">
        <v>0</v>
      </c>
      <c r="Z230" s="142">
        <v>0</v>
      </c>
      <c r="AA230" s="126">
        <v>0</v>
      </c>
      <c r="AB230" s="126">
        <v>0</v>
      </c>
      <c r="AC230" s="126">
        <v>0</v>
      </c>
      <c r="AD230" s="126">
        <v>0</v>
      </c>
      <c r="AE230" s="126">
        <v>0</v>
      </c>
      <c r="AF230" s="126">
        <v>0.15</v>
      </c>
      <c r="AG230" t="s">
        <v>1848</v>
      </c>
    </row>
    <row r="231" spans="1:33" x14ac:dyDescent="0.3">
      <c r="A231">
        <v>299</v>
      </c>
      <c r="B231" t="s">
        <v>260</v>
      </c>
      <c r="C231" t="s">
        <v>199</v>
      </c>
      <c r="D231">
        <v>7634</v>
      </c>
      <c r="E231">
        <v>8398</v>
      </c>
      <c r="F231">
        <v>210</v>
      </c>
      <c r="G231">
        <v>2500</v>
      </c>
      <c r="H231">
        <v>0</v>
      </c>
      <c r="I231">
        <v>4.9000000000000004</v>
      </c>
      <c r="J231" s="28">
        <v>6.44</v>
      </c>
      <c r="K231" s="126">
        <v>0.11</v>
      </c>
      <c r="L231" s="126">
        <v>1.8</v>
      </c>
      <c r="M231" s="126">
        <v>0.1</v>
      </c>
      <c r="N231" s="126">
        <v>0</v>
      </c>
      <c r="O231" s="126">
        <v>0.6</v>
      </c>
      <c r="P231" s="126">
        <v>0.88500000000000001</v>
      </c>
      <c r="Q231" s="126">
        <v>0.8</v>
      </c>
      <c r="R231" s="126">
        <v>0</v>
      </c>
      <c r="S231" s="126">
        <v>0</v>
      </c>
      <c r="T231" s="126">
        <v>0</v>
      </c>
      <c r="U231" s="126">
        <v>0</v>
      </c>
      <c r="V231" s="126">
        <v>0</v>
      </c>
      <c r="W231" s="126">
        <v>0</v>
      </c>
      <c r="X231" s="126">
        <v>0</v>
      </c>
      <c r="Y231" s="126">
        <v>0</v>
      </c>
      <c r="Z231" s="142">
        <v>0</v>
      </c>
      <c r="AA231" s="126">
        <v>0</v>
      </c>
      <c r="AB231" s="126">
        <v>0</v>
      </c>
      <c r="AC231" s="126">
        <v>0</v>
      </c>
      <c r="AD231" s="126">
        <v>0</v>
      </c>
      <c r="AE231" s="126">
        <v>0</v>
      </c>
      <c r="AF231" s="126">
        <v>0.15</v>
      </c>
      <c r="AG231" t="s">
        <v>1849</v>
      </c>
    </row>
    <row r="232" spans="1:33" x14ac:dyDescent="0.3">
      <c r="A232">
        <v>300</v>
      </c>
      <c r="B232" t="s">
        <v>261</v>
      </c>
      <c r="C232" t="s">
        <v>199</v>
      </c>
      <c r="D232">
        <v>7634</v>
      </c>
      <c r="E232">
        <v>8398</v>
      </c>
      <c r="F232">
        <v>120</v>
      </c>
      <c r="G232">
        <v>2500</v>
      </c>
      <c r="H232">
        <v>0</v>
      </c>
      <c r="I232">
        <v>4.9000000000000004</v>
      </c>
      <c r="J232" s="28">
        <v>7.24</v>
      </c>
      <c r="K232" s="126">
        <v>0.11</v>
      </c>
      <c r="L232" s="126">
        <v>1.8</v>
      </c>
      <c r="M232" s="126">
        <v>0.1</v>
      </c>
      <c r="N232" s="126">
        <v>0</v>
      </c>
      <c r="O232" s="126">
        <v>0.6</v>
      </c>
      <c r="P232" s="126">
        <v>0.88500000000000001</v>
      </c>
      <c r="Q232" s="126">
        <v>0.8</v>
      </c>
      <c r="R232" s="126">
        <v>0</v>
      </c>
      <c r="S232" s="126">
        <v>0</v>
      </c>
      <c r="T232" s="126">
        <v>0</v>
      </c>
      <c r="U232" s="126">
        <v>-150</v>
      </c>
      <c r="V232" s="126">
        <v>0</v>
      </c>
      <c r="W232" s="126">
        <v>0</v>
      </c>
      <c r="X232" s="126">
        <v>0</v>
      </c>
      <c r="Y232" s="126">
        <v>0</v>
      </c>
      <c r="Z232" s="142">
        <v>2</v>
      </c>
      <c r="AA232" s="126">
        <v>0.95</v>
      </c>
      <c r="AB232" s="126">
        <v>0</v>
      </c>
      <c r="AC232" s="126">
        <v>0</v>
      </c>
      <c r="AD232" s="126">
        <v>0</v>
      </c>
      <c r="AE232" s="126">
        <v>6.47</v>
      </c>
      <c r="AF232" s="126">
        <v>0.15</v>
      </c>
      <c r="AG232" t="s">
        <v>2466</v>
      </c>
    </row>
    <row r="233" spans="1:33" x14ac:dyDescent="0.3">
      <c r="A233">
        <v>301</v>
      </c>
      <c r="B233" t="s">
        <v>3080</v>
      </c>
      <c r="C233" t="s">
        <v>199</v>
      </c>
      <c r="D233">
        <v>7634</v>
      </c>
      <c r="E233">
        <v>8398</v>
      </c>
      <c r="F233">
        <v>50</v>
      </c>
      <c r="G233">
        <v>2500</v>
      </c>
      <c r="H233">
        <v>0</v>
      </c>
      <c r="I233">
        <v>4.9000000000000004</v>
      </c>
      <c r="J233" s="28">
        <v>7.24</v>
      </c>
      <c r="K233" s="126">
        <v>0.11</v>
      </c>
      <c r="L233" s="126">
        <v>1.8</v>
      </c>
      <c r="M233" s="126">
        <v>0.1</v>
      </c>
      <c r="N233" s="126">
        <v>0</v>
      </c>
      <c r="O233" s="126">
        <v>0.6</v>
      </c>
      <c r="P233" s="126">
        <v>0.88500000000000001</v>
      </c>
      <c r="Q233" s="126">
        <v>0.8</v>
      </c>
      <c r="R233" s="126">
        <v>0</v>
      </c>
      <c r="S233" s="126">
        <v>0</v>
      </c>
      <c r="T233" s="126">
        <v>0</v>
      </c>
      <c r="U233" s="126">
        <v>-150</v>
      </c>
      <c r="V233" s="126">
        <v>0</v>
      </c>
      <c r="W233" s="126">
        <v>0</v>
      </c>
      <c r="X233" s="126">
        <v>0</v>
      </c>
      <c r="Y233" s="126">
        <v>0</v>
      </c>
      <c r="Z233" s="142">
        <v>2</v>
      </c>
      <c r="AA233" s="126">
        <v>0.95</v>
      </c>
      <c r="AB233" s="126">
        <v>0</v>
      </c>
      <c r="AC233" s="126">
        <v>0</v>
      </c>
      <c r="AD233" s="126">
        <v>0</v>
      </c>
      <c r="AE233" s="126">
        <v>6.47</v>
      </c>
      <c r="AF233" s="126">
        <v>0.15</v>
      </c>
      <c r="AG233" t="s">
        <v>3081</v>
      </c>
    </row>
    <row r="234" spans="1:33" x14ac:dyDescent="0.3">
      <c r="A234">
        <v>302</v>
      </c>
      <c r="B234" t="s">
        <v>262</v>
      </c>
      <c r="C234" t="s">
        <v>187</v>
      </c>
      <c r="D234">
        <v>101935</v>
      </c>
      <c r="E234">
        <v>112129</v>
      </c>
      <c r="F234">
        <v>145</v>
      </c>
      <c r="G234">
        <v>6000</v>
      </c>
      <c r="H234">
        <v>149</v>
      </c>
      <c r="I234">
        <v>4.9000000000000004</v>
      </c>
      <c r="J234" s="28">
        <v>6.92</v>
      </c>
      <c r="K234" s="126">
        <v>0.11</v>
      </c>
      <c r="L234" s="126">
        <v>1.8</v>
      </c>
      <c r="M234" s="126">
        <v>0.1</v>
      </c>
      <c r="N234" s="126">
        <v>0.223</v>
      </c>
      <c r="O234" s="126">
        <v>0.64</v>
      </c>
      <c r="P234" s="126">
        <v>0.88500000000000001</v>
      </c>
      <c r="Q234" s="126">
        <v>0.75</v>
      </c>
      <c r="R234" s="126">
        <v>0</v>
      </c>
      <c r="S234" s="126">
        <v>0</v>
      </c>
      <c r="T234" s="126">
        <v>0</v>
      </c>
      <c r="U234" s="126">
        <v>-150</v>
      </c>
      <c r="V234" s="126">
        <v>0</v>
      </c>
      <c r="W234" s="126">
        <v>0</v>
      </c>
      <c r="X234" s="126">
        <v>0</v>
      </c>
      <c r="Y234" s="126">
        <v>0</v>
      </c>
      <c r="Z234" s="142">
        <v>2</v>
      </c>
      <c r="AA234" s="126">
        <v>0.95</v>
      </c>
      <c r="AB234" s="126">
        <v>0</v>
      </c>
      <c r="AC234" s="126">
        <v>0</v>
      </c>
      <c r="AD234" s="126">
        <v>0</v>
      </c>
      <c r="AE234" s="126">
        <v>6.47</v>
      </c>
      <c r="AF234" s="126">
        <v>0.15</v>
      </c>
      <c r="AG234" t="s">
        <v>3082</v>
      </c>
    </row>
    <row r="235" spans="1:33" x14ac:dyDescent="0.3">
      <c r="A235">
        <v>303</v>
      </c>
      <c r="B235" t="s">
        <v>263</v>
      </c>
      <c r="C235" t="s">
        <v>199</v>
      </c>
      <c r="D235">
        <v>2000</v>
      </c>
      <c r="E235">
        <v>2200</v>
      </c>
      <c r="F235">
        <v>20</v>
      </c>
      <c r="G235">
        <v>525</v>
      </c>
      <c r="H235">
        <v>0</v>
      </c>
      <c r="I235">
        <v>4.9000000000000004</v>
      </c>
      <c r="J235" s="28">
        <v>19.309999999999999</v>
      </c>
      <c r="K235" s="126">
        <v>0.19</v>
      </c>
      <c r="L235" s="126">
        <v>1.3</v>
      </c>
      <c r="M235" s="126">
        <v>0.1</v>
      </c>
      <c r="N235" s="126">
        <v>0</v>
      </c>
      <c r="O235" s="126">
        <v>0.6</v>
      </c>
      <c r="P235" s="126">
        <v>0.88500000000000001</v>
      </c>
      <c r="Q235" s="126">
        <v>0.50900000000000001</v>
      </c>
      <c r="R235" s="126">
        <v>0</v>
      </c>
      <c r="S235" s="126">
        <v>0</v>
      </c>
      <c r="T235" s="126">
        <v>0</v>
      </c>
      <c r="U235" s="126">
        <v>0</v>
      </c>
      <c r="V235" s="126">
        <v>0</v>
      </c>
      <c r="W235" s="126">
        <v>0</v>
      </c>
      <c r="X235" s="126">
        <v>0</v>
      </c>
      <c r="Y235" s="126">
        <v>0</v>
      </c>
      <c r="Z235" s="142">
        <v>12</v>
      </c>
      <c r="AA235" s="126">
        <v>0</v>
      </c>
      <c r="AB235" s="126">
        <v>0</v>
      </c>
      <c r="AC235" s="126">
        <v>0</v>
      </c>
      <c r="AD235" s="126">
        <v>0</v>
      </c>
      <c r="AE235" s="126">
        <v>0</v>
      </c>
      <c r="AF235" s="126">
        <v>0.15</v>
      </c>
      <c r="AG235" t="s">
        <v>2467</v>
      </c>
    </row>
    <row r="236" spans="1:33" x14ac:dyDescent="0.3">
      <c r="A236">
        <v>304</v>
      </c>
      <c r="B236" t="s">
        <v>264</v>
      </c>
      <c r="C236" t="s">
        <v>199</v>
      </c>
      <c r="D236">
        <v>8649</v>
      </c>
      <c r="E236">
        <v>9514</v>
      </c>
      <c r="F236">
        <v>50</v>
      </c>
      <c r="G236">
        <v>2000</v>
      </c>
      <c r="H236">
        <v>0</v>
      </c>
      <c r="I236">
        <v>4.9000000000000004</v>
      </c>
      <c r="J236" s="28">
        <v>4.0199999999999996</v>
      </c>
      <c r="K236" s="126">
        <v>0.59</v>
      </c>
      <c r="L236" s="126">
        <v>1.3</v>
      </c>
      <c r="M236" s="126">
        <v>0.1</v>
      </c>
      <c r="N236" s="126">
        <v>0</v>
      </c>
      <c r="O236" s="126">
        <v>0.6</v>
      </c>
      <c r="P236" s="126">
        <v>0.88500000000000001</v>
      </c>
      <c r="Q236" s="126">
        <v>0.8</v>
      </c>
      <c r="R236" s="126">
        <v>0</v>
      </c>
      <c r="S236" s="126">
        <v>0.5</v>
      </c>
      <c r="T236" s="126">
        <v>20</v>
      </c>
      <c r="U236" s="126">
        <v>180</v>
      </c>
      <c r="V236" s="126">
        <v>0</v>
      </c>
      <c r="W236" s="126">
        <v>0</v>
      </c>
      <c r="X236" s="126">
        <v>0</v>
      </c>
      <c r="Y236" s="126">
        <v>0</v>
      </c>
      <c r="Z236" s="142">
        <v>2</v>
      </c>
      <c r="AA236" s="126">
        <v>0.9</v>
      </c>
      <c r="AB236" s="126">
        <v>0.9</v>
      </c>
      <c r="AC236" s="126">
        <v>0</v>
      </c>
      <c r="AD236" s="126">
        <v>0</v>
      </c>
      <c r="AE236" s="126">
        <v>0</v>
      </c>
      <c r="AF236" s="126">
        <v>27.3</v>
      </c>
      <c r="AG236" t="s">
        <v>1889</v>
      </c>
    </row>
    <row r="237" spans="1:33" x14ac:dyDescent="0.3">
      <c r="A237">
        <v>305</v>
      </c>
      <c r="B237" t="s">
        <v>265</v>
      </c>
      <c r="C237" t="s">
        <v>199</v>
      </c>
      <c r="D237">
        <v>81923</v>
      </c>
      <c r="E237">
        <v>90115</v>
      </c>
      <c r="F237">
        <v>60</v>
      </c>
      <c r="G237">
        <v>2000</v>
      </c>
      <c r="H237">
        <v>0</v>
      </c>
      <c r="I237">
        <v>4.9000000000000004</v>
      </c>
      <c r="J237" s="28">
        <v>3.2</v>
      </c>
      <c r="K237" s="126">
        <v>0.12</v>
      </c>
      <c r="L237" s="126">
        <v>2.2999999999999998</v>
      </c>
      <c r="M237" s="126">
        <v>0.1</v>
      </c>
      <c r="N237" s="126">
        <v>0</v>
      </c>
      <c r="O237" s="126">
        <v>0.64</v>
      </c>
      <c r="P237" s="126">
        <v>0.88500000000000001</v>
      </c>
      <c r="Q237" s="126">
        <v>0.55000000000000004</v>
      </c>
      <c r="R237" s="126">
        <v>0</v>
      </c>
      <c r="S237" s="126">
        <v>0</v>
      </c>
      <c r="T237" s="126">
        <v>0</v>
      </c>
      <c r="U237" s="126">
        <v>100</v>
      </c>
      <c r="V237" s="126">
        <v>0</v>
      </c>
      <c r="W237" s="126">
        <v>0</v>
      </c>
      <c r="X237" s="126">
        <v>0</v>
      </c>
      <c r="Y237" s="126">
        <v>0</v>
      </c>
      <c r="Z237" s="142">
        <v>2</v>
      </c>
      <c r="AA237" s="126">
        <v>0.95</v>
      </c>
      <c r="AB237" s="126">
        <v>0.8</v>
      </c>
      <c r="AC237" s="126">
        <v>0</v>
      </c>
      <c r="AD237" s="126">
        <v>0</v>
      </c>
      <c r="AE237" s="126">
        <v>6.47</v>
      </c>
      <c r="AF237" s="126">
        <v>0.15</v>
      </c>
      <c r="AG237" t="s">
        <v>1888</v>
      </c>
    </row>
    <row r="238" spans="1:33" x14ac:dyDescent="0.3">
      <c r="A238">
        <v>306</v>
      </c>
      <c r="B238" t="s">
        <v>266</v>
      </c>
      <c r="C238" t="s">
        <v>199</v>
      </c>
      <c r="D238">
        <v>5717</v>
      </c>
      <c r="E238">
        <v>6288</v>
      </c>
      <c r="F238">
        <v>40</v>
      </c>
      <c r="G238">
        <v>1200</v>
      </c>
      <c r="H238">
        <v>0</v>
      </c>
      <c r="I238">
        <v>4.9000000000000004</v>
      </c>
      <c r="J238" s="28">
        <v>4.0199999999999996</v>
      </c>
      <c r="K238" s="126">
        <v>0.06</v>
      </c>
      <c r="L238" s="126">
        <v>2</v>
      </c>
      <c r="M238" s="126">
        <v>0.1</v>
      </c>
      <c r="N238" s="126">
        <v>0</v>
      </c>
      <c r="O238" s="126">
        <v>0.6</v>
      </c>
      <c r="P238" s="126">
        <v>0.88500000000000001</v>
      </c>
      <c r="Q238" s="126">
        <v>0.8</v>
      </c>
      <c r="R238" s="126">
        <v>0</v>
      </c>
      <c r="S238" s="126">
        <v>0</v>
      </c>
      <c r="T238" s="126">
        <v>0</v>
      </c>
      <c r="U238" s="126">
        <v>180</v>
      </c>
      <c r="V238" s="126">
        <v>0</v>
      </c>
      <c r="W238" s="126">
        <v>0</v>
      </c>
      <c r="X238" s="126">
        <v>0</v>
      </c>
      <c r="Y238" s="126">
        <v>0</v>
      </c>
      <c r="Z238" s="142">
        <v>0</v>
      </c>
      <c r="AA238" s="126">
        <v>0</v>
      </c>
      <c r="AB238" s="126">
        <v>0</v>
      </c>
      <c r="AC238" s="126">
        <v>0</v>
      </c>
      <c r="AD238" s="126">
        <v>0</v>
      </c>
      <c r="AE238" s="126">
        <v>0</v>
      </c>
      <c r="AF238" s="126">
        <v>0</v>
      </c>
      <c r="AG238" t="s">
        <v>1890</v>
      </c>
    </row>
    <row r="239" spans="1:33" x14ac:dyDescent="0.3">
      <c r="A239">
        <v>307</v>
      </c>
      <c r="B239" t="s">
        <v>267</v>
      </c>
      <c r="C239" t="s">
        <v>199</v>
      </c>
      <c r="D239">
        <v>16320</v>
      </c>
      <c r="E239">
        <v>17952</v>
      </c>
      <c r="F239">
        <v>70</v>
      </c>
      <c r="G239">
        <v>1200</v>
      </c>
      <c r="H239">
        <v>0</v>
      </c>
      <c r="I239">
        <v>4.9000000000000004</v>
      </c>
      <c r="J239" s="28">
        <v>4.0199999999999996</v>
      </c>
      <c r="K239" s="126">
        <v>0.06</v>
      </c>
      <c r="L239" s="126">
        <v>2</v>
      </c>
      <c r="M239" s="126">
        <v>0.1</v>
      </c>
      <c r="N239" s="126">
        <v>0</v>
      </c>
      <c r="O239" s="126">
        <v>0.6</v>
      </c>
      <c r="P239" s="126">
        <v>0.88500000000000001</v>
      </c>
      <c r="Q239" s="126">
        <v>0.8</v>
      </c>
      <c r="R239" s="126">
        <v>0</v>
      </c>
      <c r="S239" s="126">
        <v>0</v>
      </c>
      <c r="T239" s="126">
        <v>0</v>
      </c>
      <c r="U239" s="126">
        <v>180</v>
      </c>
      <c r="V239" s="126">
        <v>0</v>
      </c>
      <c r="W239" s="126">
        <v>0</v>
      </c>
      <c r="X239" s="126">
        <v>0</v>
      </c>
      <c r="Y239" s="126">
        <v>0</v>
      </c>
      <c r="Z239" s="142">
        <v>0</v>
      </c>
      <c r="AA239" s="126">
        <v>0</v>
      </c>
      <c r="AB239" s="126">
        <v>0</v>
      </c>
      <c r="AC239" s="126">
        <v>0</v>
      </c>
      <c r="AD239" s="126">
        <v>0</v>
      </c>
      <c r="AE239" s="126">
        <v>0</v>
      </c>
      <c r="AF239" s="126">
        <v>27.3</v>
      </c>
      <c r="AG239" t="s">
        <v>1891</v>
      </c>
    </row>
    <row r="240" spans="1:33" x14ac:dyDescent="0.3">
      <c r="A240">
        <v>308</v>
      </c>
      <c r="B240" t="s">
        <v>268</v>
      </c>
      <c r="C240" t="s">
        <v>199</v>
      </c>
      <c r="D240">
        <v>7329</v>
      </c>
      <c r="E240">
        <v>8062</v>
      </c>
      <c r="F240">
        <v>50</v>
      </c>
      <c r="G240">
        <v>1200</v>
      </c>
      <c r="H240">
        <v>0</v>
      </c>
      <c r="I240">
        <v>4.9000000000000004</v>
      </c>
      <c r="J240" s="28">
        <v>1.61</v>
      </c>
      <c r="K240" s="126">
        <v>0.46</v>
      </c>
      <c r="L240" s="126">
        <v>1.7</v>
      </c>
      <c r="M240" s="126">
        <v>0.1</v>
      </c>
      <c r="N240" s="126">
        <v>0</v>
      </c>
      <c r="O240" s="126">
        <v>0.6</v>
      </c>
      <c r="P240" s="126">
        <v>0.88500000000000001</v>
      </c>
      <c r="Q240" s="126">
        <v>0.8</v>
      </c>
      <c r="R240" s="126">
        <v>0</v>
      </c>
      <c r="S240" s="126">
        <v>0</v>
      </c>
      <c r="T240" s="126">
        <v>0</v>
      </c>
      <c r="U240" s="126">
        <v>180</v>
      </c>
      <c r="V240" s="126">
        <v>0</v>
      </c>
      <c r="W240" s="126">
        <v>0</v>
      </c>
      <c r="X240" s="126">
        <v>0</v>
      </c>
      <c r="Y240" s="126">
        <v>0</v>
      </c>
      <c r="Z240" s="142">
        <v>0</v>
      </c>
      <c r="AA240" s="126">
        <v>0</v>
      </c>
      <c r="AB240" s="126">
        <v>0</v>
      </c>
      <c r="AC240" s="126">
        <v>0</v>
      </c>
      <c r="AD240" s="126">
        <v>0</v>
      </c>
      <c r="AE240" s="126">
        <v>0</v>
      </c>
      <c r="AF240" s="126">
        <v>0.15</v>
      </c>
      <c r="AG240" t="s">
        <v>1892</v>
      </c>
    </row>
    <row r="241" spans="1:33" x14ac:dyDescent="0.3">
      <c r="A241">
        <v>309</v>
      </c>
      <c r="B241" t="s">
        <v>269</v>
      </c>
      <c r="C241" t="s">
        <v>199</v>
      </c>
      <c r="D241">
        <v>63208</v>
      </c>
      <c r="E241">
        <v>69528</v>
      </c>
      <c r="F241">
        <v>100</v>
      </c>
      <c r="G241">
        <v>2000</v>
      </c>
      <c r="H241">
        <v>0</v>
      </c>
      <c r="I241">
        <v>4.9000000000000004</v>
      </c>
      <c r="J241" s="28">
        <v>16.09</v>
      </c>
      <c r="K241" s="126">
        <v>0.19</v>
      </c>
      <c r="L241" s="126">
        <v>1.3</v>
      </c>
      <c r="M241" s="126">
        <v>0.1</v>
      </c>
      <c r="N241" s="126">
        <v>0</v>
      </c>
      <c r="O241" s="126">
        <v>0.6</v>
      </c>
      <c r="P241" s="126">
        <v>0.88500000000000001</v>
      </c>
      <c r="Q241" s="126">
        <v>0.82499999999999996</v>
      </c>
      <c r="R241" s="126">
        <v>0</v>
      </c>
      <c r="S241" s="126">
        <v>0</v>
      </c>
      <c r="T241" s="126">
        <v>0</v>
      </c>
      <c r="U241" s="126">
        <v>0</v>
      </c>
      <c r="V241" s="126">
        <v>0</v>
      </c>
      <c r="W241" s="126">
        <v>0</v>
      </c>
      <c r="X241" s="126">
        <v>0</v>
      </c>
      <c r="Y241" s="126">
        <v>0</v>
      </c>
      <c r="Z241" s="142">
        <v>12</v>
      </c>
      <c r="AA241" s="126">
        <v>0</v>
      </c>
      <c r="AB241" s="126">
        <v>0</v>
      </c>
      <c r="AC241" s="126">
        <v>0</v>
      </c>
      <c r="AD241" s="126">
        <v>0</v>
      </c>
      <c r="AE241" s="126">
        <v>0</v>
      </c>
      <c r="AF241" s="126">
        <v>0.15</v>
      </c>
      <c r="AG241" t="s">
        <v>1893</v>
      </c>
    </row>
    <row r="242" spans="1:33" x14ac:dyDescent="0.3">
      <c r="A242">
        <v>310</v>
      </c>
      <c r="B242" t="s">
        <v>270</v>
      </c>
      <c r="C242" t="s">
        <v>199</v>
      </c>
      <c r="D242">
        <v>28970</v>
      </c>
      <c r="E242">
        <v>31867</v>
      </c>
      <c r="F242">
        <v>100</v>
      </c>
      <c r="G242">
        <v>2500</v>
      </c>
      <c r="H242">
        <v>0</v>
      </c>
      <c r="I242">
        <v>1.5</v>
      </c>
      <c r="J242" s="28">
        <v>4.51</v>
      </c>
      <c r="K242" s="126">
        <v>0.15</v>
      </c>
      <c r="L242" s="126">
        <v>1.6</v>
      </c>
      <c r="M242" s="126">
        <v>0.1</v>
      </c>
      <c r="N242" s="126">
        <v>0</v>
      </c>
      <c r="O242" s="126">
        <v>0.56000000000000005</v>
      </c>
      <c r="P242" s="126">
        <v>0.88500000000000001</v>
      </c>
      <c r="Q242" s="126">
        <v>0.6</v>
      </c>
      <c r="R242" s="126">
        <v>0</v>
      </c>
      <c r="S242" s="126">
        <v>0</v>
      </c>
      <c r="T242" s="126">
        <v>0</v>
      </c>
      <c r="U242" s="126">
        <v>-50</v>
      </c>
      <c r="V242" s="126">
        <v>0</v>
      </c>
      <c r="W242" s="126">
        <v>0</v>
      </c>
      <c r="X242" s="126">
        <v>0</v>
      </c>
      <c r="Y242" s="126">
        <v>0</v>
      </c>
      <c r="Z242" s="142">
        <v>2</v>
      </c>
      <c r="AA242" s="126">
        <v>0.95</v>
      </c>
      <c r="AB242" s="126">
        <v>0.9</v>
      </c>
      <c r="AC242" s="126">
        <v>0</v>
      </c>
      <c r="AD242" s="126">
        <v>0</v>
      </c>
      <c r="AE242" s="126">
        <v>0</v>
      </c>
      <c r="AF242" s="126">
        <v>0.15</v>
      </c>
      <c r="AG242" t="s">
        <v>2468</v>
      </c>
    </row>
    <row r="243" spans="1:33" x14ac:dyDescent="0.3">
      <c r="A243">
        <v>311</v>
      </c>
      <c r="B243" t="s">
        <v>3083</v>
      </c>
      <c r="C243" t="s">
        <v>199</v>
      </c>
      <c r="D243">
        <v>31400</v>
      </c>
      <c r="E243">
        <v>34540</v>
      </c>
      <c r="F243">
        <v>100</v>
      </c>
      <c r="G243">
        <v>3000</v>
      </c>
      <c r="H243">
        <v>0</v>
      </c>
      <c r="I243">
        <v>3.7</v>
      </c>
      <c r="J243" s="28">
        <v>16.09</v>
      </c>
      <c r="K243" s="126">
        <v>0.19</v>
      </c>
      <c r="L243" s="126">
        <v>1.3</v>
      </c>
      <c r="M243" s="126">
        <v>0.1</v>
      </c>
      <c r="N243" s="126">
        <v>0</v>
      </c>
      <c r="O243" s="126">
        <v>0.6</v>
      </c>
      <c r="P243" s="126">
        <v>0.88500000000000001</v>
      </c>
      <c r="Q243" s="126">
        <v>0.82499999999999996</v>
      </c>
      <c r="R243" s="126">
        <v>0</v>
      </c>
      <c r="S243" s="126">
        <v>0</v>
      </c>
      <c r="T243" s="126">
        <v>0</v>
      </c>
      <c r="U243" s="126">
        <v>0</v>
      </c>
      <c r="V243" s="126">
        <v>0</v>
      </c>
      <c r="W243" s="126">
        <v>0</v>
      </c>
      <c r="X243" s="126">
        <v>0</v>
      </c>
      <c r="Y243" s="126">
        <v>0</v>
      </c>
      <c r="Z243" s="142">
        <v>12</v>
      </c>
      <c r="AA243" s="126">
        <v>0</v>
      </c>
      <c r="AB243" s="126">
        <v>0</v>
      </c>
      <c r="AC243" s="126">
        <v>0</v>
      </c>
      <c r="AD243" s="126">
        <v>0</v>
      </c>
      <c r="AE243" s="126">
        <v>0</v>
      </c>
      <c r="AF243" s="126">
        <v>0.15</v>
      </c>
      <c r="AG243" t="s">
        <v>3084</v>
      </c>
    </row>
    <row r="244" spans="1:33" x14ac:dyDescent="0.3">
      <c r="A244">
        <v>312</v>
      </c>
      <c r="B244" t="s">
        <v>3085</v>
      </c>
      <c r="C244" t="s">
        <v>187</v>
      </c>
      <c r="D244">
        <v>4160</v>
      </c>
      <c r="E244">
        <v>4575</v>
      </c>
      <c r="F244">
        <v>100</v>
      </c>
      <c r="G244">
        <v>6000</v>
      </c>
      <c r="H244">
        <v>149</v>
      </c>
      <c r="I244">
        <v>3.7</v>
      </c>
      <c r="J244" s="28">
        <v>5.63</v>
      </c>
      <c r="K244" s="126">
        <v>0.19</v>
      </c>
      <c r="L244" s="126">
        <v>1.3</v>
      </c>
      <c r="M244" s="126">
        <v>0.1</v>
      </c>
      <c r="N244" s="126">
        <v>0.30499999999999999</v>
      </c>
      <c r="O244" s="126">
        <v>0.6</v>
      </c>
      <c r="P244" s="126">
        <v>0.88500000000000001</v>
      </c>
      <c r="Q244" s="126">
        <v>0.8</v>
      </c>
      <c r="R244" s="126">
        <v>0</v>
      </c>
      <c r="S244" s="126">
        <v>0</v>
      </c>
      <c r="T244" s="126">
        <v>0</v>
      </c>
      <c r="U244" s="126">
        <v>0</v>
      </c>
      <c r="V244" s="126">
        <v>0</v>
      </c>
      <c r="W244" s="126">
        <v>0</v>
      </c>
      <c r="X244" s="126">
        <v>0</v>
      </c>
      <c r="Y244" s="126">
        <v>0</v>
      </c>
      <c r="Z244" s="142">
        <v>12</v>
      </c>
      <c r="AA244" s="126">
        <v>0</v>
      </c>
      <c r="AB244" s="126">
        <v>0</v>
      </c>
      <c r="AC244" s="126">
        <v>0</v>
      </c>
      <c r="AD244" s="126">
        <v>0</v>
      </c>
      <c r="AE244" s="126">
        <v>0</v>
      </c>
      <c r="AF244" s="126">
        <v>0.15</v>
      </c>
      <c r="AG244" t="s">
        <v>3086</v>
      </c>
    </row>
    <row r="245" spans="1:33" x14ac:dyDescent="0.3">
      <c r="A245">
        <v>313</v>
      </c>
      <c r="B245" t="s">
        <v>271</v>
      </c>
      <c r="C245" t="s">
        <v>199</v>
      </c>
      <c r="D245">
        <v>13198</v>
      </c>
      <c r="E245">
        <v>14518</v>
      </c>
      <c r="F245">
        <v>100</v>
      </c>
      <c r="G245">
        <v>2500</v>
      </c>
      <c r="H245">
        <v>0</v>
      </c>
      <c r="I245">
        <v>3.7</v>
      </c>
      <c r="J245" s="28">
        <v>6.4</v>
      </c>
      <c r="K245" s="126">
        <v>0.23</v>
      </c>
      <c r="L245" s="126">
        <v>1.8</v>
      </c>
      <c r="M245" s="126">
        <v>0.1</v>
      </c>
      <c r="N245" s="126">
        <v>0</v>
      </c>
      <c r="O245" s="126">
        <v>0.6</v>
      </c>
      <c r="P245" s="126">
        <v>0.88500000000000001</v>
      </c>
      <c r="Q245" s="126">
        <v>0.8</v>
      </c>
      <c r="R245" s="126">
        <v>0</v>
      </c>
      <c r="S245" s="126">
        <v>0</v>
      </c>
      <c r="T245" s="126">
        <v>0</v>
      </c>
      <c r="U245" s="126">
        <v>-25</v>
      </c>
      <c r="V245" s="126">
        <v>0</v>
      </c>
      <c r="W245" s="126">
        <v>0</v>
      </c>
      <c r="X245" s="126">
        <v>0</v>
      </c>
      <c r="Y245" s="126">
        <v>0</v>
      </c>
      <c r="Z245" s="142">
        <v>2</v>
      </c>
      <c r="AA245" s="126">
        <v>0.95</v>
      </c>
      <c r="AB245" s="126">
        <v>0.9</v>
      </c>
      <c r="AC245" s="126">
        <v>0</v>
      </c>
      <c r="AD245" s="126">
        <v>0</v>
      </c>
      <c r="AE245" s="126">
        <v>6.47</v>
      </c>
      <c r="AF245" s="126">
        <v>0.15</v>
      </c>
      <c r="AG245" t="s">
        <v>2469</v>
      </c>
    </row>
    <row r="246" spans="1:33" x14ac:dyDescent="0.3">
      <c r="A246">
        <v>314</v>
      </c>
      <c r="B246" t="s">
        <v>272</v>
      </c>
      <c r="C246" t="s">
        <v>199</v>
      </c>
      <c r="D246">
        <v>16300</v>
      </c>
      <c r="E246">
        <v>17930</v>
      </c>
      <c r="F246">
        <v>100</v>
      </c>
      <c r="G246">
        <v>2000</v>
      </c>
      <c r="H246">
        <v>0</v>
      </c>
      <c r="I246">
        <v>3.7</v>
      </c>
      <c r="J246" s="28">
        <v>16.100000000000001</v>
      </c>
      <c r="K246" s="126">
        <v>0.1</v>
      </c>
      <c r="L246" s="126">
        <v>1.8</v>
      </c>
      <c r="M246" s="126">
        <v>0.1</v>
      </c>
      <c r="N246" s="126">
        <v>0</v>
      </c>
      <c r="O246" s="126">
        <v>0.56000000000000005</v>
      </c>
      <c r="P246" s="126">
        <v>0.88500000000000001</v>
      </c>
      <c r="Q246" s="126">
        <v>0.82499999999999996</v>
      </c>
      <c r="R246" s="126">
        <v>0</v>
      </c>
      <c r="S246" s="126">
        <v>0</v>
      </c>
      <c r="T246" s="126">
        <v>0</v>
      </c>
      <c r="U246" s="126">
        <v>-25</v>
      </c>
      <c r="V246" s="126">
        <v>0</v>
      </c>
      <c r="W246" s="126">
        <v>0</v>
      </c>
      <c r="X246" s="126">
        <v>0</v>
      </c>
      <c r="Y246" s="126">
        <v>0</v>
      </c>
      <c r="Z246" s="142">
        <v>2</v>
      </c>
      <c r="AA246" s="126">
        <v>0.95</v>
      </c>
      <c r="AB246" s="126">
        <v>0.9</v>
      </c>
      <c r="AC246" s="126">
        <v>0</v>
      </c>
      <c r="AD246" s="126">
        <v>0</v>
      </c>
      <c r="AE246" s="126">
        <v>6.47</v>
      </c>
      <c r="AF246" s="126">
        <v>0.15</v>
      </c>
      <c r="AG246" t="s">
        <v>1850</v>
      </c>
    </row>
    <row r="247" spans="1:33" x14ac:dyDescent="0.3">
      <c r="A247">
        <v>315</v>
      </c>
      <c r="B247" t="s">
        <v>273</v>
      </c>
      <c r="C247" t="s">
        <v>199</v>
      </c>
      <c r="D247">
        <v>17600</v>
      </c>
      <c r="E247">
        <v>19360</v>
      </c>
      <c r="F247">
        <v>100</v>
      </c>
      <c r="G247">
        <v>2000</v>
      </c>
      <c r="H247">
        <v>0</v>
      </c>
      <c r="I247">
        <v>3.7</v>
      </c>
      <c r="J247" s="28">
        <v>16.100000000000001</v>
      </c>
      <c r="K247" s="126">
        <v>0.23</v>
      </c>
      <c r="L247" s="126">
        <v>1.8</v>
      </c>
      <c r="M247" s="126">
        <v>0.1</v>
      </c>
      <c r="N247" s="126">
        <v>0</v>
      </c>
      <c r="O247" s="126">
        <v>0.56000000000000005</v>
      </c>
      <c r="P247" s="126">
        <v>0.88500000000000001</v>
      </c>
      <c r="Q247" s="126">
        <v>0.82499999999999996</v>
      </c>
      <c r="R247" s="126">
        <v>0</v>
      </c>
      <c r="S247" s="126">
        <v>0</v>
      </c>
      <c r="T247" s="126">
        <v>0</v>
      </c>
      <c r="U247" s="126">
        <v>-25</v>
      </c>
      <c r="V247" s="126">
        <v>0</v>
      </c>
      <c r="W247" s="126">
        <v>0</v>
      </c>
      <c r="X247" s="126">
        <v>0</v>
      </c>
      <c r="Y247" s="126">
        <v>0</v>
      </c>
      <c r="Z247" s="142">
        <v>2</v>
      </c>
      <c r="AA247" s="126">
        <v>0.95</v>
      </c>
      <c r="AB247" s="126">
        <v>0.9</v>
      </c>
      <c r="AC247" s="126">
        <v>0</v>
      </c>
      <c r="AD247" s="126">
        <v>0</v>
      </c>
      <c r="AE247" s="126">
        <v>6.47</v>
      </c>
      <c r="AF247" s="126">
        <v>0.15</v>
      </c>
      <c r="AG247" t="s">
        <v>1851</v>
      </c>
    </row>
    <row r="248" spans="1:33" x14ac:dyDescent="0.3">
      <c r="A248">
        <v>316</v>
      </c>
      <c r="B248" t="s">
        <v>274</v>
      </c>
      <c r="C248" t="s">
        <v>187</v>
      </c>
      <c r="D248">
        <v>16300</v>
      </c>
      <c r="E248">
        <v>17930</v>
      </c>
      <c r="F248">
        <v>100</v>
      </c>
      <c r="G248">
        <v>6000</v>
      </c>
      <c r="H248">
        <v>149</v>
      </c>
      <c r="I248">
        <v>3.7</v>
      </c>
      <c r="J248" s="28">
        <v>4.8</v>
      </c>
      <c r="K248" s="126">
        <v>0.1</v>
      </c>
      <c r="L248" s="126">
        <v>1.8</v>
      </c>
      <c r="M248" s="126">
        <v>0.1</v>
      </c>
      <c r="N248" s="126">
        <v>0</v>
      </c>
      <c r="O248" s="126">
        <v>0.6</v>
      </c>
      <c r="P248" s="126">
        <v>0.88500000000000001</v>
      </c>
      <c r="Q248" s="126">
        <v>0.8</v>
      </c>
      <c r="R248" s="126">
        <v>0</v>
      </c>
      <c r="S248" s="126">
        <v>0</v>
      </c>
      <c r="T248" s="126">
        <v>0</v>
      </c>
      <c r="U248" s="126">
        <v>-25</v>
      </c>
      <c r="V248" s="126">
        <v>0</v>
      </c>
      <c r="W248" s="126">
        <v>0</v>
      </c>
      <c r="X248" s="126">
        <v>0</v>
      </c>
      <c r="Y248" s="126">
        <v>0</v>
      </c>
      <c r="Z248" s="142">
        <v>2</v>
      </c>
      <c r="AA248" s="126">
        <v>0.95</v>
      </c>
      <c r="AB248" s="126">
        <v>0.9</v>
      </c>
      <c r="AC248" s="126">
        <v>0</v>
      </c>
      <c r="AD248" s="126">
        <v>0</v>
      </c>
      <c r="AE248" s="126">
        <v>6.47</v>
      </c>
      <c r="AF248" s="126">
        <v>0.15</v>
      </c>
      <c r="AG248" t="s">
        <v>2470</v>
      </c>
    </row>
    <row r="249" spans="1:33" x14ac:dyDescent="0.3">
      <c r="A249">
        <v>317</v>
      </c>
      <c r="B249" t="s">
        <v>275</v>
      </c>
      <c r="C249" t="s">
        <v>199</v>
      </c>
      <c r="D249">
        <v>13810</v>
      </c>
      <c r="E249">
        <v>15191</v>
      </c>
      <c r="F249">
        <v>100</v>
      </c>
      <c r="G249">
        <v>2500</v>
      </c>
      <c r="H249">
        <v>0</v>
      </c>
      <c r="I249">
        <v>2.7</v>
      </c>
      <c r="J249" s="28">
        <v>9.65</v>
      </c>
      <c r="K249" s="126">
        <v>0.18</v>
      </c>
      <c r="L249" s="126">
        <v>1.6</v>
      </c>
      <c r="M249" s="126">
        <v>0.1</v>
      </c>
      <c r="N249" s="126">
        <v>0</v>
      </c>
      <c r="O249" s="126">
        <v>0.6</v>
      </c>
      <c r="P249" s="126">
        <v>0.88500000000000001</v>
      </c>
      <c r="Q249" s="126">
        <v>0.8</v>
      </c>
      <c r="R249" s="126">
        <v>0</v>
      </c>
      <c r="S249" s="126">
        <v>0</v>
      </c>
      <c r="T249" s="126">
        <v>0</v>
      </c>
      <c r="U249" s="126">
        <v>-50</v>
      </c>
      <c r="V249" s="126">
        <v>0</v>
      </c>
      <c r="W249" s="126">
        <v>0</v>
      </c>
      <c r="X249" s="126">
        <v>0</v>
      </c>
      <c r="Y249" s="126">
        <v>0</v>
      </c>
      <c r="Z249" s="142">
        <v>0</v>
      </c>
      <c r="AA249" s="126">
        <v>0</v>
      </c>
      <c r="AB249" s="126">
        <v>0</v>
      </c>
      <c r="AC249" s="126">
        <v>0</v>
      </c>
      <c r="AD249" s="126">
        <v>0</v>
      </c>
      <c r="AE249" s="126">
        <v>0</v>
      </c>
      <c r="AF249" s="126">
        <v>0.15</v>
      </c>
      <c r="AG249" t="s">
        <v>2471</v>
      </c>
    </row>
    <row r="250" spans="1:33" x14ac:dyDescent="0.3">
      <c r="A250">
        <v>318</v>
      </c>
      <c r="B250" t="s">
        <v>276</v>
      </c>
      <c r="C250" t="s">
        <v>187</v>
      </c>
      <c r="D250">
        <v>21500</v>
      </c>
      <c r="E250">
        <v>23650</v>
      </c>
      <c r="F250">
        <v>100</v>
      </c>
      <c r="G250">
        <v>6000</v>
      </c>
      <c r="H250">
        <v>75</v>
      </c>
      <c r="I250">
        <v>2.7</v>
      </c>
      <c r="J250" s="28">
        <v>7.24</v>
      </c>
      <c r="K250" s="126">
        <v>0.18</v>
      </c>
      <c r="L250" s="126">
        <v>1.6</v>
      </c>
      <c r="M250" s="126">
        <v>0.1</v>
      </c>
      <c r="N250" s="126">
        <v>0.30499999999999999</v>
      </c>
      <c r="O250" s="126">
        <v>0.6</v>
      </c>
      <c r="P250" s="126">
        <v>0.88500000000000001</v>
      </c>
      <c r="Q250" s="126">
        <v>0.8</v>
      </c>
      <c r="R250" s="126">
        <v>0</v>
      </c>
      <c r="S250" s="126">
        <v>0</v>
      </c>
      <c r="T250" s="126">
        <v>0</v>
      </c>
      <c r="U250" s="126">
        <v>-50</v>
      </c>
      <c r="V250" s="126">
        <v>0</v>
      </c>
      <c r="W250" s="126">
        <v>0</v>
      </c>
      <c r="X250" s="126">
        <v>0</v>
      </c>
      <c r="Y250" s="126">
        <v>0</v>
      </c>
      <c r="Z250" s="142">
        <v>0</v>
      </c>
      <c r="AA250" s="126">
        <v>0</v>
      </c>
      <c r="AB250" s="126">
        <v>0</v>
      </c>
      <c r="AC250" s="126">
        <v>0</v>
      </c>
      <c r="AD250" s="126">
        <v>0</v>
      </c>
      <c r="AE250" s="126">
        <v>0</v>
      </c>
      <c r="AF250" s="126">
        <v>0.15</v>
      </c>
      <c r="AG250" t="s">
        <v>2472</v>
      </c>
    </row>
    <row r="251" spans="1:33" x14ac:dyDescent="0.3">
      <c r="A251">
        <v>319</v>
      </c>
      <c r="B251" t="s">
        <v>277</v>
      </c>
      <c r="C251" t="s">
        <v>199</v>
      </c>
      <c r="D251">
        <v>13700</v>
      </c>
      <c r="E251">
        <v>15070</v>
      </c>
      <c r="F251">
        <v>100</v>
      </c>
      <c r="G251">
        <v>2500</v>
      </c>
      <c r="H251">
        <v>0</v>
      </c>
      <c r="I251">
        <v>2.1</v>
      </c>
      <c r="J251" s="28">
        <v>7.24</v>
      </c>
      <c r="K251" s="126">
        <v>0.16</v>
      </c>
      <c r="L251" s="126">
        <v>2</v>
      </c>
      <c r="M251" s="126">
        <v>0.1</v>
      </c>
      <c r="N251" s="126">
        <v>0</v>
      </c>
      <c r="O251" s="126">
        <v>0.6</v>
      </c>
      <c r="P251" s="126">
        <v>0.88500000000000001</v>
      </c>
      <c r="Q251" s="126">
        <v>0.8</v>
      </c>
      <c r="R251" s="126">
        <v>0</v>
      </c>
      <c r="S251" s="126">
        <v>0</v>
      </c>
      <c r="T251" s="126">
        <v>0</v>
      </c>
      <c r="U251" s="126">
        <v>-50</v>
      </c>
      <c r="V251" s="126">
        <v>0</v>
      </c>
      <c r="W251" s="126">
        <v>0</v>
      </c>
      <c r="X251" s="126">
        <v>0</v>
      </c>
      <c r="Y251" s="126">
        <v>0</v>
      </c>
      <c r="Z251" s="142">
        <v>0</v>
      </c>
      <c r="AA251" s="126">
        <v>0</v>
      </c>
      <c r="AB251" s="126">
        <v>0</v>
      </c>
      <c r="AC251" s="126">
        <v>0</v>
      </c>
      <c r="AD251" s="126">
        <v>0</v>
      </c>
      <c r="AE251" s="126">
        <v>0</v>
      </c>
      <c r="AF251" s="126">
        <v>0.15</v>
      </c>
      <c r="AG251" t="s">
        <v>1852</v>
      </c>
    </row>
    <row r="252" spans="1:33" x14ac:dyDescent="0.3">
      <c r="A252">
        <v>320</v>
      </c>
      <c r="B252" t="s">
        <v>3087</v>
      </c>
      <c r="C252" t="s">
        <v>199</v>
      </c>
      <c r="D252">
        <v>3259</v>
      </c>
      <c r="E252">
        <v>3585</v>
      </c>
      <c r="F252">
        <v>100</v>
      </c>
      <c r="G252">
        <v>2000</v>
      </c>
      <c r="H252">
        <v>0</v>
      </c>
      <c r="I252">
        <v>2.1</v>
      </c>
      <c r="J252" s="28">
        <v>7.24</v>
      </c>
      <c r="K252" s="126">
        <v>0.44</v>
      </c>
      <c r="L252" s="126">
        <v>2</v>
      </c>
      <c r="M252" s="126">
        <v>0.1</v>
      </c>
      <c r="N252" s="126">
        <v>0</v>
      </c>
      <c r="O252" s="126">
        <v>0.6</v>
      </c>
      <c r="P252" s="126">
        <v>0.88500000000000001</v>
      </c>
      <c r="Q252" s="126">
        <v>0.7</v>
      </c>
      <c r="R252" s="126">
        <v>0</v>
      </c>
      <c r="S252" s="126">
        <v>0</v>
      </c>
      <c r="T252" s="126">
        <v>0</v>
      </c>
      <c r="U252" s="126">
        <v>-50</v>
      </c>
      <c r="V252" s="126">
        <v>0</v>
      </c>
      <c r="W252" s="126">
        <v>0</v>
      </c>
      <c r="X252" s="126">
        <v>0</v>
      </c>
      <c r="Y252" s="126">
        <v>0</v>
      </c>
      <c r="Z252" s="142">
        <v>0</v>
      </c>
      <c r="AA252" s="126">
        <v>0</v>
      </c>
      <c r="AB252" s="126">
        <v>0</v>
      </c>
      <c r="AC252" s="126">
        <v>0</v>
      </c>
      <c r="AD252" s="126">
        <v>0</v>
      </c>
      <c r="AE252" s="126">
        <v>0</v>
      </c>
      <c r="AF252" s="126">
        <v>0.15</v>
      </c>
      <c r="AG252" t="s">
        <v>3088</v>
      </c>
    </row>
    <row r="253" spans="1:33" x14ac:dyDescent="0.3">
      <c r="A253">
        <v>321</v>
      </c>
      <c r="B253" t="s">
        <v>279</v>
      </c>
      <c r="C253" t="s">
        <v>199</v>
      </c>
      <c r="D253">
        <v>3306</v>
      </c>
      <c r="E253">
        <v>3636</v>
      </c>
      <c r="F253">
        <v>100</v>
      </c>
      <c r="G253">
        <v>2000</v>
      </c>
      <c r="H253">
        <v>0</v>
      </c>
      <c r="I253">
        <v>2.1</v>
      </c>
      <c r="J253" s="28">
        <v>8.0500000000000007</v>
      </c>
      <c r="K253" s="126">
        <v>0.46</v>
      </c>
      <c r="L253" s="126">
        <v>1.7</v>
      </c>
      <c r="M253" s="126">
        <v>0.1</v>
      </c>
      <c r="N253" s="126">
        <v>0</v>
      </c>
      <c r="O253" s="126">
        <v>0.6</v>
      </c>
      <c r="P253" s="126">
        <v>0.88500000000000001</v>
      </c>
      <c r="Q253" s="126">
        <v>0.8</v>
      </c>
      <c r="R253" s="126">
        <v>0</v>
      </c>
      <c r="S253" s="126">
        <v>0</v>
      </c>
      <c r="T253" s="126">
        <v>0</v>
      </c>
      <c r="U253" s="126">
        <v>-50</v>
      </c>
      <c r="V253" s="126">
        <v>0</v>
      </c>
      <c r="W253" s="126">
        <v>0</v>
      </c>
      <c r="X253" s="126">
        <v>0</v>
      </c>
      <c r="Y253" s="126">
        <v>0</v>
      </c>
      <c r="Z253" s="142">
        <v>0</v>
      </c>
      <c r="AA253" s="126">
        <v>0</v>
      </c>
      <c r="AB253" s="126">
        <v>0</v>
      </c>
      <c r="AC253" s="126">
        <v>0</v>
      </c>
      <c r="AD253" s="126">
        <v>0</v>
      </c>
      <c r="AE253" s="126">
        <v>0</v>
      </c>
      <c r="AF253" s="126">
        <v>0.15</v>
      </c>
      <c r="AG253" t="s">
        <v>2473</v>
      </c>
    </row>
    <row r="254" spans="1:33" x14ac:dyDescent="0.3">
      <c r="A254">
        <v>322</v>
      </c>
      <c r="B254" t="s">
        <v>3089</v>
      </c>
      <c r="C254" t="s">
        <v>199</v>
      </c>
      <c r="D254">
        <v>14200</v>
      </c>
      <c r="E254">
        <v>15620</v>
      </c>
      <c r="F254">
        <v>100</v>
      </c>
      <c r="G254">
        <v>2500</v>
      </c>
      <c r="H254">
        <v>0</v>
      </c>
      <c r="I254">
        <v>3</v>
      </c>
      <c r="J254" s="28">
        <v>7.24</v>
      </c>
      <c r="K254" s="126">
        <v>0.17</v>
      </c>
      <c r="L254" s="126">
        <v>1.4</v>
      </c>
      <c r="M254" s="126">
        <v>0.1</v>
      </c>
      <c r="N254" s="126">
        <v>0</v>
      </c>
      <c r="O254" s="126">
        <v>0.6</v>
      </c>
      <c r="P254" s="126">
        <v>0.88500000000000001</v>
      </c>
      <c r="Q254" s="126">
        <v>0.8</v>
      </c>
      <c r="R254" s="126">
        <v>0</v>
      </c>
      <c r="S254" s="126">
        <v>0</v>
      </c>
      <c r="T254" s="126">
        <v>0</v>
      </c>
      <c r="U254" s="126">
        <v>-50</v>
      </c>
      <c r="V254" s="126">
        <v>0</v>
      </c>
      <c r="W254" s="126">
        <v>0</v>
      </c>
      <c r="X254" s="126">
        <v>0</v>
      </c>
      <c r="Y254" s="126">
        <v>0</v>
      </c>
      <c r="Z254" s="142">
        <v>0</v>
      </c>
      <c r="AA254" s="126">
        <v>0</v>
      </c>
      <c r="AB254" s="126">
        <v>0</v>
      </c>
      <c r="AC254" s="126">
        <v>0</v>
      </c>
      <c r="AD254" s="126">
        <v>0</v>
      </c>
      <c r="AE254" s="126">
        <v>0</v>
      </c>
      <c r="AF254" s="126">
        <v>0.15</v>
      </c>
      <c r="AG254" t="s">
        <v>3090</v>
      </c>
    </row>
    <row r="255" spans="1:33" x14ac:dyDescent="0.3">
      <c r="A255">
        <v>323</v>
      </c>
      <c r="B255" t="s">
        <v>281</v>
      </c>
      <c r="C255" t="s">
        <v>199</v>
      </c>
      <c r="D255">
        <v>4807</v>
      </c>
      <c r="E255">
        <v>5287</v>
      </c>
      <c r="F255">
        <v>100</v>
      </c>
      <c r="G255">
        <v>2000</v>
      </c>
      <c r="H255">
        <v>0</v>
      </c>
      <c r="I255">
        <v>3</v>
      </c>
      <c r="J255" s="28">
        <v>7.24</v>
      </c>
      <c r="K255" s="126">
        <v>0.17</v>
      </c>
      <c r="L255" s="126">
        <v>1.4</v>
      </c>
      <c r="M255" s="126">
        <v>0.1</v>
      </c>
      <c r="N255" s="126">
        <v>0</v>
      </c>
      <c r="O255" s="126">
        <v>0.6</v>
      </c>
      <c r="P255" s="126">
        <v>0.88500000000000001</v>
      </c>
      <c r="Q255" s="126">
        <v>0.8</v>
      </c>
      <c r="R255" s="126">
        <v>0</v>
      </c>
      <c r="S255" s="126">
        <v>0</v>
      </c>
      <c r="T255" s="126">
        <v>0</v>
      </c>
      <c r="U255" s="126">
        <v>-50</v>
      </c>
      <c r="V255" s="126">
        <v>0</v>
      </c>
      <c r="W255" s="126">
        <v>0</v>
      </c>
      <c r="X255" s="126">
        <v>0</v>
      </c>
      <c r="Y255" s="126">
        <v>0</v>
      </c>
      <c r="Z255" s="142">
        <v>0</v>
      </c>
      <c r="AA255" s="126">
        <v>0</v>
      </c>
      <c r="AB255" s="126">
        <v>0</v>
      </c>
      <c r="AC255" s="126">
        <v>0</v>
      </c>
      <c r="AD255" s="126">
        <v>0</v>
      </c>
      <c r="AE255" s="126">
        <v>0</v>
      </c>
      <c r="AF255" s="126">
        <v>0.15</v>
      </c>
      <c r="AG255" t="s">
        <v>1853</v>
      </c>
    </row>
    <row r="256" spans="1:33" x14ac:dyDescent="0.3">
      <c r="A256">
        <v>324</v>
      </c>
      <c r="B256" t="s">
        <v>282</v>
      </c>
      <c r="C256" t="s">
        <v>199</v>
      </c>
      <c r="D256">
        <v>5410</v>
      </c>
      <c r="E256">
        <v>5951</v>
      </c>
      <c r="F256">
        <v>100</v>
      </c>
      <c r="G256">
        <v>2500</v>
      </c>
      <c r="H256">
        <v>0</v>
      </c>
      <c r="I256">
        <v>3</v>
      </c>
      <c r="J256" s="28">
        <v>6.44</v>
      </c>
      <c r="K256" s="126">
        <v>0.17</v>
      </c>
      <c r="L256" s="126">
        <v>1.4</v>
      </c>
      <c r="M256" s="126">
        <v>0.1</v>
      </c>
      <c r="N256" s="126">
        <v>0</v>
      </c>
      <c r="O256" s="126">
        <v>0.6</v>
      </c>
      <c r="P256" s="126">
        <v>0.88500000000000001</v>
      </c>
      <c r="Q256" s="126">
        <v>0.8</v>
      </c>
      <c r="R256" s="126">
        <v>0</v>
      </c>
      <c r="S256" s="126">
        <v>0</v>
      </c>
      <c r="T256" s="126">
        <v>0</v>
      </c>
      <c r="U256" s="126">
        <v>-50</v>
      </c>
      <c r="V256" s="126">
        <v>0</v>
      </c>
      <c r="W256" s="126">
        <v>0</v>
      </c>
      <c r="X256" s="126">
        <v>0</v>
      </c>
      <c r="Y256" s="126">
        <v>0</v>
      </c>
      <c r="Z256" s="142">
        <v>0</v>
      </c>
      <c r="AA256" s="126">
        <v>0</v>
      </c>
      <c r="AB256" s="126">
        <v>0</v>
      </c>
      <c r="AC256" s="126">
        <v>0</v>
      </c>
      <c r="AD256" s="126">
        <v>0</v>
      </c>
      <c r="AE256" s="126">
        <v>0</v>
      </c>
      <c r="AF256" s="126">
        <v>0.15</v>
      </c>
      <c r="AG256" t="s">
        <v>1854</v>
      </c>
    </row>
    <row r="257" spans="1:33" x14ac:dyDescent="0.3">
      <c r="A257">
        <v>325</v>
      </c>
      <c r="B257" t="s">
        <v>3091</v>
      </c>
      <c r="C257" t="s">
        <v>199</v>
      </c>
      <c r="D257">
        <v>4980</v>
      </c>
      <c r="E257">
        <v>5478</v>
      </c>
      <c r="F257">
        <v>50</v>
      </c>
      <c r="G257">
        <v>2500</v>
      </c>
      <c r="H257">
        <v>0</v>
      </c>
      <c r="I257">
        <v>2.1</v>
      </c>
      <c r="J257" s="28">
        <v>7.24</v>
      </c>
      <c r="K257" s="126">
        <v>0.06</v>
      </c>
      <c r="L257" s="126">
        <v>2</v>
      </c>
      <c r="M257" s="126">
        <v>0.1</v>
      </c>
      <c r="N257" s="126">
        <v>0</v>
      </c>
      <c r="O257" s="126">
        <v>0.6</v>
      </c>
      <c r="P257" s="126">
        <v>0.88500000000000001</v>
      </c>
      <c r="Q257" s="126">
        <v>0.8</v>
      </c>
      <c r="R257" s="126">
        <v>0</v>
      </c>
      <c r="S257" s="126">
        <v>0</v>
      </c>
      <c r="T257" s="126">
        <v>0</v>
      </c>
      <c r="U257" s="126">
        <v>0</v>
      </c>
      <c r="V257" s="126">
        <v>0</v>
      </c>
      <c r="W257" s="126">
        <v>0</v>
      </c>
      <c r="X257" s="126">
        <v>0</v>
      </c>
      <c r="Y257" s="126">
        <v>0</v>
      </c>
      <c r="Z257" s="142">
        <v>0</v>
      </c>
      <c r="AA257" s="126">
        <v>0</v>
      </c>
      <c r="AB257" s="126">
        <v>0</v>
      </c>
      <c r="AC257" s="126">
        <v>0</v>
      </c>
      <c r="AD257" s="126">
        <v>0</v>
      </c>
      <c r="AE257" s="126">
        <v>0</v>
      </c>
      <c r="AF257" s="126">
        <v>2.9249999999999998</v>
      </c>
      <c r="AG257" t="s">
        <v>3092</v>
      </c>
    </row>
    <row r="258" spans="1:33" x14ac:dyDescent="0.3">
      <c r="A258">
        <v>326</v>
      </c>
      <c r="B258" t="s">
        <v>283</v>
      </c>
      <c r="C258" t="s">
        <v>199</v>
      </c>
      <c r="D258">
        <v>18461</v>
      </c>
      <c r="E258">
        <v>20307</v>
      </c>
      <c r="F258">
        <v>34</v>
      </c>
      <c r="G258">
        <v>2000</v>
      </c>
      <c r="H258">
        <v>0</v>
      </c>
      <c r="I258">
        <v>4.3</v>
      </c>
      <c r="J258" s="28">
        <v>3.22</v>
      </c>
      <c r="K258" s="126">
        <v>0.06</v>
      </c>
      <c r="L258" s="126">
        <v>2</v>
      </c>
      <c r="M258" s="126">
        <v>0.1</v>
      </c>
      <c r="N258" s="126">
        <v>0</v>
      </c>
      <c r="O258" s="126">
        <v>0.6</v>
      </c>
      <c r="P258" s="126">
        <v>0.88500000000000001</v>
      </c>
      <c r="Q258" s="126">
        <v>0.7</v>
      </c>
      <c r="R258" s="126">
        <v>0</v>
      </c>
      <c r="S258" s="126">
        <v>0</v>
      </c>
      <c r="T258" s="126">
        <v>0</v>
      </c>
      <c r="U258" s="126">
        <v>0</v>
      </c>
      <c r="V258" s="126">
        <v>0</v>
      </c>
      <c r="W258" s="126">
        <v>0</v>
      </c>
      <c r="X258" s="126">
        <v>0</v>
      </c>
      <c r="Y258" s="126">
        <v>0</v>
      </c>
      <c r="Z258" s="142">
        <v>0</v>
      </c>
      <c r="AA258" s="126">
        <v>0</v>
      </c>
      <c r="AB258" s="126">
        <v>0</v>
      </c>
      <c r="AC258" s="126">
        <v>0</v>
      </c>
      <c r="AD258" s="126">
        <v>0</v>
      </c>
      <c r="AE258" s="126">
        <v>0</v>
      </c>
      <c r="AF258" s="126">
        <v>0.15</v>
      </c>
      <c r="AG258" t="s">
        <v>1855</v>
      </c>
    </row>
    <row r="259" spans="1:33" x14ac:dyDescent="0.3">
      <c r="A259">
        <v>327</v>
      </c>
      <c r="B259" t="s">
        <v>284</v>
      </c>
      <c r="C259" t="s">
        <v>187</v>
      </c>
      <c r="D259">
        <v>1399</v>
      </c>
      <c r="E259">
        <v>1539</v>
      </c>
      <c r="F259">
        <v>45</v>
      </c>
      <c r="G259">
        <v>6000</v>
      </c>
      <c r="H259">
        <v>63</v>
      </c>
      <c r="I259">
        <v>4.3</v>
      </c>
      <c r="J259" s="28">
        <v>8.3699999999999992</v>
      </c>
      <c r="K259" s="126">
        <v>0.06</v>
      </c>
      <c r="L259" s="126">
        <v>2</v>
      </c>
      <c r="M259" s="126">
        <v>0.1</v>
      </c>
      <c r="N259" s="126">
        <v>0.223</v>
      </c>
      <c r="O259" s="126">
        <v>0.6</v>
      </c>
      <c r="P259" s="126">
        <v>0.88500000000000001</v>
      </c>
      <c r="Q259" s="126">
        <v>0.7</v>
      </c>
      <c r="R259" s="126">
        <v>0</v>
      </c>
      <c r="S259" s="126">
        <v>0</v>
      </c>
      <c r="T259" s="126">
        <v>0</v>
      </c>
      <c r="U259" s="126">
        <v>0</v>
      </c>
      <c r="V259" s="126">
        <v>0</v>
      </c>
      <c r="W259" s="126">
        <v>0</v>
      </c>
      <c r="X259" s="126">
        <v>0</v>
      </c>
      <c r="Y259" s="126">
        <v>0</v>
      </c>
      <c r="Z259" s="142">
        <v>0</v>
      </c>
      <c r="AA259" s="126">
        <v>0</v>
      </c>
      <c r="AB259" s="126">
        <v>0</v>
      </c>
      <c r="AC259" s="126">
        <v>0</v>
      </c>
      <c r="AD259" s="126">
        <v>0</v>
      </c>
      <c r="AE259" s="126">
        <v>0</v>
      </c>
      <c r="AF259" s="126">
        <v>0.15</v>
      </c>
      <c r="AG259" t="s">
        <v>2474</v>
      </c>
    </row>
    <row r="260" spans="1:33" x14ac:dyDescent="0.3">
      <c r="A260">
        <v>328</v>
      </c>
      <c r="B260" t="s">
        <v>285</v>
      </c>
      <c r="C260" t="s">
        <v>199</v>
      </c>
      <c r="D260">
        <v>63200</v>
      </c>
      <c r="E260">
        <v>69520</v>
      </c>
      <c r="F260">
        <v>100</v>
      </c>
      <c r="G260">
        <v>2000</v>
      </c>
      <c r="H260">
        <v>0</v>
      </c>
      <c r="I260">
        <v>0.3</v>
      </c>
      <c r="J260" s="28">
        <v>16.100000000000001</v>
      </c>
      <c r="K260" s="126">
        <v>0.43</v>
      </c>
      <c r="L260" s="126">
        <v>1.8</v>
      </c>
      <c r="M260" s="126">
        <v>0.1</v>
      </c>
      <c r="N260" s="126">
        <v>0</v>
      </c>
      <c r="O260" s="126">
        <v>0.6</v>
      </c>
      <c r="P260" s="126">
        <v>0.88500000000000001</v>
      </c>
      <c r="Q260" s="126">
        <v>0.82499999999999996</v>
      </c>
      <c r="R260" s="126">
        <v>0</v>
      </c>
      <c r="S260" s="126">
        <v>0</v>
      </c>
      <c r="T260" s="126">
        <v>0</v>
      </c>
      <c r="U260" s="126">
        <v>0</v>
      </c>
      <c r="V260" s="126">
        <v>0</v>
      </c>
      <c r="W260" s="126">
        <v>0</v>
      </c>
      <c r="X260" s="126">
        <v>0</v>
      </c>
      <c r="Y260" s="126">
        <v>0</v>
      </c>
      <c r="Z260" s="142">
        <v>12</v>
      </c>
      <c r="AA260" s="126">
        <v>0</v>
      </c>
      <c r="AB260" s="126">
        <v>0</v>
      </c>
      <c r="AC260" s="126">
        <v>0</v>
      </c>
      <c r="AD260" s="126">
        <v>0</v>
      </c>
      <c r="AE260" s="126">
        <v>0</v>
      </c>
      <c r="AF260" s="126">
        <v>0.15</v>
      </c>
      <c r="AG260" t="s">
        <v>1878</v>
      </c>
    </row>
    <row r="261" spans="1:33" x14ac:dyDescent="0.3">
      <c r="A261">
        <v>329</v>
      </c>
      <c r="B261" t="s">
        <v>286</v>
      </c>
      <c r="C261" t="s">
        <v>199</v>
      </c>
      <c r="D261">
        <v>3535</v>
      </c>
      <c r="E261">
        <v>3889</v>
      </c>
      <c r="F261">
        <v>100</v>
      </c>
      <c r="G261">
        <v>2000</v>
      </c>
      <c r="H261">
        <v>0</v>
      </c>
      <c r="I261">
        <v>2.7</v>
      </c>
      <c r="J261" s="28">
        <v>6.44</v>
      </c>
      <c r="K261" s="126">
        <v>0.44</v>
      </c>
      <c r="L261" s="126">
        <v>2</v>
      </c>
      <c r="M261" s="126">
        <v>0.1</v>
      </c>
      <c r="N261" s="126">
        <v>0</v>
      </c>
      <c r="O261" s="126">
        <v>0.6</v>
      </c>
      <c r="P261" s="126">
        <v>0.88500000000000001</v>
      </c>
      <c r="Q261" s="126">
        <v>0.8</v>
      </c>
      <c r="R261" s="126">
        <v>0</v>
      </c>
      <c r="S261" s="126">
        <v>0</v>
      </c>
      <c r="T261" s="126">
        <v>0</v>
      </c>
      <c r="U261" s="126">
        <v>-75</v>
      </c>
      <c r="V261" s="126">
        <v>0</v>
      </c>
      <c r="W261" s="126">
        <v>0</v>
      </c>
      <c r="X261" s="126">
        <v>0</v>
      </c>
      <c r="Y261" s="126">
        <v>0</v>
      </c>
      <c r="Z261" s="142">
        <v>0</v>
      </c>
      <c r="AA261" s="126">
        <v>0</v>
      </c>
      <c r="AB261" s="126">
        <v>0</v>
      </c>
      <c r="AC261" s="126">
        <v>0</v>
      </c>
      <c r="AD261" s="126">
        <v>0</v>
      </c>
      <c r="AE261" s="126">
        <v>0</v>
      </c>
      <c r="AF261" s="126">
        <v>0.15</v>
      </c>
      <c r="AG261" t="s">
        <v>2475</v>
      </c>
    </row>
    <row r="262" spans="1:33" x14ac:dyDescent="0.3">
      <c r="A262">
        <v>330</v>
      </c>
      <c r="B262" t="s">
        <v>3093</v>
      </c>
      <c r="C262" t="s">
        <v>199</v>
      </c>
      <c r="D262">
        <v>2008</v>
      </c>
      <c r="E262">
        <v>2208</v>
      </c>
      <c r="F262">
        <v>100</v>
      </c>
      <c r="G262">
        <v>2000</v>
      </c>
      <c r="H262">
        <v>0</v>
      </c>
      <c r="I262">
        <v>2.1</v>
      </c>
      <c r="J262" s="28">
        <v>6.44</v>
      </c>
      <c r="K262" s="126">
        <v>0.44</v>
      </c>
      <c r="L262" s="126">
        <v>2</v>
      </c>
      <c r="M262" s="126">
        <v>0.1</v>
      </c>
      <c r="N262" s="126">
        <v>0</v>
      </c>
      <c r="O262" s="126">
        <v>0.6</v>
      </c>
      <c r="P262" s="126">
        <v>0.88500000000000001</v>
      </c>
      <c r="Q262" s="126">
        <v>0.8</v>
      </c>
      <c r="R262" s="126">
        <v>0</v>
      </c>
      <c r="S262" s="126">
        <v>0</v>
      </c>
      <c r="T262" s="126">
        <v>0</v>
      </c>
      <c r="U262" s="126">
        <v>-75</v>
      </c>
      <c r="V262" s="126">
        <v>0</v>
      </c>
      <c r="W262" s="126">
        <v>0</v>
      </c>
      <c r="X262" s="126">
        <v>0</v>
      </c>
      <c r="Y262" s="126">
        <v>0</v>
      </c>
      <c r="Z262" s="142">
        <v>0</v>
      </c>
      <c r="AA262" s="126">
        <v>0</v>
      </c>
      <c r="AB262" s="126">
        <v>0</v>
      </c>
      <c r="AC262" s="126">
        <v>0</v>
      </c>
      <c r="AD262" s="126">
        <v>0</v>
      </c>
      <c r="AE262" s="126">
        <v>0</v>
      </c>
      <c r="AF262" s="126">
        <v>0.15</v>
      </c>
      <c r="AG262" t="s">
        <v>3094</v>
      </c>
    </row>
    <row r="263" spans="1:33" x14ac:dyDescent="0.3">
      <c r="A263">
        <v>331</v>
      </c>
      <c r="B263" t="s">
        <v>287</v>
      </c>
      <c r="C263" t="s">
        <v>199</v>
      </c>
      <c r="D263">
        <v>4768</v>
      </c>
      <c r="E263">
        <v>5245</v>
      </c>
      <c r="F263">
        <v>100</v>
      </c>
      <c r="G263">
        <v>2000</v>
      </c>
      <c r="H263">
        <v>0</v>
      </c>
      <c r="I263">
        <v>2.7</v>
      </c>
      <c r="J263" s="28">
        <v>5.63</v>
      </c>
      <c r="K263" s="126">
        <v>0.44</v>
      </c>
      <c r="L263" s="126">
        <v>2</v>
      </c>
      <c r="M263" s="126">
        <v>0.1</v>
      </c>
      <c r="N263" s="126">
        <v>0</v>
      </c>
      <c r="O263" s="126">
        <v>0.6</v>
      </c>
      <c r="P263" s="126">
        <v>0.88500000000000001</v>
      </c>
      <c r="Q263" s="126">
        <v>0.8</v>
      </c>
      <c r="R263" s="126">
        <v>0</v>
      </c>
      <c r="S263" s="126">
        <v>0</v>
      </c>
      <c r="T263" s="126">
        <v>0</v>
      </c>
      <c r="U263" s="126">
        <v>-75</v>
      </c>
      <c r="V263" s="126">
        <v>0</v>
      </c>
      <c r="W263" s="126">
        <v>0</v>
      </c>
      <c r="X263" s="126">
        <v>0</v>
      </c>
      <c r="Y263" s="126">
        <v>0</v>
      </c>
      <c r="Z263" s="142">
        <v>0</v>
      </c>
      <c r="AA263" s="126">
        <v>0</v>
      </c>
      <c r="AB263" s="126">
        <v>0</v>
      </c>
      <c r="AC263" s="126">
        <v>0</v>
      </c>
      <c r="AD263" s="126">
        <v>0</v>
      </c>
      <c r="AE263" s="126">
        <v>0</v>
      </c>
      <c r="AF263" s="126">
        <v>0.15</v>
      </c>
      <c r="AG263" t="s">
        <v>2476</v>
      </c>
    </row>
    <row r="264" spans="1:33" x14ac:dyDescent="0.3">
      <c r="A264">
        <v>332</v>
      </c>
      <c r="B264" t="s">
        <v>3095</v>
      </c>
      <c r="C264" t="s">
        <v>199</v>
      </c>
      <c r="D264">
        <v>2130</v>
      </c>
      <c r="E264">
        <v>2343</v>
      </c>
      <c r="F264">
        <v>100</v>
      </c>
      <c r="G264">
        <v>2000</v>
      </c>
      <c r="H264">
        <v>0</v>
      </c>
      <c r="I264">
        <v>2.4</v>
      </c>
      <c r="J264" s="28">
        <v>7.24</v>
      </c>
      <c r="K264" s="126">
        <v>0.44</v>
      </c>
      <c r="L264" s="126">
        <v>2</v>
      </c>
      <c r="M264" s="126">
        <v>0.1</v>
      </c>
      <c r="N264" s="126">
        <v>0</v>
      </c>
      <c r="O264" s="126">
        <v>0.6</v>
      </c>
      <c r="P264" s="126">
        <v>0.88500000000000001</v>
      </c>
      <c r="Q264" s="126">
        <v>0.8</v>
      </c>
      <c r="R264" s="126">
        <v>0</v>
      </c>
      <c r="S264" s="126">
        <v>0</v>
      </c>
      <c r="T264" s="126">
        <v>0</v>
      </c>
      <c r="U264" s="126">
        <v>-75</v>
      </c>
      <c r="V264" s="126">
        <v>0</v>
      </c>
      <c r="W264" s="126">
        <v>0</v>
      </c>
      <c r="X264" s="126">
        <v>0</v>
      </c>
      <c r="Y264" s="126">
        <v>0</v>
      </c>
      <c r="Z264" s="142">
        <v>0</v>
      </c>
      <c r="AA264" s="126">
        <v>0</v>
      </c>
      <c r="AB264" s="126">
        <v>0</v>
      </c>
      <c r="AC264" s="126">
        <v>0</v>
      </c>
      <c r="AD264" s="126">
        <v>0</v>
      </c>
      <c r="AE264" s="126">
        <v>0</v>
      </c>
      <c r="AF264" s="126">
        <v>0.15</v>
      </c>
      <c r="AG264" t="s">
        <v>3096</v>
      </c>
    </row>
    <row r="265" spans="1:33" x14ac:dyDescent="0.3">
      <c r="A265">
        <v>333</v>
      </c>
      <c r="B265" t="s">
        <v>288</v>
      </c>
      <c r="C265" t="s">
        <v>199</v>
      </c>
      <c r="D265">
        <v>4243</v>
      </c>
      <c r="E265">
        <v>4667</v>
      </c>
      <c r="F265">
        <v>100</v>
      </c>
      <c r="G265">
        <v>2000</v>
      </c>
      <c r="H265">
        <v>0</v>
      </c>
      <c r="I265">
        <v>2.7</v>
      </c>
      <c r="J265" s="28">
        <v>4.83</v>
      </c>
      <c r="K265" s="126">
        <v>0.16</v>
      </c>
      <c r="L265" s="126">
        <v>1.6</v>
      </c>
      <c r="M265" s="126">
        <v>0.1</v>
      </c>
      <c r="N265" s="126">
        <v>0</v>
      </c>
      <c r="O265" s="126">
        <v>0.6</v>
      </c>
      <c r="P265" s="126">
        <v>0.88500000000000001</v>
      </c>
      <c r="Q265" s="126">
        <v>0.8</v>
      </c>
      <c r="R265" s="126">
        <v>0</v>
      </c>
      <c r="S265" s="126">
        <v>0</v>
      </c>
      <c r="T265" s="126">
        <v>0</v>
      </c>
      <c r="U265" s="126">
        <v>-50</v>
      </c>
      <c r="V265" s="126">
        <v>0</v>
      </c>
      <c r="W265" s="126">
        <v>0</v>
      </c>
      <c r="X265" s="126">
        <v>0</v>
      </c>
      <c r="Y265" s="126">
        <v>0</v>
      </c>
      <c r="Z265" s="142">
        <v>0</v>
      </c>
      <c r="AA265" s="126">
        <v>0</v>
      </c>
      <c r="AB265" s="126">
        <v>0</v>
      </c>
      <c r="AC265" s="126">
        <v>0</v>
      </c>
      <c r="AD265" s="126">
        <v>0</v>
      </c>
      <c r="AE265" s="126">
        <v>0</v>
      </c>
      <c r="AF265" s="126">
        <v>0.15</v>
      </c>
      <c r="AG265" t="s">
        <v>1856</v>
      </c>
    </row>
    <row r="266" spans="1:33" x14ac:dyDescent="0.3">
      <c r="A266">
        <v>334</v>
      </c>
      <c r="B266" t="s">
        <v>289</v>
      </c>
      <c r="C266" t="s">
        <v>187</v>
      </c>
      <c r="D266">
        <v>2690</v>
      </c>
      <c r="E266">
        <v>2959</v>
      </c>
      <c r="F266">
        <v>100</v>
      </c>
      <c r="G266">
        <v>6000</v>
      </c>
      <c r="H266">
        <v>149</v>
      </c>
      <c r="I266">
        <v>0.3</v>
      </c>
      <c r="J266" s="28">
        <v>5.63</v>
      </c>
      <c r="K266" s="126">
        <v>0.16</v>
      </c>
      <c r="L266" s="126">
        <v>1.6</v>
      </c>
      <c r="M266" s="126">
        <v>0.1</v>
      </c>
      <c r="N266" s="126">
        <v>0</v>
      </c>
      <c r="O266" s="126">
        <v>0.6</v>
      </c>
      <c r="P266" s="126">
        <v>0.88500000000000001</v>
      </c>
      <c r="Q266" s="126">
        <v>0.8</v>
      </c>
      <c r="R266" s="126">
        <v>0</v>
      </c>
      <c r="S266" s="126">
        <v>0</v>
      </c>
      <c r="T266" s="126">
        <v>0</v>
      </c>
      <c r="U266" s="126">
        <v>-50</v>
      </c>
      <c r="V266" s="126">
        <v>0</v>
      </c>
      <c r="W266" s="126">
        <v>0</v>
      </c>
      <c r="X266" s="126">
        <v>0</v>
      </c>
      <c r="Y266" s="126">
        <v>0</v>
      </c>
      <c r="Z266" s="142">
        <v>0</v>
      </c>
      <c r="AA266" s="126">
        <v>0</v>
      </c>
      <c r="AB266" s="126">
        <v>0</v>
      </c>
      <c r="AC266" s="126">
        <v>0</v>
      </c>
      <c r="AD266" s="126">
        <v>0</v>
      </c>
      <c r="AE266" s="126">
        <v>0</v>
      </c>
      <c r="AF266" s="126">
        <v>0.15</v>
      </c>
      <c r="AG266" t="s">
        <v>1857</v>
      </c>
    </row>
    <row r="267" spans="1:33" x14ac:dyDescent="0.3">
      <c r="A267">
        <v>335</v>
      </c>
      <c r="B267" t="s">
        <v>3097</v>
      </c>
      <c r="C267" t="s">
        <v>187</v>
      </c>
      <c r="D267">
        <v>5588</v>
      </c>
      <c r="E267">
        <v>6147</v>
      </c>
      <c r="F267">
        <v>50</v>
      </c>
      <c r="G267">
        <v>6000</v>
      </c>
      <c r="H267">
        <v>149</v>
      </c>
      <c r="I267">
        <v>2.1</v>
      </c>
      <c r="J267" s="28">
        <v>7.24</v>
      </c>
      <c r="K267" s="126">
        <v>0.44</v>
      </c>
      <c r="L267" s="126">
        <v>2</v>
      </c>
      <c r="M267" s="126">
        <v>0.1</v>
      </c>
      <c r="N267" s="126">
        <v>0</v>
      </c>
      <c r="O267" s="126">
        <v>0.6</v>
      </c>
      <c r="P267" s="126">
        <v>0.88500000000000001</v>
      </c>
      <c r="Q267" s="126">
        <v>0.8</v>
      </c>
      <c r="R267" s="126">
        <v>0</v>
      </c>
      <c r="S267" s="126">
        <v>0</v>
      </c>
      <c r="T267" s="126">
        <v>0</v>
      </c>
      <c r="U267" s="126">
        <v>-75</v>
      </c>
      <c r="V267" s="126">
        <v>0</v>
      </c>
      <c r="W267" s="126">
        <v>0</v>
      </c>
      <c r="X267" s="126">
        <v>0</v>
      </c>
      <c r="Y267" s="126">
        <v>0</v>
      </c>
      <c r="Z267" s="142">
        <v>0</v>
      </c>
      <c r="AA267" s="126">
        <v>0</v>
      </c>
      <c r="AB267" s="126">
        <v>0</v>
      </c>
      <c r="AC267" s="126">
        <v>0</v>
      </c>
      <c r="AD267" s="126">
        <v>0</v>
      </c>
      <c r="AE267" s="126">
        <v>0</v>
      </c>
      <c r="AF267" s="126">
        <v>0.15</v>
      </c>
      <c r="AG267" t="s">
        <v>3098</v>
      </c>
    </row>
    <row r="268" spans="1:33" x14ac:dyDescent="0.3">
      <c r="A268">
        <v>336</v>
      </c>
      <c r="B268" t="s">
        <v>290</v>
      </c>
      <c r="C268" t="s">
        <v>187</v>
      </c>
      <c r="D268">
        <v>9558</v>
      </c>
      <c r="E268">
        <v>10514</v>
      </c>
      <c r="F268">
        <v>100</v>
      </c>
      <c r="G268">
        <v>6000</v>
      </c>
      <c r="H268">
        <v>4</v>
      </c>
      <c r="I268">
        <v>3</v>
      </c>
      <c r="J268" s="28">
        <v>3.22</v>
      </c>
      <c r="K268" s="126">
        <v>0.59</v>
      </c>
      <c r="L268" s="126">
        <v>1.3</v>
      </c>
      <c r="M268" s="126">
        <v>0</v>
      </c>
      <c r="N268" s="126">
        <v>0</v>
      </c>
      <c r="O268" s="126">
        <v>0.68</v>
      </c>
      <c r="P268" s="126">
        <v>0.9</v>
      </c>
      <c r="Q268" s="126">
        <v>0.65</v>
      </c>
      <c r="R268" s="126">
        <v>0</v>
      </c>
      <c r="S268" s="126">
        <v>0</v>
      </c>
      <c r="T268" s="126">
        <v>0</v>
      </c>
      <c r="U268" s="126">
        <v>100</v>
      </c>
      <c r="V268" s="126">
        <v>0</v>
      </c>
      <c r="W268" s="126">
        <v>0</v>
      </c>
      <c r="X268" s="126">
        <v>0</v>
      </c>
      <c r="Y268" s="126">
        <v>0</v>
      </c>
      <c r="Z268" s="142">
        <v>2</v>
      </c>
      <c r="AA268" s="126">
        <v>0.95</v>
      </c>
      <c r="AB268" s="126">
        <v>0.5</v>
      </c>
      <c r="AC268" s="126">
        <v>0</v>
      </c>
      <c r="AD268" s="126">
        <v>0</v>
      </c>
      <c r="AE268" s="126">
        <v>0</v>
      </c>
      <c r="AF268" s="126">
        <v>27.3</v>
      </c>
      <c r="AG268" t="s">
        <v>1879</v>
      </c>
    </row>
    <row r="269" spans="1:33" x14ac:dyDescent="0.3">
      <c r="A269">
        <v>337</v>
      </c>
      <c r="B269" t="s">
        <v>3099</v>
      </c>
      <c r="C269" t="s">
        <v>199</v>
      </c>
      <c r="D269">
        <v>1616</v>
      </c>
      <c r="E269">
        <v>1777</v>
      </c>
      <c r="F269">
        <v>50</v>
      </c>
      <c r="G269">
        <v>2000</v>
      </c>
      <c r="H269">
        <v>0</v>
      </c>
      <c r="I269">
        <v>1.8</v>
      </c>
      <c r="J269" s="28">
        <v>7.24</v>
      </c>
      <c r="K269" s="126">
        <v>0.44</v>
      </c>
      <c r="L269" s="126">
        <v>2</v>
      </c>
      <c r="M269" s="126">
        <v>0.1</v>
      </c>
      <c r="N269" s="126">
        <v>0</v>
      </c>
      <c r="O269" s="126">
        <v>0.8</v>
      </c>
      <c r="P269" s="126">
        <v>0.9</v>
      </c>
      <c r="Q269" s="126">
        <v>0.7</v>
      </c>
      <c r="R269" s="126">
        <v>0</v>
      </c>
      <c r="S269" s="126">
        <v>0</v>
      </c>
      <c r="T269" s="126">
        <v>0</v>
      </c>
      <c r="U269" s="126">
        <v>0</v>
      </c>
      <c r="V269" s="126">
        <v>0</v>
      </c>
      <c r="W269" s="126">
        <v>0</v>
      </c>
      <c r="X269" s="126">
        <v>0</v>
      </c>
      <c r="Y269" s="126">
        <v>0</v>
      </c>
      <c r="Z269" s="142">
        <v>0</v>
      </c>
      <c r="AA269" s="126">
        <v>0</v>
      </c>
      <c r="AB269" s="126">
        <v>0</v>
      </c>
      <c r="AC269" s="126">
        <v>0</v>
      </c>
      <c r="AD269" s="126">
        <v>0</v>
      </c>
      <c r="AE269" s="126">
        <v>0</v>
      </c>
      <c r="AF269" s="126">
        <v>0.15</v>
      </c>
      <c r="AG269" t="s">
        <v>3099</v>
      </c>
    </row>
    <row r="270" spans="1:33" x14ac:dyDescent="0.3">
      <c r="A270">
        <v>338</v>
      </c>
      <c r="B270" t="s">
        <v>291</v>
      </c>
      <c r="C270" t="s">
        <v>187</v>
      </c>
      <c r="D270">
        <v>2573</v>
      </c>
      <c r="E270">
        <v>2830</v>
      </c>
      <c r="F270">
        <v>50</v>
      </c>
      <c r="G270">
        <v>6000</v>
      </c>
      <c r="H270">
        <v>9</v>
      </c>
      <c r="I270">
        <v>3</v>
      </c>
      <c r="J270" s="28">
        <v>6.44</v>
      </c>
      <c r="K270" s="126">
        <v>0.28000000000000003</v>
      </c>
      <c r="L270" s="126">
        <v>1.4</v>
      </c>
      <c r="M270" s="126">
        <v>0</v>
      </c>
      <c r="N270" s="126">
        <v>0</v>
      </c>
      <c r="O270" s="126">
        <v>1.5</v>
      </c>
      <c r="P270" s="126">
        <v>0.92</v>
      </c>
      <c r="Q270" s="126">
        <v>0.65</v>
      </c>
      <c r="R270" s="126">
        <v>0</v>
      </c>
      <c r="S270" s="126">
        <v>0</v>
      </c>
      <c r="T270" s="126">
        <v>0</v>
      </c>
      <c r="U270" s="126">
        <v>-25</v>
      </c>
      <c r="V270" s="126">
        <v>0</v>
      </c>
      <c r="W270" s="126">
        <v>0</v>
      </c>
      <c r="X270" s="126">
        <v>0</v>
      </c>
      <c r="Y270" s="126">
        <v>0</v>
      </c>
      <c r="Z270" s="142">
        <v>0</v>
      </c>
      <c r="AA270" s="126">
        <v>0</v>
      </c>
      <c r="AB270" s="126">
        <v>0</v>
      </c>
      <c r="AC270" s="126">
        <v>0</v>
      </c>
      <c r="AD270" s="126">
        <v>0</v>
      </c>
      <c r="AE270" s="126">
        <v>0</v>
      </c>
      <c r="AF270" s="126">
        <v>0.15</v>
      </c>
      <c r="AG270" t="s">
        <v>2477</v>
      </c>
    </row>
    <row r="271" spans="1:33" x14ac:dyDescent="0.3">
      <c r="A271">
        <v>339</v>
      </c>
      <c r="B271" t="s">
        <v>292</v>
      </c>
      <c r="C271" t="s">
        <v>187</v>
      </c>
      <c r="D271">
        <v>150981</v>
      </c>
      <c r="E271">
        <v>166079</v>
      </c>
      <c r="F271">
        <v>270</v>
      </c>
      <c r="G271">
        <v>6000</v>
      </c>
      <c r="H271">
        <v>119</v>
      </c>
      <c r="I271">
        <v>3.7</v>
      </c>
      <c r="J271" s="28">
        <v>5.63</v>
      </c>
      <c r="K271" s="126">
        <v>0.04</v>
      </c>
      <c r="L271" s="126">
        <v>2.1</v>
      </c>
      <c r="M271" s="126">
        <v>0.1</v>
      </c>
      <c r="N271" s="126">
        <v>0.223</v>
      </c>
      <c r="O271" s="126">
        <v>0.6</v>
      </c>
      <c r="P271" s="126">
        <v>0.88500000000000001</v>
      </c>
      <c r="Q271" s="126">
        <v>0.7</v>
      </c>
      <c r="R271" s="126">
        <v>0</v>
      </c>
      <c r="S271" s="126">
        <v>0</v>
      </c>
      <c r="T271" s="126">
        <v>0</v>
      </c>
      <c r="U271" s="126">
        <v>-50</v>
      </c>
      <c r="V271" s="126">
        <v>0</v>
      </c>
      <c r="W271" s="126">
        <v>0</v>
      </c>
      <c r="X271" s="126">
        <v>0</v>
      </c>
      <c r="Y271" s="126">
        <v>0</v>
      </c>
      <c r="Z271" s="142">
        <v>2</v>
      </c>
      <c r="AA271" s="126">
        <v>0.95</v>
      </c>
      <c r="AB271" s="126">
        <v>0</v>
      </c>
      <c r="AC271" s="126">
        <v>0</v>
      </c>
      <c r="AD271" s="126">
        <v>0</v>
      </c>
      <c r="AE271" s="126">
        <v>6.47</v>
      </c>
      <c r="AF271" s="126">
        <v>0.15</v>
      </c>
      <c r="AG271" t="s">
        <v>2478</v>
      </c>
    </row>
    <row r="272" spans="1:33" x14ac:dyDescent="0.3">
      <c r="A272">
        <v>340</v>
      </c>
      <c r="B272" t="s">
        <v>293</v>
      </c>
      <c r="C272" t="s">
        <v>199</v>
      </c>
      <c r="D272">
        <v>862</v>
      </c>
      <c r="E272">
        <v>948</v>
      </c>
      <c r="F272">
        <v>40</v>
      </c>
      <c r="G272">
        <v>800</v>
      </c>
      <c r="H272">
        <v>0</v>
      </c>
      <c r="I272">
        <v>12.2</v>
      </c>
      <c r="J272" s="28">
        <v>8.0500000000000007</v>
      </c>
      <c r="K272" s="126">
        <v>0.19</v>
      </c>
      <c r="L272" s="126">
        <v>1.3</v>
      </c>
      <c r="M272" s="126">
        <v>0</v>
      </c>
      <c r="N272" s="126">
        <v>0</v>
      </c>
      <c r="O272" s="126">
        <v>0.8</v>
      </c>
      <c r="P272" s="126">
        <v>0.94</v>
      </c>
      <c r="Q272" s="126">
        <v>0.65</v>
      </c>
      <c r="R272" s="126">
        <v>0</v>
      </c>
      <c r="S272" s="126">
        <v>0</v>
      </c>
      <c r="T272" s="126">
        <v>0</v>
      </c>
      <c r="U272" s="126">
        <v>0</v>
      </c>
      <c r="V272" s="126">
        <v>0</v>
      </c>
      <c r="W272" s="126">
        <v>0</v>
      </c>
      <c r="X272" s="126">
        <v>0</v>
      </c>
      <c r="Y272" s="126">
        <v>0</v>
      </c>
      <c r="Z272" s="142">
        <v>0</v>
      </c>
      <c r="AA272" s="126">
        <v>0</v>
      </c>
      <c r="AB272" s="126">
        <v>0</v>
      </c>
      <c r="AC272" s="126">
        <v>0</v>
      </c>
      <c r="AD272" s="126">
        <v>0</v>
      </c>
      <c r="AE272" s="126">
        <v>0</v>
      </c>
      <c r="AF272" s="126">
        <v>0.15</v>
      </c>
      <c r="AG272" t="s">
        <v>2479</v>
      </c>
    </row>
    <row r="273" spans="1:33" x14ac:dyDescent="0.3">
      <c r="A273">
        <v>341</v>
      </c>
      <c r="B273" t="s">
        <v>294</v>
      </c>
      <c r="C273" t="s">
        <v>199</v>
      </c>
      <c r="D273">
        <v>6462</v>
      </c>
      <c r="E273">
        <v>7108</v>
      </c>
      <c r="F273">
        <v>200</v>
      </c>
      <c r="G273">
        <v>3000</v>
      </c>
      <c r="H273">
        <v>0</v>
      </c>
      <c r="I273">
        <v>3</v>
      </c>
      <c r="J273" s="28">
        <v>5.63</v>
      </c>
      <c r="K273" s="126">
        <v>0.19</v>
      </c>
      <c r="L273" s="126">
        <v>1.3</v>
      </c>
      <c r="M273" s="126">
        <v>0</v>
      </c>
      <c r="N273" s="126">
        <v>0</v>
      </c>
      <c r="O273" s="126">
        <v>0.6</v>
      </c>
      <c r="P273" s="126">
        <v>0.88500000000000001</v>
      </c>
      <c r="Q273" s="126">
        <v>0.75</v>
      </c>
      <c r="R273" s="126">
        <v>0</v>
      </c>
      <c r="S273" s="126">
        <v>0</v>
      </c>
      <c r="T273" s="126">
        <v>0</v>
      </c>
      <c r="U273" s="126">
        <v>0</v>
      </c>
      <c r="V273" s="126">
        <v>0</v>
      </c>
      <c r="W273" s="126">
        <v>0</v>
      </c>
      <c r="X273" s="126">
        <v>0</v>
      </c>
      <c r="Y273" s="126">
        <v>0</v>
      </c>
      <c r="Z273" s="142">
        <v>0</v>
      </c>
      <c r="AA273" s="126">
        <v>0</v>
      </c>
      <c r="AB273" s="126">
        <v>0</v>
      </c>
      <c r="AC273" s="126">
        <v>0</v>
      </c>
      <c r="AD273" s="126">
        <v>0</v>
      </c>
      <c r="AE273" s="126">
        <v>0</v>
      </c>
      <c r="AF273" s="126">
        <v>0.15</v>
      </c>
      <c r="AG273" t="s">
        <v>2480</v>
      </c>
    </row>
    <row r="274" spans="1:33" x14ac:dyDescent="0.3">
      <c r="A274">
        <v>342</v>
      </c>
      <c r="B274" t="s">
        <v>3100</v>
      </c>
      <c r="C274" t="s">
        <v>199</v>
      </c>
      <c r="D274">
        <v>3231</v>
      </c>
      <c r="E274">
        <v>3554</v>
      </c>
      <c r="F274">
        <v>200</v>
      </c>
      <c r="G274">
        <v>3000</v>
      </c>
      <c r="H274">
        <v>0</v>
      </c>
      <c r="I274">
        <v>3</v>
      </c>
      <c r="J274" s="28">
        <v>5.63</v>
      </c>
      <c r="K274" s="126">
        <v>0.19</v>
      </c>
      <c r="L274" s="126">
        <v>1.3</v>
      </c>
      <c r="M274" s="126">
        <v>0</v>
      </c>
      <c r="N274" s="126">
        <v>0</v>
      </c>
      <c r="O274" s="126">
        <v>0.6</v>
      </c>
      <c r="P274" s="126">
        <v>0.88500000000000001</v>
      </c>
      <c r="Q274" s="126">
        <v>0.75</v>
      </c>
      <c r="R274" s="126">
        <v>0</v>
      </c>
      <c r="S274" s="126">
        <v>0</v>
      </c>
      <c r="T274" s="126">
        <v>0</v>
      </c>
      <c r="U274" s="126">
        <v>0</v>
      </c>
      <c r="V274" s="126">
        <v>0</v>
      </c>
      <c r="W274" s="126">
        <v>0</v>
      </c>
      <c r="X274" s="126">
        <v>0</v>
      </c>
      <c r="Y274" s="126">
        <v>0</v>
      </c>
      <c r="Z274" s="142">
        <v>0</v>
      </c>
      <c r="AA274" s="126">
        <v>0</v>
      </c>
      <c r="AB274" s="126">
        <v>0</v>
      </c>
      <c r="AC274" s="126">
        <v>0</v>
      </c>
      <c r="AD274" s="126">
        <v>0</v>
      </c>
      <c r="AE274" s="126">
        <v>0</v>
      </c>
      <c r="AF274" s="126">
        <v>0.15</v>
      </c>
      <c r="AG274" t="s">
        <v>3101</v>
      </c>
    </row>
    <row r="275" spans="1:33" x14ac:dyDescent="0.3">
      <c r="A275">
        <v>343</v>
      </c>
      <c r="B275" t="s">
        <v>295</v>
      </c>
      <c r="C275" t="s">
        <v>199</v>
      </c>
      <c r="D275">
        <v>63245</v>
      </c>
      <c r="E275">
        <v>69570</v>
      </c>
      <c r="F275">
        <v>100</v>
      </c>
      <c r="G275">
        <v>1500</v>
      </c>
      <c r="H275">
        <v>0</v>
      </c>
      <c r="I275">
        <v>2.4</v>
      </c>
      <c r="J275" s="28">
        <v>4.83</v>
      </c>
      <c r="K275" s="126">
        <v>0.19</v>
      </c>
      <c r="L275" s="126">
        <v>1.3</v>
      </c>
      <c r="M275" s="126">
        <v>0.1</v>
      </c>
      <c r="N275" s="126">
        <v>0</v>
      </c>
      <c r="O275" s="126">
        <v>0.6</v>
      </c>
      <c r="P275" s="126">
        <v>0.88500000000000001</v>
      </c>
      <c r="Q275" s="126">
        <v>0.7</v>
      </c>
      <c r="R275" s="126">
        <v>0</v>
      </c>
      <c r="S275" s="126">
        <v>0</v>
      </c>
      <c r="T275" s="126">
        <v>0</v>
      </c>
      <c r="U275" s="126">
        <v>0</v>
      </c>
      <c r="V275" s="126">
        <v>0</v>
      </c>
      <c r="W275" s="126">
        <v>0</v>
      </c>
      <c r="X275" s="126">
        <v>0</v>
      </c>
      <c r="Y275" s="126">
        <v>0</v>
      </c>
      <c r="Z275" s="142">
        <v>0</v>
      </c>
      <c r="AA275" s="126">
        <v>0</v>
      </c>
      <c r="AB275" s="126">
        <v>0</v>
      </c>
      <c r="AC275" s="126">
        <v>0</v>
      </c>
      <c r="AD275" s="126">
        <v>0</v>
      </c>
      <c r="AE275" s="126">
        <v>0</v>
      </c>
      <c r="AF275" s="126">
        <v>0.15</v>
      </c>
      <c r="AG275" t="s">
        <v>2481</v>
      </c>
    </row>
    <row r="276" spans="1:33" x14ac:dyDescent="0.3">
      <c r="A276">
        <v>344</v>
      </c>
      <c r="B276" t="s">
        <v>296</v>
      </c>
      <c r="C276" t="s">
        <v>187</v>
      </c>
      <c r="D276">
        <v>17680</v>
      </c>
      <c r="E276">
        <v>19448</v>
      </c>
      <c r="F276">
        <v>400</v>
      </c>
      <c r="G276">
        <v>6000</v>
      </c>
      <c r="H276">
        <v>130</v>
      </c>
      <c r="I276">
        <v>0.3</v>
      </c>
      <c r="J276" s="28">
        <v>48.27</v>
      </c>
      <c r="K276" s="126">
        <v>7.0000000000000001E-3</v>
      </c>
      <c r="L276" s="126">
        <v>2</v>
      </c>
      <c r="M276" s="126">
        <v>0.1</v>
      </c>
      <c r="N276" s="126">
        <v>0.30499999999999999</v>
      </c>
      <c r="O276" s="126">
        <v>0.6</v>
      </c>
      <c r="P276" s="126">
        <v>0.88500000000000001</v>
      </c>
      <c r="Q276" s="126">
        <v>0.8</v>
      </c>
      <c r="R276" s="126">
        <v>0</v>
      </c>
      <c r="S276" s="126">
        <v>0</v>
      </c>
      <c r="T276" s="126">
        <v>0</v>
      </c>
      <c r="U276" s="126">
        <v>0</v>
      </c>
      <c r="V276" s="126">
        <v>0</v>
      </c>
      <c r="W276" s="126">
        <v>0</v>
      </c>
      <c r="X276" s="126">
        <v>0</v>
      </c>
      <c r="Y276" s="126">
        <v>0</v>
      </c>
      <c r="Z276" s="142">
        <v>0</v>
      </c>
      <c r="AA276" s="126">
        <v>0</v>
      </c>
      <c r="AB276" s="126">
        <v>0</v>
      </c>
      <c r="AC276" s="126">
        <v>0</v>
      </c>
      <c r="AD276" s="126">
        <v>0</v>
      </c>
      <c r="AE276" s="126">
        <v>0</v>
      </c>
      <c r="AF276" s="126">
        <v>0.15</v>
      </c>
      <c r="AG276" t="s">
        <v>1858</v>
      </c>
    </row>
    <row r="277" spans="1:33" x14ac:dyDescent="0.3">
      <c r="A277">
        <v>345</v>
      </c>
      <c r="B277" t="s">
        <v>297</v>
      </c>
      <c r="C277" t="s">
        <v>187</v>
      </c>
      <c r="D277">
        <v>18643</v>
      </c>
      <c r="E277">
        <v>20507</v>
      </c>
      <c r="F277">
        <v>210</v>
      </c>
      <c r="G277">
        <v>6000</v>
      </c>
      <c r="H277">
        <v>130</v>
      </c>
      <c r="I277">
        <v>0.3</v>
      </c>
      <c r="J277" s="28">
        <v>48.27</v>
      </c>
      <c r="K277" s="126">
        <v>7.0000000000000001E-3</v>
      </c>
      <c r="L277" s="126">
        <v>2</v>
      </c>
      <c r="M277" s="126">
        <v>0.1</v>
      </c>
      <c r="N277" s="126">
        <v>0.30499999999999999</v>
      </c>
      <c r="O277" s="126">
        <v>0.6</v>
      </c>
      <c r="P277" s="126">
        <v>0.88500000000000001</v>
      </c>
      <c r="Q277" s="126">
        <v>0.8</v>
      </c>
      <c r="R277" s="126">
        <v>0</v>
      </c>
      <c r="S277" s="126">
        <v>0</v>
      </c>
      <c r="T277" s="126">
        <v>0</v>
      </c>
      <c r="U277" s="126">
        <v>0</v>
      </c>
      <c r="V277" s="126">
        <v>0</v>
      </c>
      <c r="W277" s="126">
        <v>0</v>
      </c>
      <c r="X277" s="126">
        <v>0</v>
      </c>
      <c r="Y277" s="126">
        <v>0</v>
      </c>
      <c r="Z277" s="142">
        <v>0</v>
      </c>
      <c r="AA277" s="126">
        <v>0</v>
      </c>
      <c r="AB277" s="126">
        <v>0</v>
      </c>
      <c r="AC277" s="126">
        <v>0</v>
      </c>
      <c r="AD277" s="126">
        <v>0</v>
      </c>
      <c r="AE277" s="126">
        <v>0</v>
      </c>
      <c r="AF277" s="126">
        <v>0.15</v>
      </c>
      <c r="AG277" t="s">
        <v>1859</v>
      </c>
    </row>
    <row r="278" spans="1:33" x14ac:dyDescent="0.3">
      <c r="A278">
        <v>346</v>
      </c>
      <c r="B278" t="s">
        <v>298</v>
      </c>
      <c r="C278" t="s">
        <v>187</v>
      </c>
      <c r="D278">
        <v>105944</v>
      </c>
      <c r="E278">
        <v>116538</v>
      </c>
      <c r="F278">
        <v>350</v>
      </c>
      <c r="G278">
        <v>6000</v>
      </c>
      <c r="H278">
        <v>224</v>
      </c>
      <c r="I278">
        <v>0.3</v>
      </c>
      <c r="J278" s="28">
        <v>72.400000000000006</v>
      </c>
      <c r="K278" s="126">
        <v>7.0000000000000001E-3</v>
      </c>
      <c r="L278" s="126">
        <v>2</v>
      </c>
      <c r="M278" s="126">
        <v>0.1</v>
      </c>
      <c r="N278" s="126">
        <v>0.223</v>
      </c>
      <c r="O278" s="126">
        <v>0.6</v>
      </c>
      <c r="P278" s="126">
        <v>0.88500000000000001</v>
      </c>
      <c r="Q278" s="126">
        <v>0.8</v>
      </c>
      <c r="R278" s="126">
        <v>0</v>
      </c>
      <c r="S278" s="126">
        <v>0</v>
      </c>
      <c r="T278" s="126">
        <v>0</v>
      </c>
      <c r="U278" s="126">
        <v>0</v>
      </c>
      <c r="V278" s="126">
        <v>0</v>
      </c>
      <c r="W278" s="126">
        <v>0</v>
      </c>
      <c r="X278" s="126">
        <v>0</v>
      </c>
      <c r="Y278" s="126">
        <v>0</v>
      </c>
      <c r="Z278" s="142">
        <v>12</v>
      </c>
      <c r="AA278" s="126">
        <v>0</v>
      </c>
      <c r="AB278" s="126">
        <v>0</v>
      </c>
      <c r="AC278" s="126">
        <v>0</v>
      </c>
      <c r="AD278" s="126">
        <v>0</v>
      </c>
      <c r="AE278" s="126">
        <v>0</v>
      </c>
      <c r="AF278" s="126">
        <v>0.15</v>
      </c>
      <c r="AG278" t="s">
        <v>3102</v>
      </c>
    </row>
    <row r="279" spans="1:33" x14ac:dyDescent="0.3">
      <c r="A279">
        <v>349</v>
      </c>
      <c r="B279" t="s">
        <v>3103</v>
      </c>
      <c r="C279" t="s">
        <v>187</v>
      </c>
      <c r="D279">
        <v>24579</v>
      </c>
      <c r="E279">
        <v>27037</v>
      </c>
      <c r="F279">
        <v>125</v>
      </c>
      <c r="G279">
        <v>6000</v>
      </c>
      <c r="H279">
        <v>149</v>
      </c>
      <c r="I279">
        <v>0.3</v>
      </c>
      <c r="J279" s="28">
        <v>40.22</v>
      </c>
      <c r="K279" s="126">
        <v>7.0000000000000001E-3</v>
      </c>
      <c r="L279" s="126">
        <v>2</v>
      </c>
      <c r="M279" s="126">
        <v>0.1</v>
      </c>
      <c r="N279" s="126">
        <v>0.223</v>
      </c>
      <c r="O279" s="126">
        <v>0.6</v>
      </c>
      <c r="P279" s="126">
        <v>0.88500000000000001</v>
      </c>
      <c r="Q279" s="126">
        <v>0.8</v>
      </c>
      <c r="R279" s="126">
        <v>0</v>
      </c>
      <c r="S279" s="126">
        <v>0</v>
      </c>
      <c r="T279" s="126">
        <v>0</v>
      </c>
      <c r="U279" s="126">
        <v>0</v>
      </c>
      <c r="V279" s="126">
        <v>0</v>
      </c>
      <c r="W279" s="126">
        <v>0</v>
      </c>
      <c r="X279" s="126">
        <v>0</v>
      </c>
      <c r="Y279" s="126">
        <v>0</v>
      </c>
      <c r="Z279" s="142">
        <v>12</v>
      </c>
      <c r="AA279" s="126">
        <v>0</v>
      </c>
      <c r="AB279" s="126">
        <v>0</v>
      </c>
      <c r="AC279" s="126">
        <v>0</v>
      </c>
      <c r="AD279" s="126">
        <v>0</v>
      </c>
      <c r="AE279" s="126">
        <v>0</v>
      </c>
      <c r="AF279" s="126">
        <v>0.15</v>
      </c>
      <c r="AG279" t="s">
        <v>3104</v>
      </c>
    </row>
    <row r="280" spans="1:33" x14ac:dyDescent="0.3">
      <c r="A280">
        <v>350</v>
      </c>
      <c r="B280" t="s">
        <v>280</v>
      </c>
      <c r="C280" t="s">
        <v>187</v>
      </c>
      <c r="D280">
        <v>13810</v>
      </c>
      <c r="E280">
        <v>15191</v>
      </c>
      <c r="F280">
        <v>100</v>
      </c>
      <c r="G280">
        <v>2500</v>
      </c>
      <c r="H280">
        <v>0</v>
      </c>
      <c r="I280">
        <v>2.7</v>
      </c>
      <c r="J280" s="28">
        <v>9.65</v>
      </c>
      <c r="K280" s="126">
        <v>0.18</v>
      </c>
      <c r="L280" s="126">
        <v>1.6</v>
      </c>
      <c r="M280" s="126">
        <v>0.1</v>
      </c>
      <c r="N280" s="126">
        <v>0</v>
      </c>
      <c r="O280" s="126">
        <v>0.6</v>
      </c>
      <c r="P280" s="126">
        <v>0.88500000000000001</v>
      </c>
      <c r="Q280" s="126">
        <v>0.8</v>
      </c>
      <c r="R280" s="126">
        <v>0</v>
      </c>
      <c r="S280" s="126">
        <v>0</v>
      </c>
      <c r="T280" s="126">
        <v>0</v>
      </c>
      <c r="U280" s="126">
        <v>-50</v>
      </c>
      <c r="V280" s="126">
        <v>0</v>
      </c>
      <c r="W280" s="126">
        <v>0</v>
      </c>
      <c r="X280" s="126">
        <v>0</v>
      </c>
      <c r="Y280" s="126">
        <v>0</v>
      </c>
      <c r="Z280" s="142">
        <v>22</v>
      </c>
      <c r="AA280" s="126">
        <v>0.9</v>
      </c>
      <c r="AB280" s="126">
        <v>0.3</v>
      </c>
      <c r="AC280" s="126">
        <v>0</v>
      </c>
      <c r="AD280" s="126">
        <v>0</v>
      </c>
      <c r="AE280" s="126">
        <v>0</v>
      </c>
      <c r="AF280" s="126">
        <v>0.15</v>
      </c>
      <c r="AG280" t="s">
        <v>1860</v>
      </c>
    </row>
    <row r="281" spans="1:33" x14ac:dyDescent="0.3">
      <c r="A281">
        <v>351</v>
      </c>
      <c r="B281" t="s">
        <v>278</v>
      </c>
      <c r="C281" t="s">
        <v>187</v>
      </c>
      <c r="D281">
        <v>13810</v>
      </c>
      <c r="E281">
        <v>15191</v>
      </c>
      <c r="F281">
        <v>100</v>
      </c>
      <c r="G281">
        <v>2500</v>
      </c>
      <c r="H281">
        <v>0</v>
      </c>
      <c r="I281">
        <v>2.7</v>
      </c>
      <c r="J281" s="28">
        <v>9.65</v>
      </c>
      <c r="K281" s="126">
        <v>0.18</v>
      </c>
      <c r="L281" s="126">
        <v>1.6</v>
      </c>
      <c r="M281" s="126">
        <v>0.1</v>
      </c>
      <c r="N281" s="126">
        <v>0</v>
      </c>
      <c r="O281" s="126">
        <v>0.6</v>
      </c>
      <c r="P281" s="126">
        <v>0.88500000000000001</v>
      </c>
      <c r="Q281" s="126">
        <v>0.8</v>
      </c>
      <c r="R281" s="126">
        <v>0</v>
      </c>
      <c r="S281" s="126">
        <v>0</v>
      </c>
      <c r="T281" s="126">
        <v>0</v>
      </c>
      <c r="U281" s="126">
        <v>-50</v>
      </c>
      <c r="V281" s="126">
        <v>0</v>
      </c>
      <c r="W281" s="126">
        <v>0</v>
      </c>
      <c r="X281" s="126">
        <v>0</v>
      </c>
      <c r="Y281" s="126">
        <v>0</v>
      </c>
      <c r="Z281" s="142">
        <v>0</v>
      </c>
      <c r="AA281" s="126">
        <v>0.9</v>
      </c>
      <c r="AB281" s="126">
        <v>0.3</v>
      </c>
      <c r="AC281" s="126">
        <v>0</v>
      </c>
      <c r="AD281" s="126">
        <v>0</v>
      </c>
      <c r="AE281" s="126">
        <v>0</v>
      </c>
      <c r="AF281" s="126">
        <v>0.15</v>
      </c>
      <c r="AG281" t="s">
        <v>1861</v>
      </c>
    </row>
    <row r="282" spans="1:33" x14ac:dyDescent="0.3">
      <c r="A282">
        <v>352</v>
      </c>
      <c r="B282" t="s">
        <v>299</v>
      </c>
      <c r="C282" t="s">
        <v>187</v>
      </c>
      <c r="D282">
        <v>44280</v>
      </c>
      <c r="E282">
        <v>48708</v>
      </c>
      <c r="F282">
        <v>185</v>
      </c>
      <c r="G282">
        <v>6000</v>
      </c>
      <c r="H282">
        <v>149</v>
      </c>
      <c r="I282">
        <v>0.3</v>
      </c>
      <c r="J282" s="28">
        <v>40.22</v>
      </c>
      <c r="K282" s="126">
        <v>7.0000000000000001E-3</v>
      </c>
      <c r="L282" s="126">
        <v>2</v>
      </c>
      <c r="M282" s="126">
        <v>0.1</v>
      </c>
      <c r="N282" s="126">
        <v>0.223</v>
      </c>
      <c r="O282" s="126">
        <v>0.6</v>
      </c>
      <c r="P282" s="126">
        <v>0.88500000000000001</v>
      </c>
      <c r="Q282" s="126">
        <v>0.8</v>
      </c>
      <c r="R282" s="126">
        <v>0</v>
      </c>
      <c r="S282" s="126">
        <v>0</v>
      </c>
      <c r="T282" s="126">
        <v>0</v>
      </c>
      <c r="U282" s="126">
        <v>0</v>
      </c>
      <c r="V282" s="126">
        <v>0</v>
      </c>
      <c r="W282" s="126">
        <v>0</v>
      </c>
      <c r="X282" s="126">
        <v>0</v>
      </c>
      <c r="Y282" s="126">
        <v>0</v>
      </c>
      <c r="Z282" s="142">
        <v>12</v>
      </c>
      <c r="AA282" s="126">
        <v>0</v>
      </c>
      <c r="AB282" s="126">
        <v>0</v>
      </c>
      <c r="AC282" s="126">
        <v>0</v>
      </c>
      <c r="AD282" s="126">
        <v>0</v>
      </c>
      <c r="AE282" s="126">
        <v>0</v>
      </c>
      <c r="AF282" s="126">
        <v>0.15</v>
      </c>
      <c r="AG282" t="s">
        <v>3105</v>
      </c>
    </row>
    <row r="283" spans="1:33" x14ac:dyDescent="0.3">
      <c r="A283">
        <v>355</v>
      </c>
      <c r="B283" t="s">
        <v>300</v>
      </c>
      <c r="C283" t="s">
        <v>199</v>
      </c>
      <c r="D283">
        <v>50200</v>
      </c>
      <c r="E283">
        <v>55220</v>
      </c>
      <c r="F283">
        <v>100</v>
      </c>
      <c r="G283">
        <v>2000</v>
      </c>
      <c r="H283">
        <v>0</v>
      </c>
      <c r="I283">
        <v>6.7</v>
      </c>
      <c r="J283" s="28">
        <v>4.83</v>
      </c>
      <c r="K283" s="126">
        <v>0.04</v>
      </c>
      <c r="L283" s="126">
        <v>2.1</v>
      </c>
      <c r="M283" s="126">
        <v>0.1</v>
      </c>
      <c r="N283" s="126">
        <v>0</v>
      </c>
      <c r="O283" s="126">
        <v>0.64</v>
      </c>
      <c r="P283" s="126">
        <v>0.88500000000000001</v>
      </c>
      <c r="Q283" s="126">
        <v>0.75</v>
      </c>
      <c r="R283" s="126">
        <v>0</v>
      </c>
      <c r="S283" s="126">
        <v>0</v>
      </c>
      <c r="T283" s="126">
        <v>0</v>
      </c>
      <c r="U283" s="126">
        <v>-50</v>
      </c>
      <c r="V283" s="126">
        <v>0</v>
      </c>
      <c r="W283" s="126">
        <v>0</v>
      </c>
      <c r="X283" s="126">
        <v>0</v>
      </c>
      <c r="Y283" s="126">
        <v>0</v>
      </c>
      <c r="Z283" s="142">
        <v>2</v>
      </c>
      <c r="AA283" s="126">
        <v>0.95</v>
      </c>
      <c r="AB283" s="126">
        <v>0</v>
      </c>
      <c r="AC283" s="126">
        <v>0</v>
      </c>
      <c r="AD283" s="126">
        <v>0</v>
      </c>
      <c r="AE283" s="126">
        <v>6.47</v>
      </c>
      <c r="AF283" s="126">
        <v>0.15</v>
      </c>
      <c r="AG283" t="s">
        <v>2482</v>
      </c>
    </row>
    <row r="284" spans="1:33" x14ac:dyDescent="0.3">
      <c r="A284">
        <v>356</v>
      </c>
      <c r="B284" t="s">
        <v>301</v>
      </c>
      <c r="C284" t="s">
        <v>199</v>
      </c>
      <c r="D284">
        <v>16053</v>
      </c>
      <c r="E284">
        <v>17658</v>
      </c>
      <c r="F284">
        <v>100</v>
      </c>
      <c r="G284">
        <v>2500</v>
      </c>
      <c r="H284">
        <v>0</v>
      </c>
      <c r="I284">
        <v>4.0999999999999996</v>
      </c>
      <c r="J284" s="28">
        <v>7.24</v>
      </c>
      <c r="K284" s="126">
        <v>0.18</v>
      </c>
      <c r="L284" s="126">
        <v>1.7</v>
      </c>
      <c r="M284" s="126">
        <v>0</v>
      </c>
      <c r="N284" s="126">
        <v>0</v>
      </c>
      <c r="O284" s="126">
        <v>0.6</v>
      </c>
      <c r="P284" s="126">
        <v>0.88500000000000001</v>
      </c>
      <c r="Q284" s="126">
        <v>0.75</v>
      </c>
      <c r="R284" s="126">
        <v>0</v>
      </c>
      <c r="S284" s="126">
        <v>0.7</v>
      </c>
      <c r="T284" s="126">
        <v>50</v>
      </c>
      <c r="U284" s="126">
        <v>100</v>
      </c>
      <c r="V284" s="126">
        <v>0</v>
      </c>
      <c r="W284" s="126">
        <v>0</v>
      </c>
      <c r="X284" s="126">
        <v>0</v>
      </c>
      <c r="Y284" s="126">
        <v>0</v>
      </c>
      <c r="Z284" s="142">
        <v>0</v>
      </c>
      <c r="AA284" s="126">
        <v>0</v>
      </c>
      <c r="AB284" s="126">
        <v>0</v>
      </c>
      <c r="AC284" s="126">
        <v>0</v>
      </c>
      <c r="AD284" s="126">
        <v>0</v>
      </c>
      <c r="AE284" s="126">
        <v>0</v>
      </c>
      <c r="AF284" s="126">
        <v>32</v>
      </c>
      <c r="AG284" t="s">
        <v>2448</v>
      </c>
    </row>
    <row r="285" spans="1:33" x14ac:dyDescent="0.3">
      <c r="A285">
        <v>358</v>
      </c>
      <c r="B285" t="s">
        <v>3106</v>
      </c>
      <c r="C285" t="s">
        <v>187</v>
      </c>
      <c r="D285">
        <v>8470</v>
      </c>
      <c r="E285">
        <v>9317</v>
      </c>
      <c r="F285">
        <v>100</v>
      </c>
      <c r="G285">
        <v>6000</v>
      </c>
      <c r="H285">
        <v>0</v>
      </c>
      <c r="I285">
        <v>9.1</v>
      </c>
      <c r="J285" s="28">
        <v>5.63</v>
      </c>
      <c r="K285" s="126">
        <v>7.0000000000000001E-3</v>
      </c>
      <c r="L285" s="126">
        <v>2</v>
      </c>
      <c r="M285" s="126">
        <v>0.1</v>
      </c>
      <c r="N285" s="126">
        <v>0</v>
      </c>
      <c r="O285" s="126">
        <v>0.6</v>
      </c>
      <c r="P285" s="126">
        <v>0.88500000000000001</v>
      </c>
      <c r="Q285" s="126">
        <v>0.8</v>
      </c>
      <c r="R285" s="126">
        <v>0</v>
      </c>
      <c r="S285" s="126">
        <v>0</v>
      </c>
      <c r="T285" s="126">
        <v>0</v>
      </c>
      <c r="U285" s="126">
        <v>0</v>
      </c>
      <c r="V285" s="126">
        <v>0</v>
      </c>
      <c r="W285" s="126">
        <v>0</v>
      </c>
      <c r="X285" s="126">
        <v>0</v>
      </c>
      <c r="Y285" s="126">
        <v>0</v>
      </c>
      <c r="Z285" s="142">
        <v>12</v>
      </c>
      <c r="AA285" s="126">
        <v>0</v>
      </c>
      <c r="AB285" s="126">
        <v>0</v>
      </c>
      <c r="AC285" s="126">
        <v>0</v>
      </c>
      <c r="AD285" s="126">
        <v>0</v>
      </c>
      <c r="AE285" s="126">
        <v>0</v>
      </c>
      <c r="AF285" s="126">
        <v>0</v>
      </c>
      <c r="AG285" t="s">
        <v>3107</v>
      </c>
    </row>
    <row r="286" spans="1:33" x14ac:dyDescent="0.3">
      <c r="A286">
        <v>359</v>
      </c>
      <c r="B286" t="s">
        <v>302</v>
      </c>
      <c r="C286" t="s">
        <v>187</v>
      </c>
      <c r="D286">
        <v>139181</v>
      </c>
      <c r="E286">
        <v>153099</v>
      </c>
      <c r="F286">
        <v>50</v>
      </c>
      <c r="G286">
        <v>6000</v>
      </c>
      <c r="H286">
        <v>75</v>
      </c>
      <c r="I286">
        <v>2.1</v>
      </c>
      <c r="J286" s="28">
        <v>16.09</v>
      </c>
      <c r="K286" s="126">
        <v>7.0000000000000001E-3</v>
      </c>
      <c r="L286" s="126">
        <v>2</v>
      </c>
      <c r="M286" s="126">
        <v>0.1</v>
      </c>
      <c r="N286" s="126">
        <v>0.223</v>
      </c>
      <c r="O286" s="126">
        <v>0.6</v>
      </c>
      <c r="P286" s="126">
        <v>0.88500000000000001</v>
      </c>
      <c r="Q286" s="126">
        <v>0.85</v>
      </c>
      <c r="R286" s="126">
        <v>0</v>
      </c>
      <c r="S286" s="126">
        <v>0.1</v>
      </c>
      <c r="T286" s="126">
        <v>13</v>
      </c>
      <c r="U286" s="126">
        <v>5</v>
      </c>
      <c r="V286" s="126">
        <v>0</v>
      </c>
      <c r="W286" s="126">
        <v>0</v>
      </c>
      <c r="X286" s="126">
        <v>0</v>
      </c>
      <c r="Y286" s="126">
        <v>0</v>
      </c>
      <c r="Z286" s="142">
        <v>0</v>
      </c>
      <c r="AA286" s="126">
        <v>0</v>
      </c>
      <c r="AB286" s="126">
        <v>0</v>
      </c>
      <c r="AC286" s="126">
        <v>0</v>
      </c>
      <c r="AD286" s="126">
        <v>0</v>
      </c>
      <c r="AE286" s="126">
        <v>3</v>
      </c>
      <c r="AF286" s="126">
        <v>0</v>
      </c>
      <c r="AG286" t="s">
        <v>302</v>
      </c>
    </row>
    <row r="287" spans="1:33" x14ac:dyDescent="0.3">
      <c r="A287">
        <v>360</v>
      </c>
      <c r="B287" t="s">
        <v>3108</v>
      </c>
      <c r="C287" t="s">
        <v>199</v>
      </c>
      <c r="D287">
        <v>4989</v>
      </c>
      <c r="E287">
        <v>5488</v>
      </c>
      <c r="F287">
        <v>100</v>
      </c>
      <c r="G287">
        <v>2500</v>
      </c>
      <c r="H287">
        <v>0</v>
      </c>
      <c r="I287">
        <v>2.1</v>
      </c>
      <c r="J287" s="28">
        <v>6.44</v>
      </c>
      <c r="K287" s="126">
        <v>0.04</v>
      </c>
      <c r="L287" s="126">
        <v>2.1</v>
      </c>
      <c r="M287" s="126">
        <v>0.1</v>
      </c>
      <c r="N287" s="126">
        <v>0</v>
      </c>
      <c r="O287" s="126">
        <v>0.6</v>
      </c>
      <c r="P287" s="126">
        <v>0.88500000000000001</v>
      </c>
      <c r="Q287" s="126">
        <v>0.8</v>
      </c>
      <c r="R287" s="126">
        <v>0</v>
      </c>
      <c r="S287" s="126">
        <v>0</v>
      </c>
      <c r="T287" s="126">
        <v>0</v>
      </c>
      <c r="U287" s="126">
        <v>0</v>
      </c>
      <c r="V287" s="126">
        <v>0</v>
      </c>
      <c r="W287" s="126">
        <v>0</v>
      </c>
      <c r="X287" s="126">
        <v>0</v>
      </c>
      <c r="Y287" s="126">
        <v>0</v>
      </c>
      <c r="Z287" s="142">
        <v>0</v>
      </c>
      <c r="AA287" s="126">
        <v>0</v>
      </c>
      <c r="AB287" s="126">
        <v>0</v>
      </c>
      <c r="AC287" s="126">
        <v>0</v>
      </c>
      <c r="AD287" s="126">
        <v>0</v>
      </c>
      <c r="AE287" s="126">
        <v>0</v>
      </c>
      <c r="AF287" s="126">
        <v>0.15</v>
      </c>
      <c r="AG287" t="s">
        <v>3109</v>
      </c>
    </row>
    <row r="288" spans="1:33" x14ac:dyDescent="0.3">
      <c r="A288">
        <v>361</v>
      </c>
      <c r="B288" t="s">
        <v>3110</v>
      </c>
      <c r="C288" t="s">
        <v>199</v>
      </c>
      <c r="D288">
        <v>3663</v>
      </c>
      <c r="E288">
        <v>4030</v>
      </c>
      <c r="F288">
        <v>100</v>
      </c>
      <c r="G288">
        <v>2500</v>
      </c>
      <c r="H288">
        <v>0</v>
      </c>
      <c r="I288">
        <v>2.1</v>
      </c>
      <c r="J288" s="28">
        <v>6.44</v>
      </c>
      <c r="K288" s="126">
        <v>0.17</v>
      </c>
      <c r="L288" s="126">
        <v>2.2000000000000002</v>
      </c>
      <c r="M288" s="126">
        <v>0.1</v>
      </c>
      <c r="N288" s="126">
        <v>0</v>
      </c>
      <c r="O288" s="126">
        <v>0.6</v>
      </c>
      <c r="P288" s="126">
        <v>0.88500000000000001</v>
      </c>
      <c r="Q288" s="126">
        <v>0.8</v>
      </c>
      <c r="R288" s="126">
        <v>0</v>
      </c>
      <c r="S288" s="126">
        <v>0</v>
      </c>
      <c r="T288" s="126">
        <v>0</v>
      </c>
      <c r="U288" s="126">
        <v>-50</v>
      </c>
      <c r="V288" s="126">
        <v>0</v>
      </c>
      <c r="W288" s="126">
        <v>0</v>
      </c>
      <c r="X288" s="126">
        <v>0</v>
      </c>
      <c r="Y288" s="126">
        <v>0</v>
      </c>
      <c r="Z288" s="142">
        <v>0</v>
      </c>
      <c r="AA288" s="126">
        <v>0</v>
      </c>
      <c r="AB288" s="126">
        <v>0</v>
      </c>
      <c r="AC288" s="126">
        <v>0</v>
      </c>
      <c r="AD288" s="126">
        <v>0</v>
      </c>
      <c r="AE288" s="126">
        <v>0</v>
      </c>
      <c r="AF288" s="126">
        <v>2.9249999999999998</v>
      </c>
      <c r="AG288" t="s">
        <v>3111</v>
      </c>
    </row>
    <row r="289" spans="1:33" x14ac:dyDescent="0.3">
      <c r="A289">
        <v>362</v>
      </c>
      <c r="B289" t="s">
        <v>303</v>
      </c>
      <c r="C289" t="s">
        <v>199</v>
      </c>
      <c r="D289">
        <v>7634</v>
      </c>
      <c r="E289">
        <v>8398</v>
      </c>
      <c r="F289">
        <v>50</v>
      </c>
      <c r="G289">
        <v>2500</v>
      </c>
      <c r="H289">
        <v>0</v>
      </c>
      <c r="I289">
        <v>4.9000000000000004</v>
      </c>
      <c r="J289" s="28">
        <v>7.24</v>
      </c>
      <c r="K289" s="126">
        <v>0.28000000000000003</v>
      </c>
      <c r="L289" s="126">
        <v>1.4</v>
      </c>
      <c r="M289" s="126">
        <v>0.1</v>
      </c>
      <c r="N289" s="126">
        <v>0</v>
      </c>
      <c r="O289" s="126">
        <v>0.6</v>
      </c>
      <c r="P289" s="126">
        <v>0.88500000000000001</v>
      </c>
      <c r="Q289" s="126">
        <v>0.8</v>
      </c>
      <c r="R289" s="126">
        <v>0</v>
      </c>
      <c r="S289" s="126">
        <v>0</v>
      </c>
      <c r="T289" s="126">
        <v>0</v>
      </c>
      <c r="U289" s="126">
        <v>-50</v>
      </c>
      <c r="V289" s="126">
        <v>0</v>
      </c>
      <c r="W289" s="126">
        <v>0</v>
      </c>
      <c r="X289" s="126">
        <v>0</v>
      </c>
      <c r="Y289" s="126">
        <v>0</v>
      </c>
      <c r="Z289" s="142">
        <v>0</v>
      </c>
      <c r="AA289" s="126">
        <v>0</v>
      </c>
      <c r="AB289" s="126">
        <v>0</v>
      </c>
      <c r="AC289" s="126">
        <v>0</v>
      </c>
      <c r="AD289" s="126">
        <v>0</v>
      </c>
      <c r="AE289" s="126">
        <v>0</v>
      </c>
      <c r="AF289" s="126">
        <v>0.15</v>
      </c>
      <c r="AG289" t="s">
        <v>2483</v>
      </c>
    </row>
    <row r="290" spans="1:33" x14ac:dyDescent="0.3">
      <c r="A290">
        <v>363</v>
      </c>
      <c r="B290" t="s">
        <v>3112</v>
      </c>
      <c r="C290" t="s">
        <v>199</v>
      </c>
      <c r="D290">
        <v>7634</v>
      </c>
      <c r="E290">
        <v>8398</v>
      </c>
      <c r="F290">
        <v>50</v>
      </c>
      <c r="G290">
        <v>2500</v>
      </c>
      <c r="H290">
        <v>0</v>
      </c>
      <c r="I290">
        <v>4.9000000000000004</v>
      </c>
      <c r="J290" s="28">
        <v>7.24</v>
      </c>
      <c r="K290" s="126">
        <v>0.11</v>
      </c>
      <c r="L290" s="126">
        <v>1.8</v>
      </c>
      <c r="M290" s="126">
        <v>0.1</v>
      </c>
      <c r="N290" s="126">
        <v>0</v>
      </c>
      <c r="O290" s="126">
        <v>0.6</v>
      </c>
      <c r="P290" s="126">
        <v>0.88500000000000001</v>
      </c>
      <c r="Q290" s="126">
        <v>0.8</v>
      </c>
      <c r="R290" s="126">
        <v>0</v>
      </c>
      <c r="S290" s="126">
        <v>0</v>
      </c>
      <c r="T290" s="126">
        <v>0</v>
      </c>
      <c r="U290" s="126">
        <v>-50</v>
      </c>
      <c r="V290" s="126">
        <v>0</v>
      </c>
      <c r="W290" s="126">
        <v>0</v>
      </c>
      <c r="X290" s="126">
        <v>0</v>
      </c>
      <c r="Y290" s="126">
        <v>0</v>
      </c>
      <c r="Z290" s="142">
        <v>0</v>
      </c>
      <c r="AA290" s="126">
        <v>0</v>
      </c>
      <c r="AB290" s="126">
        <v>0</v>
      </c>
      <c r="AC290" s="126">
        <v>0</v>
      </c>
      <c r="AD290" s="126">
        <v>0</v>
      </c>
      <c r="AE290" s="126">
        <v>0</v>
      </c>
      <c r="AF290" s="126">
        <v>0.15</v>
      </c>
      <c r="AG290" t="s">
        <v>3113</v>
      </c>
    </row>
    <row r="291" spans="1:33" x14ac:dyDescent="0.3">
      <c r="A291">
        <v>364</v>
      </c>
      <c r="B291" t="s">
        <v>3114</v>
      </c>
      <c r="C291" t="s">
        <v>199</v>
      </c>
      <c r="D291">
        <v>12882</v>
      </c>
      <c r="E291">
        <v>14170</v>
      </c>
      <c r="F291">
        <v>100</v>
      </c>
      <c r="G291">
        <v>2500</v>
      </c>
      <c r="H291">
        <v>0</v>
      </c>
      <c r="I291">
        <v>2.1</v>
      </c>
      <c r="J291" s="28">
        <v>6.44</v>
      </c>
      <c r="K291" s="126">
        <v>0.28999999999999998</v>
      </c>
      <c r="L291" s="126">
        <v>1.8</v>
      </c>
      <c r="M291" s="126">
        <v>0.1</v>
      </c>
      <c r="N291" s="126">
        <v>0</v>
      </c>
      <c r="O291" s="126">
        <v>0.6</v>
      </c>
      <c r="P291" s="126">
        <v>0.88500000000000001</v>
      </c>
      <c r="Q291" s="126">
        <v>0.8</v>
      </c>
      <c r="R291" s="126">
        <v>0</v>
      </c>
      <c r="S291" s="126">
        <v>0.25</v>
      </c>
      <c r="T291" s="126">
        <v>0.13</v>
      </c>
      <c r="U291" s="126">
        <v>0</v>
      </c>
      <c r="V291" s="126">
        <v>0</v>
      </c>
      <c r="W291" s="126">
        <v>0</v>
      </c>
      <c r="X291" s="126">
        <v>0</v>
      </c>
      <c r="Y291" s="126">
        <v>0</v>
      </c>
      <c r="Z291" s="142">
        <v>0</v>
      </c>
      <c r="AA291" s="126">
        <v>0</v>
      </c>
      <c r="AB291" s="126">
        <v>0</v>
      </c>
      <c r="AC291" s="126">
        <v>0</v>
      </c>
      <c r="AD291" s="126">
        <v>0</v>
      </c>
      <c r="AE291" s="126">
        <v>0</v>
      </c>
      <c r="AF291" s="126">
        <v>9.9450000000000003</v>
      </c>
      <c r="AG291" t="s">
        <v>3115</v>
      </c>
    </row>
    <row r="292" spans="1:33" x14ac:dyDescent="0.3">
      <c r="A292">
        <v>365</v>
      </c>
      <c r="B292" t="s">
        <v>304</v>
      </c>
      <c r="C292" t="s">
        <v>199</v>
      </c>
      <c r="D292">
        <v>15504</v>
      </c>
      <c r="E292">
        <v>17054</v>
      </c>
      <c r="F292">
        <v>100</v>
      </c>
      <c r="G292">
        <v>2000</v>
      </c>
      <c r="H292">
        <v>0</v>
      </c>
      <c r="I292">
        <v>2.1</v>
      </c>
      <c r="J292" s="28">
        <v>4.83</v>
      </c>
      <c r="K292" s="126">
        <v>0.28999999999999998</v>
      </c>
      <c r="L292" s="126">
        <v>1.8</v>
      </c>
      <c r="M292" s="126">
        <v>0.1</v>
      </c>
      <c r="N292" s="126">
        <v>0</v>
      </c>
      <c r="O292" s="126">
        <v>0.6</v>
      </c>
      <c r="P292" s="126">
        <v>0.88500000000000001</v>
      </c>
      <c r="Q292" s="126">
        <v>0.8</v>
      </c>
      <c r="R292" s="126">
        <v>0</v>
      </c>
      <c r="S292" s="126">
        <v>0.25</v>
      </c>
      <c r="T292" s="126">
        <v>0.13</v>
      </c>
      <c r="U292" s="126">
        <v>0</v>
      </c>
      <c r="V292" s="126">
        <v>0</v>
      </c>
      <c r="W292" s="126">
        <v>0</v>
      </c>
      <c r="X292" s="126">
        <v>0</v>
      </c>
      <c r="Y292" s="126">
        <v>0</v>
      </c>
      <c r="Z292" s="142">
        <v>0</v>
      </c>
      <c r="AA292" s="126">
        <v>0</v>
      </c>
      <c r="AB292" s="126">
        <v>0</v>
      </c>
      <c r="AC292" s="126">
        <v>0</v>
      </c>
      <c r="AD292" s="126">
        <v>0</v>
      </c>
      <c r="AE292" s="126">
        <v>6.08</v>
      </c>
      <c r="AF292" s="126">
        <v>9.9450000000000003</v>
      </c>
      <c r="AG292" t="s">
        <v>1862</v>
      </c>
    </row>
    <row r="293" spans="1:33" x14ac:dyDescent="0.3">
      <c r="A293">
        <v>367</v>
      </c>
      <c r="B293" t="s">
        <v>3116</v>
      </c>
      <c r="C293" t="s">
        <v>199</v>
      </c>
      <c r="D293">
        <v>859</v>
      </c>
      <c r="E293">
        <v>945</v>
      </c>
      <c r="F293">
        <v>50</v>
      </c>
      <c r="G293">
        <v>2000</v>
      </c>
      <c r="H293">
        <v>0</v>
      </c>
      <c r="I293">
        <v>2.1</v>
      </c>
      <c r="J293" s="28">
        <v>4.0199999999999996</v>
      </c>
      <c r="K293" s="126">
        <v>0.41</v>
      </c>
      <c r="L293" s="126">
        <v>1.3</v>
      </c>
      <c r="M293" s="126">
        <v>0.1</v>
      </c>
      <c r="N293" s="126">
        <v>0</v>
      </c>
      <c r="O293" s="126">
        <v>0.64</v>
      </c>
      <c r="P293" s="126">
        <v>0.88500000000000001</v>
      </c>
      <c r="Q293" s="126">
        <v>0.74</v>
      </c>
      <c r="R293" s="126">
        <v>0</v>
      </c>
      <c r="S293" s="126">
        <v>0</v>
      </c>
      <c r="T293" s="126">
        <v>0</v>
      </c>
      <c r="U293" s="126">
        <v>0</v>
      </c>
      <c r="V293" s="126">
        <v>0</v>
      </c>
      <c r="W293" s="126">
        <v>0</v>
      </c>
      <c r="X293" s="126">
        <v>0</v>
      </c>
      <c r="Y293" s="126">
        <v>0</v>
      </c>
      <c r="Z293" s="142">
        <v>0</v>
      </c>
      <c r="AA293" s="126">
        <v>0</v>
      </c>
      <c r="AB293" s="126">
        <v>0</v>
      </c>
      <c r="AC293" s="126">
        <v>0</v>
      </c>
      <c r="AD293" s="126">
        <v>0</v>
      </c>
      <c r="AE293" s="126">
        <v>0</v>
      </c>
      <c r="AF293" s="126">
        <v>0.15</v>
      </c>
      <c r="AG293" t="s">
        <v>3117</v>
      </c>
    </row>
    <row r="294" spans="1:33" x14ac:dyDescent="0.3">
      <c r="A294">
        <v>368</v>
      </c>
      <c r="B294" t="s">
        <v>305</v>
      </c>
      <c r="C294" t="s">
        <v>187</v>
      </c>
      <c r="D294">
        <v>8539</v>
      </c>
      <c r="E294">
        <v>9393</v>
      </c>
      <c r="F294">
        <v>100</v>
      </c>
      <c r="G294">
        <v>6000</v>
      </c>
      <c r="H294">
        <v>75</v>
      </c>
      <c r="I294">
        <v>1.8</v>
      </c>
      <c r="J294" s="28">
        <v>4.83</v>
      </c>
      <c r="K294" s="126">
        <v>7.0000000000000001E-3</v>
      </c>
      <c r="L294" s="126">
        <v>2</v>
      </c>
      <c r="M294" s="126">
        <v>0.1</v>
      </c>
      <c r="N294" s="126">
        <v>0.223</v>
      </c>
      <c r="O294" s="126">
        <v>0.6</v>
      </c>
      <c r="P294" s="126">
        <v>0.88500000000000001</v>
      </c>
      <c r="Q294" s="126">
        <v>0.8</v>
      </c>
      <c r="R294" s="126">
        <v>0</v>
      </c>
      <c r="S294" s="126">
        <v>0</v>
      </c>
      <c r="T294" s="126">
        <v>0</v>
      </c>
      <c r="U294" s="126">
        <v>0</v>
      </c>
      <c r="V294" s="126">
        <v>0</v>
      </c>
      <c r="W294" s="126">
        <v>0</v>
      </c>
      <c r="X294" s="126">
        <v>0</v>
      </c>
      <c r="Y294" s="126">
        <v>0</v>
      </c>
      <c r="Z294" s="142">
        <v>0</v>
      </c>
      <c r="AA294" s="126">
        <v>0</v>
      </c>
      <c r="AB294" s="126">
        <v>0</v>
      </c>
      <c r="AC294" s="126">
        <v>0</v>
      </c>
      <c r="AD294" s="126">
        <v>0</v>
      </c>
      <c r="AE294" s="126">
        <v>0</v>
      </c>
      <c r="AF294" s="126">
        <v>0</v>
      </c>
      <c r="AG294" t="s">
        <v>1863</v>
      </c>
    </row>
    <row r="295" spans="1:33" x14ac:dyDescent="0.3">
      <c r="A295">
        <v>369</v>
      </c>
      <c r="B295" t="s">
        <v>306</v>
      </c>
      <c r="C295" t="s">
        <v>199</v>
      </c>
      <c r="D295">
        <v>2342</v>
      </c>
      <c r="E295">
        <v>2576</v>
      </c>
      <c r="F295">
        <v>100</v>
      </c>
      <c r="G295">
        <v>2500</v>
      </c>
      <c r="H295">
        <v>0</v>
      </c>
      <c r="I295">
        <v>2.4</v>
      </c>
      <c r="J295" s="28">
        <v>16.09</v>
      </c>
      <c r="K295" s="126">
        <v>0.19</v>
      </c>
      <c r="L295" s="126">
        <v>1.3</v>
      </c>
      <c r="M295" s="126">
        <v>0.1</v>
      </c>
      <c r="N295" s="126">
        <v>0</v>
      </c>
      <c r="O295" s="126">
        <v>0.6</v>
      </c>
      <c r="P295" s="126">
        <v>0.88500000000000001</v>
      </c>
      <c r="Q295" s="126">
        <v>0.82499999999999996</v>
      </c>
      <c r="R295" s="126">
        <v>0</v>
      </c>
      <c r="S295" s="126">
        <v>0</v>
      </c>
      <c r="T295" s="126">
        <v>0</v>
      </c>
      <c r="U295" s="126">
        <v>0</v>
      </c>
      <c r="V295" s="126">
        <v>0</v>
      </c>
      <c r="W295" s="126">
        <v>0</v>
      </c>
      <c r="X295" s="126">
        <v>0</v>
      </c>
      <c r="Y295" s="126">
        <v>0</v>
      </c>
      <c r="Z295" s="142">
        <v>12</v>
      </c>
      <c r="AA295" s="126">
        <v>0</v>
      </c>
      <c r="AB295" s="126">
        <v>0</v>
      </c>
      <c r="AC295" s="126">
        <v>0</v>
      </c>
      <c r="AD295" s="126">
        <v>0</v>
      </c>
      <c r="AE295" s="126">
        <v>0</v>
      </c>
      <c r="AF295" s="126">
        <v>0.15</v>
      </c>
      <c r="AG295" t="s">
        <v>2484</v>
      </c>
    </row>
    <row r="296" spans="1:33" x14ac:dyDescent="0.3">
      <c r="A296">
        <v>370</v>
      </c>
      <c r="B296" t="s">
        <v>3118</v>
      </c>
      <c r="C296" t="s">
        <v>199</v>
      </c>
      <c r="D296">
        <v>4160</v>
      </c>
      <c r="E296">
        <v>4576</v>
      </c>
      <c r="F296">
        <v>100</v>
      </c>
      <c r="G296">
        <v>2500</v>
      </c>
      <c r="H296">
        <v>0</v>
      </c>
      <c r="I296">
        <v>2.4</v>
      </c>
      <c r="J296" s="28">
        <v>16.09</v>
      </c>
      <c r="K296" s="126">
        <v>0.19</v>
      </c>
      <c r="L296" s="126">
        <v>1.3</v>
      </c>
      <c r="M296" s="126">
        <v>0.1</v>
      </c>
      <c r="N296" s="126">
        <v>0</v>
      </c>
      <c r="O296" s="126">
        <v>0.6</v>
      </c>
      <c r="P296" s="126">
        <v>0.88500000000000001</v>
      </c>
      <c r="Q296" s="126">
        <v>0.82499999999999996</v>
      </c>
      <c r="R296" s="126">
        <v>0</v>
      </c>
      <c r="S296" s="126">
        <v>0</v>
      </c>
      <c r="T296" s="126">
        <v>0</v>
      </c>
      <c r="U296" s="126">
        <v>0</v>
      </c>
      <c r="V296" s="126">
        <v>0</v>
      </c>
      <c r="W296" s="126">
        <v>0</v>
      </c>
      <c r="X296" s="126">
        <v>0</v>
      </c>
      <c r="Y296" s="126">
        <v>0</v>
      </c>
      <c r="Z296" s="142">
        <v>12</v>
      </c>
      <c r="AA296" s="126">
        <v>0</v>
      </c>
      <c r="AB296" s="126">
        <v>0</v>
      </c>
      <c r="AC296" s="126">
        <v>0</v>
      </c>
      <c r="AD296" s="126">
        <v>0</v>
      </c>
      <c r="AE296" s="126">
        <v>0</v>
      </c>
      <c r="AF296" s="126">
        <v>0.15</v>
      </c>
      <c r="AG296" t="s">
        <v>3119</v>
      </c>
    </row>
    <row r="297" spans="1:33" x14ac:dyDescent="0.3">
      <c r="A297">
        <v>371</v>
      </c>
      <c r="B297" t="s">
        <v>3120</v>
      </c>
      <c r="C297" t="s">
        <v>199</v>
      </c>
      <c r="D297">
        <v>2342</v>
      </c>
      <c r="E297">
        <v>2576</v>
      </c>
      <c r="F297">
        <v>100</v>
      </c>
      <c r="G297">
        <v>2500</v>
      </c>
      <c r="H297">
        <v>0</v>
      </c>
      <c r="I297">
        <v>2.4</v>
      </c>
      <c r="J297" s="28">
        <v>16.09</v>
      </c>
      <c r="K297" s="126">
        <v>0.19</v>
      </c>
      <c r="L297" s="126">
        <v>1.3</v>
      </c>
      <c r="M297" s="126">
        <v>0.1</v>
      </c>
      <c r="N297" s="126">
        <v>0</v>
      </c>
      <c r="O297" s="126">
        <v>0.6</v>
      </c>
      <c r="P297" s="126">
        <v>0.88500000000000001</v>
      </c>
      <c r="Q297" s="126">
        <v>0.82499999999999996</v>
      </c>
      <c r="R297" s="126">
        <v>0</v>
      </c>
      <c r="S297" s="126">
        <v>0</v>
      </c>
      <c r="T297" s="126">
        <v>0</v>
      </c>
      <c r="U297" s="126">
        <v>0</v>
      </c>
      <c r="V297" s="126">
        <v>0</v>
      </c>
      <c r="W297" s="126">
        <v>0</v>
      </c>
      <c r="X297" s="126">
        <v>0</v>
      </c>
      <c r="Y297" s="126">
        <v>0</v>
      </c>
      <c r="Z297" s="142">
        <v>12</v>
      </c>
      <c r="AA297" s="126">
        <v>0</v>
      </c>
      <c r="AB297" s="126">
        <v>0</v>
      </c>
      <c r="AC297" s="126">
        <v>0</v>
      </c>
      <c r="AD297" s="126">
        <v>0</v>
      </c>
      <c r="AE297" s="126">
        <v>0</v>
      </c>
      <c r="AF297" s="126">
        <v>0.15</v>
      </c>
      <c r="AG297" t="s">
        <v>3121</v>
      </c>
    </row>
    <row r="298" spans="1:33" x14ac:dyDescent="0.3">
      <c r="A298">
        <v>372</v>
      </c>
      <c r="B298" t="s">
        <v>3122</v>
      </c>
      <c r="C298" t="s">
        <v>199</v>
      </c>
      <c r="D298">
        <v>21014</v>
      </c>
      <c r="E298">
        <v>23116</v>
      </c>
      <c r="F298">
        <v>100</v>
      </c>
      <c r="G298">
        <v>2000</v>
      </c>
      <c r="H298">
        <v>0</v>
      </c>
      <c r="I298">
        <v>4.3</v>
      </c>
      <c r="J298" s="28">
        <v>8.0500000000000007</v>
      </c>
      <c r="K298" s="126">
        <v>0.16</v>
      </c>
      <c r="L298" s="126">
        <v>1.3</v>
      </c>
      <c r="M298" s="126">
        <v>0.1</v>
      </c>
      <c r="N298" s="126">
        <v>0</v>
      </c>
      <c r="O298" s="126">
        <v>0.6</v>
      </c>
      <c r="P298" s="126">
        <v>0.88500000000000001</v>
      </c>
      <c r="Q298" s="126">
        <v>0.8</v>
      </c>
      <c r="R298" s="126">
        <v>0</v>
      </c>
      <c r="S298" s="126">
        <v>0</v>
      </c>
      <c r="T298" s="126">
        <v>0</v>
      </c>
      <c r="U298" s="126">
        <v>50</v>
      </c>
      <c r="V298" s="126">
        <v>0</v>
      </c>
      <c r="W298" s="126">
        <v>0</v>
      </c>
      <c r="X298" s="126">
        <v>0</v>
      </c>
      <c r="Y298" s="126">
        <v>0</v>
      </c>
      <c r="Z298" s="142">
        <v>0</v>
      </c>
      <c r="AA298" s="126">
        <v>0</v>
      </c>
      <c r="AB298" s="126">
        <v>0</v>
      </c>
      <c r="AC298" s="126">
        <v>0</v>
      </c>
      <c r="AD298" s="126">
        <v>0</v>
      </c>
      <c r="AE298" s="126">
        <v>0</v>
      </c>
      <c r="AF298" s="126">
        <v>10.4</v>
      </c>
      <c r="AG298" t="s">
        <v>3123</v>
      </c>
    </row>
    <row r="299" spans="1:33" x14ac:dyDescent="0.3">
      <c r="A299">
        <v>373</v>
      </c>
      <c r="B299" t="s">
        <v>3124</v>
      </c>
      <c r="C299" t="s">
        <v>199</v>
      </c>
      <c r="D299">
        <v>0</v>
      </c>
      <c r="E299">
        <v>0</v>
      </c>
      <c r="F299">
        <v>50</v>
      </c>
      <c r="G299">
        <v>1200</v>
      </c>
      <c r="H299">
        <v>0</v>
      </c>
      <c r="I299">
        <v>2.1</v>
      </c>
      <c r="J299" s="28">
        <v>1.61</v>
      </c>
      <c r="K299" s="126">
        <v>0.16</v>
      </c>
      <c r="L299" s="126">
        <v>1.3</v>
      </c>
      <c r="M299" s="126">
        <v>0.1</v>
      </c>
      <c r="N299" s="126">
        <v>0</v>
      </c>
      <c r="O299" s="126">
        <v>0.6</v>
      </c>
      <c r="P299" s="126">
        <v>0.88500000000000001</v>
      </c>
      <c r="Q299" s="126">
        <v>0.8</v>
      </c>
      <c r="R299" s="126">
        <v>0</v>
      </c>
      <c r="S299" s="126">
        <v>0</v>
      </c>
      <c r="T299" s="126">
        <v>0</v>
      </c>
      <c r="U299" s="126">
        <v>0</v>
      </c>
      <c r="V299" s="126">
        <v>0</v>
      </c>
      <c r="W299" s="126">
        <v>0</v>
      </c>
      <c r="X299" s="126">
        <v>0</v>
      </c>
      <c r="Y299" s="126">
        <v>0</v>
      </c>
      <c r="Z299" s="142">
        <v>0</v>
      </c>
      <c r="AA299" s="126">
        <v>0</v>
      </c>
      <c r="AB299" s="126">
        <v>0</v>
      </c>
      <c r="AC299" s="126">
        <v>0</v>
      </c>
      <c r="AD299" s="126">
        <v>0</v>
      </c>
      <c r="AE299" s="126">
        <v>0</v>
      </c>
      <c r="AF299" s="126">
        <v>0</v>
      </c>
      <c r="AG299" t="s">
        <v>3125</v>
      </c>
    </row>
    <row r="300" spans="1:33" x14ac:dyDescent="0.3">
      <c r="A300">
        <v>374</v>
      </c>
      <c r="B300" t="s">
        <v>3126</v>
      </c>
      <c r="C300" t="s">
        <v>199</v>
      </c>
      <c r="D300">
        <v>3214</v>
      </c>
      <c r="E300">
        <v>3535</v>
      </c>
      <c r="F300">
        <v>50</v>
      </c>
      <c r="G300">
        <v>1500</v>
      </c>
      <c r="H300">
        <v>0</v>
      </c>
      <c r="I300">
        <v>2.1</v>
      </c>
      <c r="J300" s="28">
        <v>1.61</v>
      </c>
      <c r="K300" s="126">
        <v>0.12</v>
      </c>
      <c r="L300" s="126">
        <v>2.2999999999999998</v>
      </c>
      <c r="M300" s="126">
        <v>0.1</v>
      </c>
      <c r="N300" s="126">
        <v>0</v>
      </c>
      <c r="O300" s="126">
        <v>0.6</v>
      </c>
      <c r="P300" s="126">
        <v>0.88500000000000001</v>
      </c>
      <c r="Q300" s="126">
        <v>0.8</v>
      </c>
      <c r="R300" s="126">
        <v>0</v>
      </c>
      <c r="S300" s="126">
        <v>0</v>
      </c>
      <c r="T300" s="126">
        <v>0</v>
      </c>
      <c r="U300" s="126">
        <v>0</v>
      </c>
      <c r="V300" s="126">
        <v>0</v>
      </c>
      <c r="W300" s="126">
        <v>0</v>
      </c>
      <c r="X300" s="126">
        <v>0</v>
      </c>
      <c r="Y300" s="126">
        <v>0</v>
      </c>
      <c r="Z300" s="142">
        <v>0</v>
      </c>
      <c r="AA300" s="126">
        <v>0.95</v>
      </c>
      <c r="AB300" s="126">
        <v>0</v>
      </c>
      <c r="AC300" s="126">
        <v>0</v>
      </c>
      <c r="AD300" s="126">
        <v>0</v>
      </c>
      <c r="AE300" s="126">
        <v>0</v>
      </c>
      <c r="AF300" s="126">
        <v>0</v>
      </c>
      <c r="AG300" t="s">
        <v>3127</v>
      </c>
    </row>
    <row r="301" spans="1:33" x14ac:dyDescent="0.3">
      <c r="A301">
        <v>375</v>
      </c>
      <c r="B301" t="s">
        <v>3128</v>
      </c>
      <c r="C301" t="s">
        <v>199</v>
      </c>
      <c r="D301">
        <v>16572</v>
      </c>
      <c r="E301">
        <v>18229</v>
      </c>
      <c r="F301">
        <v>50</v>
      </c>
      <c r="G301">
        <v>2500</v>
      </c>
      <c r="H301">
        <v>0</v>
      </c>
      <c r="I301">
        <v>2.1</v>
      </c>
      <c r="J301" s="28">
        <v>7.24</v>
      </c>
      <c r="K301" s="126">
        <v>0.28999999999999998</v>
      </c>
      <c r="L301" s="126">
        <v>1.8</v>
      </c>
      <c r="M301" s="126">
        <v>0.1</v>
      </c>
      <c r="N301" s="126">
        <v>0</v>
      </c>
      <c r="O301" s="126">
        <v>0.6</v>
      </c>
      <c r="P301" s="126">
        <v>0.88500000000000001</v>
      </c>
      <c r="Q301" s="126">
        <v>0.8</v>
      </c>
      <c r="R301" s="126">
        <v>0</v>
      </c>
      <c r="S301" s="126">
        <v>0</v>
      </c>
      <c r="T301" s="126">
        <v>0</v>
      </c>
      <c r="U301" s="126">
        <v>0</v>
      </c>
      <c r="V301" s="126">
        <v>0</v>
      </c>
      <c r="W301" s="126">
        <v>0</v>
      </c>
      <c r="X301" s="126">
        <v>0</v>
      </c>
      <c r="Y301" s="126">
        <v>0</v>
      </c>
      <c r="Z301" s="142">
        <v>0</v>
      </c>
      <c r="AA301" s="126">
        <v>0</v>
      </c>
      <c r="AB301" s="126">
        <v>0</v>
      </c>
      <c r="AC301" s="126">
        <v>0</v>
      </c>
      <c r="AD301" s="126">
        <v>0</v>
      </c>
      <c r="AE301" s="126">
        <v>0</v>
      </c>
      <c r="AF301" s="126">
        <v>0</v>
      </c>
      <c r="AG301" t="s">
        <v>3129</v>
      </c>
    </row>
    <row r="302" spans="1:33" x14ac:dyDescent="0.3">
      <c r="A302">
        <v>376</v>
      </c>
      <c r="B302" t="s">
        <v>3130</v>
      </c>
      <c r="C302" t="s">
        <v>199</v>
      </c>
      <c r="D302">
        <v>85</v>
      </c>
      <c r="E302">
        <v>93</v>
      </c>
      <c r="F302">
        <v>100</v>
      </c>
      <c r="G302">
        <v>1000</v>
      </c>
      <c r="H302">
        <v>0</v>
      </c>
      <c r="I302">
        <v>4.3</v>
      </c>
      <c r="J302" s="28">
        <v>8.0500000000000007</v>
      </c>
      <c r="K302" s="126">
        <v>0.28999999999999998</v>
      </c>
      <c r="L302" s="126">
        <v>1.8</v>
      </c>
      <c r="M302" s="126">
        <v>0.1</v>
      </c>
      <c r="N302" s="126">
        <v>0</v>
      </c>
      <c r="O302" s="126">
        <v>0.6</v>
      </c>
      <c r="P302" s="126">
        <v>0.88500000000000001</v>
      </c>
      <c r="Q302" s="126">
        <v>0.85</v>
      </c>
      <c r="R302" s="126">
        <v>0</v>
      </c>
      <c r="S302" s="126">
        <v>0</v>
      </c>
      <c r="T302" s="126">
        <v>0</v>
      </c>
      <c r="U302" s="126">
        <v>0</v>
      </c>
      <c r="V302" s="126">
        <v>0</v>
      </c>
      <c r="W302" s="126">
        <v>0</v>
      </c>
      <c r="X302" s="126">
        <v>0</v>
      </c>
      <c r="Y302" s="126">
        <v>0</v>
      </c>
      <c r="Z302" s="142">
        <v>0</v>
      </c>
      <c r="AA302" s="126">
        <v>0</v>
      </c>
      <c r="AB302" s="126">
        <v>0</v>
      </c>
      <c r="AC302" s="126">
        <v>0</v>
      </c>
      <c r="AD302" s="126">
        <v>0</v>
      </c>
      <c r="AE302" s="126">
        <v>0</v>
      </c>
      <c r="AF302" s="126">
        <v>1</v>
      </c>
      <c r="AG302" t="s">
        <v>3131</v>
      </c>
    </row>
    <row r="303" spans="1:33" x14ac:dyDescent="0.3">
      <c r="A303">
        <v>377</v>
      </c>
      <c r="B303" t="s">
        <v>3132</v>
      </c>
      <c r="C303" t="s">
        <v>199</v>
      </c>
      <c r="D303">
        <v>47942</v>
      </c>
      <c r="E303">
        <v>52736</v>
      </c>
      <c r="F303">
        <v>100</v>
      </c>
      <c r="G303">
        <v>2500</v>
      </c>
      <c r="H303">
        <v>0</v>
      </c>
      <c r="I303">
        <v>2.1</v>
      </c>
      <c r="J303" s="28">
        <v>6.44</v>
      </c>
      <c r="K303" s="126">
        <v>0.28999999999999998</v>
      </c>
      <c r="L303" s="126">
        <v>1.8</v>
      </c>
      <c r="M303" s="126">
        <v>0.1</v>
      </c>
      <c r="N303" s="126">
        <v>0</v>
      </c>
      <c r="O303" s="126">
        <v>0.6</v>
      </c>
      <c r="P303" s="126">
        <v>0.88500000000000001</v>
      </c>
      <c r="Q303" s="126">
        <v>0.8</v>
      </c>
      <c r="R303" s="126">
        <v>0</v>
      </c>
      <c r="S303" s="126">
        <v>0</v>
      </c>
      <c r="T303" s="126">
        <v>0</v>
      </c>
      <c r="U303" s="126">
        <v>0</v>
      </c>
      <c r="V303" s="126">
        <v>0</v>
      </c>
      <c r="W303" s="126">
        <v>0</v>
      </c>
      <c r="X303" s="126">
        <v>0</v>
      </c>
      <c r="Y303" s="126">
        <v>0</v>
      </c>
      <c r="Z303" s="142">
        <v>0</v>
      </c>
      <c r="AA303" s="126">
        <v>0</v>
      </c>
      <c r="AB303" s="126">
        <v>0</v>
      </c>
      <c r="AC303" s="126">
        <v>0</v>
      </c>
      <c r="AD303" s="126">
        <v>0</v>
      </c>
      <c r="AE303" s="126">
        <v>7.9039999999999999</v>
      </c>
      <c r="AF303" s="126">
        <v>0</v>
      </c>
      <c r="AG303" t="s">
        <v>3133</v>
      </c>
    </row>
    <row r="304" spans="1:33" x14ac:dyDescent="0.3">
      <c r="A304">
        <v>378</v>
      </c>
      <c r="B304" t="s">
        <v>307</v>
      </c>
      <c r="C304" t="s">
        <v>199</v>
      </c>
      <c r="D304">
        <v>9579</v>
      </c>
      <c r="E304">
        <v>10537</v>
      </c>
      <c r="F304">
        <v>100</v>
      </c>
      <c r="G304">
        <v>2500</v>
      </c>
      <c r="H304">
        <v>0</v>
      </c>
      <c r="I304">
        <v>2.1</v>
      </c>
      <c r="J304" s="28">
        <v>4.83</v>
      </c>
      <c r="K304" s="126">
        <v>0.28999999999999998</v>
      </c>
      <c r="L304" s="126">
        <v>1.8</v>
      </c>
      <c r="M304" s="126">
        <v>0.1</v>
      </c>
      <c r="N304" s="126">
        <v>0</v>
      </c>
      <c r="O304" s="126">
        <v>0.6</v>
      </c>
      <c r="P304" s="126">
        <v>0.88500000000000001</v>
      </c>
      <c r="Q304" s="126">
        <v>0.7</v>
      </c>
      <c r="R304" s="126">
        <v>0</v>
      </c>
      <c r="S304" s="126">
        <v>0</v>
      </c>
      <c r="T304" s="126">
        <v>0</v>
      </c>
      <c r="U304" s="126">
        <v>0</v>
      </c>
      <c r="V304" s="126">
        <v>0</v>
      </c>
      <c r="W304" s="126">
        <v>0</v>
      </c>
      <c r="X304" s="126">
        <v>0</v>
      </c>
      <c r="Y304" s="126">
        <v>0</v>
      </c>
      <c r="Z304" s="142">
        <v>0</v>
      </c>
      <c r="AA304" s="126">
        <v>0</v>
      </c>
      <c r="AB304" s="126">
        <v>0</v>
      </c>
      <c r="AC304" s="126">
        <v>0</v>
      </c>
      <c r="AD304" s="126">
        <v>0</v>
      </c>
      <c r="AE304" s="126">
        <v>0</v>
      </c>
      <c r="AF304" s="126">
        <v>36.4</v>
      </c>
      <c r="AG304" t="s">
        <v>1864</v>
      </c>
    </row>
    <row r="305" spans="1:33" x14ac:dyDescent="0.3">
      <c r="A305">
        <v>379</v>
      </c>
      <c r="B305" t="s">
        <v>3134</v>
      </c>
      <c r="C305" t="s">
        <v>199</v>
      </c>
      <c r="D305">
        <v>9501</v>
      </c>
      <c r="E305">
        <v>10451</v>
      </c>
      <c r="F305">
        <v>100</v>
      </c>
      <c r="G305">
        <v>2500</v>
      </c>
      <c r="H305">
        <v>0</v>
      </c>
      <c r="I305">
        <v>2.1</v>
      </c>
      <c r="J305" s="28">
        <v>4.83</v>
      </c>
      <c r="K305" s="126">
        <v>0.28999999999999998</v>
      </c>
      <c r="L305" s="126">
        <v>1.8</v>
      </c>
      <c r="M305" s="126">
        <v>0.1</v>
      </c>
      <c r="N305" s="126">
        <v>0</v>
      </c>
      <c r="O305" s="126">
        <v>0.6</v>
      </c>
      <c r="P305" s="126">
        <v>0.88500000000000001</v>
      </c>
      <c r="Q305" s="126">
        <v>0.7</v>
      </c>
      <c r="R305" s="126">
        <v>0</v>
      </c>
      <c r="S305" s="126">
        <v>0</v>
      </c>
      <c r="T305" s="126">
        <v>0</v>
      </c>
      <c r="U305" s="126">
        <v>0</v>
      </c>
      <c r="V305" s="126">
        <v>0</v>
      </c>
      <c r="W305" s="126">
        <v>0</v>
      </c>
      <c r="X305" s="126">
        <v>0</v>
      </c>
      <c r="Y305" s="126">
        <v>0</v>
      </c>
      <c r="Z305" s="142">
        <v>0</v>
      </c>
      <c r="AA305" s="126">
        <v>0</v>
      </c>
      <c r="AB305" s="126">
        <v>0</v>
      </c>
      <c r="AC305" s="126">
        <v>0</v>
      </c>
      <c r="AD305" s="126">
        <v>0</v>
      </c>
      <c r="AE305" s="126">
        <v>9.7279999999999998</v>
      </c>
      <c r="AF305" s="126">
        <v>36.4</v>
      </c>
      <c r="AG305" t="s">
        <v>3135</v>
      </c>
    </row>
    <row r="306" spans="1:33" x14ac:dyDescent="0.3">
      <c r="A306">
        <v>380</v>
      </c>
      <c r="B306" t="s">
        <v>308</v>
      </c>
      <c r="C306" t="s">
        <v>199</v>
      </c>
      <c r="D306">
        <v>1542</v>
      </c>
      <c r="E306">
        <v>1696</v>
      </c>
      <c r="F306">
        <v>20</v>
      </c>
      <c r="G306">
        <v>1200</v>
      </c>
      <c r="H306">
        <v>0</v>
      </c>
      <c r="I306">
        <v>2.1</v>
      </c>
      <c r="J306" s="28">
        <v>1.61</v>
      </c>
      <c r="K306" s="126">
        <v>0.32</v>
      </c>
      <c r="L306" s="126">
        <v>2.1</v>
      </c>
      <c r="M306" s="126">
        <v>0.1</v>
      </c>
      <c r="N306" s="126">
        <v>0</v>
      </c>
      <c r="O306" s="126">
        <v>0.6</v>
      </c>
      <c r="P306" s="126">
        <v>0.88500000000000001</v>
      </c>
      <c r="Q306" s="126">
        <v>0.8</v>
      </c>
      <c r="R306" s="126">
        <v>0</v>
      </c>
      <c r="S306" s="126">
        <v>0</v>
      </c>
      <c r="T306" s="126">
        <v>0</v>
      </c>
      <c r="U306" s="126">
        <v>0</v>
      </c>
      <c r="V306" s="126">
        <v>0</v>
      </c>
      <c r="W306" s="126">
        <v>0</v>
      </c>
      <c r="X306" s="126">
        <v>0</v>
      </c>
      <c r="Y306" s="126">
        <v>0</v>
      </c>
      <c r="Z306" s="142">
        <v>0</v>
      </c>
      <c r="AA306" s="126">
        <v>0</v>
      </c>
      <c r="AB306" s="126">
        <v>0</v>
      </c>
      <c r="AC306" s="126">
        <v>0</v>
      </c>
      <c r="AD306" s="126">
        <v>0</v>
      </c>
      <c r="AE306" s="126">
        <v>0</v>
      </c>
      <c r="AF306" s="126">
        <v>0</v>
      </c>
      <c r="AG306" t="s">
        <v>1865</v>
      </c>
    </row>
    <row r="307" spans="1:33" x14ac:dyDescent="0.3">
      <c r="A307">
        <v>381</v>
      </c>
      <c r="B307" t="s">
        <v>309</v>
      </c>
      <c r="C307" t="s">
        <v>187</v>
      </c>
      <c r="D307">
        <v>135101</v>
      </c>
      <c r="E307">
        <v>148612</v>
      </c>
      <c r="F307">
        <v>100</v>
      </c>
      <c r="G307">
        <v>6000</v>
      </c>
      <c r="H307">
        <v>224</v>
      </c>
      <c r="I307">
        <v>3</v>
      </c>
      <c r="J307" s="28">
        <v>4.83</v>
      </c>
      <c r="K307" s="126">
        <v>3.0000000000000001E-3</v>
      </c>
      <c r="L307" s="126">
        <v>2</v>
      </c>
      <c r="M307" s="126">
        <v>0.1</v>
      </c>
      <c r="N307" s="126">
        <v>0.223</v>
      </c>
      <c r="O307" s="126">
        <v>0.68</v>
      </c>
      <c r="P307" s="126">
        <v>0.92</v>
      </c>
      <c r="Q307" s="126">
        <v>0.6</v>
      </c>
      <c r="R307" s="126">
        <v>0</v>
      </c>
      <c r="S307" s="126">
        <v>0</v>
      </c>
      <c r="T307" s="126">
        <v>0</v>
      </c>
      <c r="U307" s="126">
        <v>0</v>
      </c>
      <c r="V307" s="126">
        <v>0</v>
      </c>
      <c r="W307" s="126">
        <v>0</v>
      </c>
      <c r="X307" s="126">
        <v>0</v>
      </c>
      <c r="Y307" s="126">
        <v>0</v>
      </c>
      <c r="Z307" s="142">
        <v>4</v>
      </c>
      <c r="AA307" s="126">
        <v>0</v>
      </c>
      <c r="AB307" s="126">
        <v>0</v>
      </c>
      <c r="AC307" s="126">
        <v>0</v>
      </c>
      <c r="AD307" s="126">
        <v>0</v>
      </c>
      <c r="AE307" s="126">
        <v>0</v>
      </c>
      <c r="AF307" s="126">
        <v>0.82899999999999996</v>
      </c>
      <c r="AG307" t="s">
        <v>2485</v>
      </c>
    </row>
    <row r="308" spans="1:33" x14ac:dyDescent="0.3">
      <c r="A308">
        <v>382</v>
      </c>
      <c r="B308" t="s">
        <v>310</v>
      </c>
      <c r="C308" t="s">
        <v>311</v>
      </c>
      <c r="D308">
        <v>4308</v>
      </c>
      <c r="E308">
        <v>4739</v>
      </c>
      <c r="F308">
        <v>126</v>
      </c>
      <c r="G308">
        <v>73167</v>
      </c>
      <c r="H308">
        <v>15</v>
      </c>
      <c r="I308">
        <v>0.3</v>
      </c>
      <c r="J308" s="28">
        <v>5.04</v>
      </c>
      <c r="K308" s="126">
        <v>0.19</v>
      </c>
      <c r="L308" s="126">
        <v>1.3</v>
      </c>
      <c r="M308" s="126">
        <v>0</v>
      </c>
      <c r="N308" s="126">
        <v>0</v>
      </c>
      <c r="O308" s="126">
        <v>0.9</v>
      </c>
      <c r="P308" s="126">
        <v>0.96</v>
      </c>
      <c r="Q308" s="126">
        <v>1</v>
      </c>
      <c r="R308" s="126">
        <v>0</v>
      </c>
      <c r="S308" s="126">
        <v>0</v>
      </c>
      <c r="T308" s="126">
        <v>0</v>
      </c>
      <c r="U308" s="126">
        <v>0</v>
      </c>
      <c r="V308" s="126">
        <v>0</v>
      </c>
      <c r="W308" s="126">
        <v>0</v>
      </c>
      <c r="X308" s="126">
        <v>0</v>
      </c>
      <c r="Y308" s="126">
        <v>0</v>
      </c>
      <c r="Z308" s="142">
        <v>8</v>
      </c>
      <c r="AA308" s="126">
        <v>0</v>
      </c>
      <c r="AB308" s="126">
        <v>0</v>
      </c>
      <c r="AC308" s="126">
        <v>0</v>
      </c>
      <c r="AD308" s="126">
        <v>0</v>
      </c>
      <c r="AE308" s="126">
        <v>0</v>
      </c>
      <c r="AF308" s="126">
        <v>0</v>
      </c>
      <c r="AG308" t="s">
        <v>1866</v>
      </c>
    </row>
    <row r="309" spans="1:33" x14ac:dyDescent="0.3">
      <c r="A309">
        <v>383</v>
      </c>
      <c r="B309" t="s">
        <v>312</v>
      </c>
      <c r="C309" t="s">
        <v>199</v>
      </c>
      <c r="D309">
        <v>364</v>
      </c>
      <c r="E309">
        <v>400</v>
      </c>
      <c r="F309">
        <v>100</v>
      </c>
      <c r="G309">
        <v>1000</v>
      </c>
      <c r="H309">
        <v>0</v>
      </c>
      <c r="I309">
        <v>0.9</v>
      </c>
      <c r="J309" s="28">
        <v>1.77</v>
      </c>
      <c r="K309" s="126">
        <v>0.19</v>
      </c>
      <c r="L309" s="126">
        <v>1.3</v>
      </c>
      <c r="M309" s="126">
        <v>0</v>
      </c>
      <c r="N309" s="126">
        <v>0</v>
      </c>
      <c r="O309" s="126">
        <v>0.6</v>
      </c>
      <c r="P309" s="126">
        <v>0.88500000000000001</v>
      </c>
      <c r="Q309" s="126">
        <v>0.6</v>
      </c>
      <c r="R309" s="126">
        <v>0</v>
      </c>
      <c r="S309" s="126">
        <v>0</v>
      </c>
      <c r="T309" s="126">
        <v>0</v>
      </c>
      <c r="U309" s="126">
        <v>0</v>
      </c>
      <c r="V309" s="126">
        <v>0</v>
      </c>
      <c r="W309" s="126">
        <v>0</v>
      </c>
      <c r="X309" s="126">
        <v>0</v>
      </c>
      <c r="Y309" s="126">
        <v>0</v>
      </c>
      <c r="Z309" s="142">
        <v>0</v>
      </c>
      <c r="AA309" s="126">
        <v>0</v>
      </c>
      <c r="AB309" s="126">
        <v>0</v>
      </c>
      <c r="AC309" s="126">
        <v>0</v>
      </c>
      <c r="AD309" s="126">
        <v>0</v>
      </c>
      <c r="AE309" s="126">
        <v>0</v>
      </c>
      <c r="AF309" s="126">
        <v>0</v>
      </c>
      <c r="AG309" t="s">
        <v>1867</v>
      </c>
    </row>
    <row r="310" spans="1:33" x14ac:dyDescent="0.3">
      <c r="A310">
        <v>384</v>
      </c>
      <c r="B310" t="s">
        <v>3136</v>
      </c>
      <c r="C310" t="s">
        <v>199</v>
      </c>
      <c r="D310">
        <v>785</v>
      </c>
      <c r="E310">
        <v>864</v>
      </c>
      <c r="F310">
        <v>200</v>
      </c>
      <c r="G310">
        <v>2000</v>
      </c>
      <c r="H310">
        <v>0</v>
      </c>
      <c r="I310">
        <v>0.9</v>
      </c>
      <c r="J310" s="28">
        <v>8.85</v>
      </c>
      <c r="K310" s="126">
        <v>0.32</v>
      </c>
      <c r="L310" s="126">
        <v>2.1</v>
      </c>
      <c r="M310" s="126">
        <v>0</v>
      </c>
      <c r="N310" s="126">
        <v>0</v>
      </c>
      <c r="O310" s="126">
        <v>0.6</v>
      </c>
      <c r="P310" s="126">
        <v>0.88500000000000001</v>
      </c>
      <c r="Q310" s="126">
        <v>0.65</v>
      </c>
      <c r="R310" s="126">
        <v>0</v>
      </c>
      <c r="S310" s="126">
        <v>0</v>
      </c>
      <c r="T310" s="126">
        <v>0</v>
      </c>
      <c r="U310" s="126">
        <v>0</v>
      </c>
      <c r="V310" s="126">
        <v>0</v>
      </c>
      <c r="W310" s="126">
        <v>0</v>
      </c>
      <c r="X310" s="126">
        <v>0</v>
      </c>
      <c r="Y310" s="126">
        <v>0</v>
      </c>
      <c r="Z310" s="142">
        <v>0</v>
      </c>
      <c r="AA310" s="126">
        <v>0</v>
      </c>
      <c r="AB310" s="126">
        <v>0</v>
      </c>
      <c r="AC310" s="126">
        <v>0</v>
      </c>
      <c r="AD310" s="126">
        <v>0</v>
      </c>
      <c r="AE310" s="126">
        <v>0</v>
      </c>
      <c r="AF310" s="126">
        <v>4.68</v>
      </c>
      <c r="AG310" t="s">
        <v>3137</v>
      </c>
    </row>
    <row r="311" spans="1:33" x14ac:dyDescent="0.3">
      <c r="A311">
        <v>385</v>
      </c>
      <c r="B311" t="s">
        <v>3138</v>
      </c>
      <c r="C311" t="s">
        <v>199</v>
      </c>
      <c r="D311">
        <v>1163</v>
      </c>
      <c r="E311">
        <v>1279</v>
      </c>
      <c r="F311">
        <v>150</v>
      </c>
      <c r="G311">
        <v>1500</v>
      </c>
      <c r="H311">
        <v>0</v>
      </c>
      <c r="I311">
        <v>1.5</v>
      </c>
      <c r="J311" s="28">
        <v>5.15</v>
      </c>
      <c r="K311" s="126">
        <v>0.44</v>
      </c>
      <c r="L311" s="126">
        <v>2</v>
      </c>
      <c r="M311" s="126">
        <v>0</v>
      </c>
      <c r="N311" s="126">
        <v>0</v>
      </c>
      <c r="O311" s="126">
        <v>0.6</v>
      </c>
      <c r="P311" s="126">
        <v>0.88500000000000001</v>
      </c>
      <c r="Q311" s="126">
        <v>0.7</v>
      </c>
      <c r="R311" s="126">
        <v>0</v>
      </c>
      <c r="S311" s="126">
        <v>0</v>
      </c>
      <c r="T311" s="126">
        <v>0</v>
      </c>
      <c r="U311" s="126">
        <v>-75</v>
      </c>
      <c r="V311" s="126">
        <v>0</v>
      </c>
      <c r="W311" s="126">
        <v>0</v>
      </c>
      <c r="X311" s="126">
        <v>0</v>
      </c>
      <c r="Y311" s="126">
        <v>0</v>
      </c>
      <c r="Z311" s="142">
        <v>0</v>
      </c>
      <c r="AA311" s="126">
        <v>0</v>
      </c>
      <c r="AB311" s="126">
        <v>0</v>
      </c>
      <c r="AC311" s="126">
        <v>0</v>
      </c>
      <c r="AD311" s="126">
        <v>0</v>
      </c>
      <c r="AE311" s="126">
        <v>0</v>
      </c>
      <c r="AF311" s="126">
        <v>0.15</v>
      </c>
      <c r="AG311" t="s">
        <v>3139</v>
      </c>
    </row>
    <row r="312" spans="1:33" x14ac:dyDescent="0.3">
      <c r="A312">
        <v>386</v>
      </c>
      <c r="B312" t="s">
        <v>3140</v>
      </c>
      <c r="C312" t="s">
        <v>199</v>
      </c>
      <c r="D312">
        <v>291</v>
      </c>
      <c r="E312">
        <v>320</v>
      </c>
      <c r="F312">
        <v>3</v>
      </c>
      <c r="G312">
        <v>250</v>
      </c>
      <c r="H312">
        <v>0</v>
      </c>
      <c r="I312">
        <v>2.4</v>
      </c>
      <c r="J312" s="28">
        <v>6.44</v>
      </c>
      <c r="K312" s="126">
        <v>0.28999999999999998</v>
      </c>
      <c r="L312" s="126">
        <v>1.8</v>
      </c>
      <c r="M312" s="126">
        <v>0</v>
      </c>
      <c r="N312" s="126">
        <v>0</v>
      </c>
      <c r="O312" s="126">
        <v>0.6</v>
      </c>
      <c r="P312" s="126">
        <v>0.88500000000000001</v>
      </c>
      <c r="Q312" s="126">
        <v>0.7</v>
      </c>
      <c r="R312" s="126">
        <v>0</v>
      </c>
      <c r="S312" s="126">
        <v>0.55000000000000004</v>
      </c>
      <c r="T312" s="126">
        <v>50</v>
      </c>
      <c r="U312" s="126">
        <v>0</v>
      </c>
      <c r="V312" s="126">
        <v>0</v>
      </c>
      <c r="W312" s="126">
        <v>0</v>
      </c>
      <c r="X312" s="126">
        <v>0</v>
      </c>
      <c r="Y312" s="126">
        <v>0</v>
      </c>
      <c r="Z312" s="142">
        <v>0</v>
      </c>
      <c r="AA312" s="126">
        <v>0</v>
      </c>
      <c r="AB312" s="126">
        <v>0</v>
      </c>
      <c r="AC312" s="126">
        <v>0</v>
      </c>
      <c r="AD312" s="126">
        <v>0</v>
      </c>
      <c r="AE312" s="126">
        <v>0</v>
      </c>
      <c r="AF312" s="126">
        <v>0.15</v>
      </c>
      <c r="AG312" t="s">
        <v>3140</v>
      </c>
    </row>
    <row r="313" spans="1:33" x14ac:dyDescent="0.3">
      <c r="A313">
        <v>387</v>
      </c>
      <c r="B313" t="s">
        <v>3141</v>
      </c>
      <c r="C313" t="s">
        <v>199</v>
      </c>
      <c r="D313">
        <v>19187</v>
      </c>
      <c r="E313">
        <v>21105</v>
      </c>
      <c r="F313">
        <v>150</v>
      </c>
      <c r="G313">
        <v>2500</v>
      </c>
      <c r="H313">
        <v>0</v>
      </c>
      <c r="I313">
        <v>11</v>
      </c>
      <c r="J313" s="28">
        <v>6.44</v>
      </c>
      <c r="K313" s="126">
        <v>0.27</v>
      </c>
      <c r="L313" s="126">
        <v>1.4</v>
      </c>
      <c r="M313" s="126">
        <v>0</v>
      </c>
      <c r="N313" s="126">
        <v>0</v>
      </c>
      <c r="O313" s="126">
        <v>0.6</v>
      </c>
      <c r="P313" s="126">
        <v>0.88500000000000001</v>
      </c>
      <c r="Q313" s="126">
        <v>0.75</v>
      </c>
      <c r="R313" s="126">
        <v>0</v>
      </c>
      <c r="S313" s="126">
        <v>0.25</v>
      </c>
      <c r="T313" s="126">
        <v>10</v>
      </c>
      <c r="U313" s="126">
        <v>100</v>
      </c>
      <c r="V313" s="126">
        <v>25</v>
      </c>
      <c r="W313" s="126">
        <v>0.3</v>
      </c>
      <c r="X313" s="126">
        <v>0</v>
      </c>
      <c r="Y313" s="126">
        <v>0</v>
      </c>
      <c r="Z313" s="142">
        <v>0</v>
      </c>
      <c r="AA313" s="126">
        <v>0</v>
      </c>
      <c r="AB313" s="126">
        <v>0</v>
      </c>
      <c r="AC313" s="126">
        <v>0</v>
      </c>
      <c r="AD313" s="126">
        <v>0</v>
      </c>
      <c r="AE313" s="126">
        <v>0</v>
      </c>
      <c r="AF313" s="126">
        <v>17.062999999999999</v>
      </c>
      <c r="AG313" t="s">
        <v>3142</v>
      </c>
    </row>
    <row r="314" spans="1:33" x14ac:dyDescent="0.3">
      <c r="A314">
        <v>388</v>
      </c>
      <c r="B314" t="s">
        <v>3143</v>
      </c>
      <c r="C314" t="s">
        <v>199</v>
      </c>
      <c r="D314">
        <v>11512</v>
      </c>
      <c r="E314">
        <v>12663</v>
      </c>
      <c r="F314">
        <v>150</v>
      </c>
      <c r="G314">
        <v>2500</v>
      </c>
      <c r="H314">
        <v>0</v>
      </c>
      <c r="I314">
        <v>12.2</v>
      </c>
      <c r="J314" s="28">
        <v>6.44</v>
      </c>
      <c r="K314" s="126">
        <v>0.16</v>
      </c>
      <c r="L314" s="126">
        <v>1.3</v>
      </c>
      <c r="M314" s="126">
        <v>0</v>
      </c>
      <c r="N314" s="126">
        <v>0</v>
      </c>
      <c r="O314" s="126">
        <v>0.6</v>
      </c>
      <c r="P314" s="126">
        <v>0.88500000000000001</v>
      </c>
      <c r="Q314" s="126">
        <v>0.75</v>
      </c>
      <c r="R314" s="126">
        <v>0</v>
      </c>
      <c r="S314" s="126">
        <v>0</v>
      </c>
      <c r="T314" s="126">
        <v>0</v>
      </c>
      <c r="U314" s="126">
        <v>40</v>
      </c>
      <c r="V314" s="126">
        <v>25</v>
      </c>
      <c r="W314" s="126">
        <v>1.78</v>
      </c>
      <c r="X314" s="126">
        <v>0</v>
      </c>
      <c r="Y314" s="126">
        <v>0</v>
      </c>
      <c r="Z314" s="142">
        <v>0</v>
      </c>
      <c r="AA314" s="126">
        <v>0</v>
      </c>
      <c r="AB314" s="126">
        <v>0</v>
      </c>
      <c r="AC314" s="126">
        <v>0</v>
      </c>
      <c r="AD314" s="126">
        <v>0</v>
      </c>
      <c r="AE314" s="126">
        <v>0</v>
      </c>
      <c r="AF314" s="126">
        <v>2.9249999999999998</v>
      </c>
      <c r="AG314" t="s">
        <v>3144</v>
      </c>
    </row>
    <row r="315" spans="1:33" x14ac:dyDescent="0.3">
      <c r="A315">
        <v>389</v>
      </c>
      <c r="B315" t="s">
        <v>313</v>
      </c>
      <c r="C315" t="s">
        <v>199</v>
      </c>
      <c r="D315">
        <v>14390</v>
      </c>
      <c r="E315">
        <v>15829</v>
      </c>
      <c r="F315">
        <v>150</v>
      </c>
      <c r="G315">
        <v>2500</v>
      </c>
      <c r="H315">
        <v>0</v>
      </c>
      <c r="I315">
        <v>11</v>
      </c>
      <c r="J315" s="28">
        <v>6.44</v>
      </c>
      <c r="K315" s="126">
        <v>0.27</v>
      </c>
      <c r="L315" s="126">
        <v>1.4</v>
      </c>
      <c r="M315" s="126">
        <v>0</v>
      </c>
      <c r="N315" s="126">
        <v>0</v>
      </c>
      <c r="O315" s="126">
        <v>0.6</v>
      </c>
      <c r="P315" s="126">
        <v>0.88500000000000001</v>
      </c>
      <c r="Q315" s="126">
        <v>0.75</v>
      </c>
      <c r="R315" s="126">
        <v>0</v>
      </c>
      <c r="S315" s="126">
        <v>0.3</v>
      </c>
      <c r="T315" s="126">
        <v>20</v>
      </c>
      <c r="U315" s="126">
        <v>100</v>
      </c>
      <c r="V315" s="126">
        <v>25</v>
      </c>
      <c r="W315" s="126">
        <v>0.3</v>
      </c>
      <c r="X315" s="126">
        <v>0</v>
      </c>
      <c r="Y315" s="126">
        <v>0</v>
      </c>
      <c r="Z315" s="142">
        <v>0</v>
      </c>
      <c r="AA315" s="126">
        <v>0</v>
      </c>
      <c r="AB315" s="126">
        <v>0</v>
      </c>
      <c r="AC315" s="126">
        <v>0</v>
      </c>
      <c r="AD315" s="126">
        <v>0</v>
      </c>
      <c r="AE315" s="126">
        <v>9.7279999999999998</v>
      </c>
      <c r="AF315" s="126">
        <v>9.9450000000000003</v>
      </c>
      <c r="AG315" t="s">
        <v>3145</v>
      </c>
    </row>
    <row r="316" spans="1:33" x14ac:dyDescent="0.3">
      <c r="A316">
        <v>390</v>
      </c>
      <c r="B316" t="s">
        <v>3146</v>
      </c>
      <c r="C316" t="s">
        <v>187</v>
      </c>
      <c r="D316">
        <v>3782</v>
      </c>
      <c r="E316">
        <v>4161</v>
      </c>
      <c r="F316">
        <v>100</v>
      </c>
      <c r="G316">
        <v>6000</v>
      </c>
      <c r="H316">
        <v>0</v>
      </c>
      <c r="I316">
        <v>0.9</v>
      </c>
      <c r="J316" s="28">
        <v>1.61</v>
      </c>
      <c r="K316" s="126">
        <v>0.19</v>
      </c>
      <c r="L316" s="126">
        <v>1.3</v>
      </c>
      <c r="M316" s="126">
        <v>1</v>
      </c>
      <c r="N316" s="126">
        <v>0.30499999999999999</v>
      </c>
      <c r="O316" s="126">
        <v>0.6</v>
      </c>
      <c r="P316" s="126">
        <v>0.88500000000000001</v>
      </c>
      <c r="Q316" s="126">
        <v>0.6</v>
      </c>
      <c r="R316" s="126">
        <v>0</v>
      </c>
      <c r="S316" s="126">
        <v>0</v>
      </c>
      <c r="T316" s="126">
        <v>0</v>
      </c>
      <c r="U316" s="126">
        <v>0</v>
      </c>
      <c r="V316" s="126">
        <v>0</v>
      </c>
      <c r="W316" s="126">
        <v>0</v>
      </c>
      <c r="X316" s="126">
        <v>0</v>
      </c>
      <c r="Y316" s="126">
        <v>0</v>
      </c>
      <c r="Z316" s="142">
        <v>0</v>
      </c>
      <c r="AA316" s="126">
        <v>0</v>
      </c>
      <c r="AB316" s="126">
        <v>0</v>
      </c>
      <c r="AC316" s="126">
        <v>0</v>
      </c>
      <c r="AD316" s="126">
        <v>0</v>
      </c>
      <c r="AE316" s="126">
        <v>0</v>
      </c>
      <c r="AF316" s="126">
        <v>0.15</v>
      </c>
      <c r="AG316" t="s">
        <v>3147</v>
      </c>
    </row>
    <row r="317" spans="1:33" x14ac:dyDescent="0.3">
      <c r="A317">
        <v>391</v>
      </c>
      <c r="B317" t="s">
        <v>3148</v>
      </c>
      <c r="C317" t="s">
        <v>187</v>
      </c>
      <c r="D317">
        <v>1341</v>
      </c>
      <c r="E317">
        <v>1475</v>
      </c>
      <c r="F317">
        <v>100</v>
      </c>
      <c r="G317">
        <v>6000</v>
      </c>
      <c r="H317">
        <v>0</v>
      </c>
      <c r="I317">
        <v>0.9</v>
      </c>
      <c r="J317" s="28">
        <v>2.41</v>
      </c>
      <c r="K317" s="126">
        <v>0.19</v>
      </c>
      <c r="L317" s="126">
        <v>1.3</v>
      </c>
      <c r="M317" s="126">
        <v>1</v>
      </c>
      <c r="N317" s="126">
        <v>0.30499999999999999</v>
      </c>
      <c r="O317" s="126">
        <v>0.6</v>
      </c>
      <c r="P317" s="126">
        <v>0.88500000000000001</v>
      </c>
      <c r="Q317" s="126">
        <v>0.6</v>
      </c>
      <c r="R317" s="126">
        <v>0</v>
      </c>
      <c r="S317" s="126">
        <v>0</v>
      </c>
      <c r="T317" s="126">
        <v>0</v>
      </c>
      <c r="U317" s="126">
        <v>0</v>
      </c>
      <c r="V317" s="126">
        <v>0</v>
      </c>
      <c r="W317" s="126">
        <v>0</v>
      </c>
      <c r="X317" s="126">
        <v>0</v>
      </c>
      <c r="Y317" s="126">
        <v>0</v>
      </c>
      <c r="Z317" s="142">
        <v>0</v>
      </c>
      <c r="AA317" s="126">
        <v>0</v>
      </c>
      <c r="AB317" s="126">
        <v>0</v>
      </c>
      <c r="AC317" s="126">
        <v>0</v>
      </c>
      <c r="AD317" s="126">
        <v>0</v>
      </c>
      <c r="AE317" s="126">
        <v>0</v>
      </c>
      <c r="AF317" s="126">
        <v>0.15</v>
      </c>
      <c r="AG317" t="s">
        <v>3149</v>
      </c>
    </row>
    <row r="318" spans="1:33" x14ac:dyDescent="0.3">
      <c r="A318">
        <v>392</v>
      </c>
      <c r="B318" t="s">
        <v>3150</v>
      </c>
      <c r="C318" t="s">
        <v>187</v>
      </c>
      <c r="D318">
        <v>96164</v>
      </c>
      <c r="E318">
        <v>105780</v>
      </c>
      <c r="F318">
        <v>600</v>
      </c>
      <c r="G318">
        <v>6000</v>
      </c>
      <c r="H318">
        <v>82</v>
      </c>
      <c r="I318">
        <v>3.7</v>
      </c>
      <c r="J318" s="28">
        <v>8.1</v>
      </c>
      <c r="K318" s="126">
        <v>0.19</v>
      </c>
      <c r="L318" s="126">
        <v>1.4</v>
      </c>
      <c r="M318" s="126">
        <v>0.1</v>
      </c>
      <c r="N318" s="126">
        <v>0.223</v>
      </c>
      <c r="O318" s="126">
        <v>0.6</v>
      </c>
      <c r="P318" s="126">
        <v>0.88700000000000001</v>
      </c>
      <c r="Q318" s="126">
        <v>1</v>
      </c>
      <c r="R318" s="126">
        <v>0</v>
      </c>
      <c r="S318" s="126">
        <v>0</v>
      </c>
      <c r="T318" s="126">
        <v>0</v>
      </c>
      <c r="U318" s="126">
        <v>0</v>
      </c>
      <c r="V318" s="126">
        <v>0</v>
      </c>
      <c r="W318" s="126">
        <v>0</v>
      </c>
      <c r="X318" s="126">
        <v>0</v>
      </c>
      <c r="Y318" s="126">
        <v>0</v>
      </c>
      <c r="Z318" s="142">
        <v>2</v>
      </c>
      <c r="AA318" s="126">
        <v>0.9</v>
      </c>
      <c r="AB318" s="126">
        <v>0.95</v>
      </c>
      <c r="AC318" s="126">
        <v>0</v>
      </c>
      <c r="AD318" s="126">
        <v>0</v>
      </c>
      <c r="AE318" s="126">
        <v>0</v>
      </c>
      <c r="AF318" s="126">
        <v>0.15</v>
      </c>
      <c r="AG318" t="s">
        <v>3151</v>
      </c>
    </row>
    <row r="319" spans="1:33" x14ac:dyDescent="0.3">
      <c r="A319">
        <v>393</v>
      </c>
      <c r="B319" t="s">
        <v>314</v>
      </c>
      <c r="C319" t="s">
        <v>187</v>
      </c>
      <c r="D319">
        <v>166089</v>
      </c>
      <c r="E319">
        <v>182698</v>
      </c>
      <c r="F319">
        <v>400</v>
      </c>
      <c r="G319">
        <v>6000</v>
      </c>
      <c r="H319">
        <v>82</v>
      </c>
      <c r="I319">
        <v>3.7</v>
      </c>
      <c r="J319" s="28">
        <v>8.0500000000000007</v>
      </c>
      <c r="K319" s="126">
        <v>0.19</v>
      </c>
      <c r="L319" s="126">
        <v>1.4</v>
      </c>
      <c r="M319" s="126">
        <v>0.1</v>
      </c>
      <c r="N319" s="126">
        <v>0.223</v>
      </c>
      <c r="O319" s="126">
        <v>0.6</v>
      </c>
      <c r="P319" s="126">
        <v>0.88500000000000001</v>
      </c>
      <c r="Q319" s="126">
        <v>1</v>
      </c>
      <c r="R319" s="126">
        <v>0</v>
      </c>
      <c r="S319" s="126">
        <v>0</v>
      </c>
      <c r="T319" s="126">
        <v>0</v>
      </c>
      <c r="U319" s="126">
        <v>0</v>
      </c>
      <c r="V319" s="126">
        <v>0</v>
      </c>
      <c r="W319" s="126">
        <v>0</v>
      </c>
      <c r="X319" s="126">
        <v>0</v>
      </c>
      <c r="Y319" s="126">
        <v>0</v>
      </c>
      <c r="Z319" s="142">
        <v>2</v>
      </c>
      <c r="AA319" s="126">
        <v>0.9</v>
      </c>
      <c r="AB319" s="126">
        <v>0.95</v>
      </c>
      <c r="AC319" s="126">
        <v>0</v>
      </c>
      <c r="AD319" s="126">
        <v>0</v>
      </c>
      <c r="AE319" s="126">
        <v>0</v>
      </c>
      <c r="AF319" s="126">
        <v>0.15</v>
      </c>
      <c r="AG319" t="s">
        <v>1882</v>
      </c>
    </row>
    <row r="320" spans="1:33" x14ac:dyDescent="0.3">
      <c r="A320">
        <v>394</v>
      </c>
      <c r="B320" t="s">
        <v>3152</v>
      </c>
      <c r="C320" t="s">
        <v>199</v>
      </c>
      <c r="D320">
        <v>2262</v>
      </c>
      <c r="E320">
        <v>2488</v>
      </c>
      <c r="F320">
        <v>100</v>
      </c>
      <c r="G320">
        <v>100</v>
      </c>
      <c r="H320">
        <v>0</v>
      </c>
      <c r="I320">
        <v>0.5</v>
      </c>
      <c r="J320" s="28">
        <v>9.01</v>
      </c>
      <c r="K320" s="126">
        <v>0.28999999999999998</v>
      </c>
      <c r="L320" s="126">
        <v>1.8</v>
      </c>
      <c r="M320" s="126">
        <v>0</v>
      </c>
      <c r="N320" s="126">
        <v>0</v>
      </c>
      <c r="O320" s="126">
        <v>0.6</v>
      </c>
      <c r="P320" s="126">
        <v>0.88500000000000001</v>
      </c>
      <c r="Q320" s="126">
        <v>1</v>
      </c>
      <c r="R320" s="126">
        <v>0</v>
      </c>
      <c r="S320" s="126">
        <v>0.25</v>
      </c>
      <c r="T320" s="126">
        <v>13</v>
      </c>
      <c r="U320" s="126">
        <v>0</v>
      </c>
      <c r="V320" s="126">
        <v>0</v>
      </c>
      <c r="W320" s="126">
        <v>0</v>
      </c>
      <c r="X320" s="126">
        <v>0</v>
      </c>
      <c r="Y320" s="126">
        <v>0</v>
      </c>
      <c r="Z320" s="142">
        <v>0</v>
      </c>
      <c r="AA320" s="126">
        <v>0</v>
      </c>
      <c r="AB320" s="126">
        <v>0</v>
      </c>
      <c r="AC320" s="126">
        <v>0</v>
      </c>
      <c r="AD320" s="126">
        <v>0</v>
      </c>
      <c r="AE320" s="126">
        <v>0</v>
      </c>
      <c r="AF320" s="126">
        <v>0.15</v>
      </c>
      <c r="AG320" t="s">
        <v>3153</v>
      </c>
    </row>
    <row r="321" spans="1:33" x14ac:dyDescent="0.3">
      <c r="A321">
        <v>395</v>
      </c>
      <c r="B321" t="s">
        <v>3154</v>
      </c>
      <c r="C321" t="s">
        <v>199</v>
      </c>
      <c r="D321">
        <v>2262</v>
      </c>
      <c r="E321">
        <v>2488</v>
      </c>
      <c r="F321">
        <v>100</v>
      </c>
      <c r="G321">
        <v>100</v>
      </c>
      <c r="H321">
        <v>0</v>
      </c>
      <c r="I321">
        <v>9.1</v>
      </c>
      <c r="J321" s="28">
        <v>9.01</v>
      </c>
      <c r="K321" s="126">
        <v>0.28999999999999998</v>
      </c>
      <c r="L321" s="126">
        <v>1.8</v>
      </c>
      <c r="M321" s="126">
        <v>0</v>
      </c>
      <c r="N321" s="126">
        <v>0</v>
      </c>
      <c r="O321" s="126">
        <v>0.6</v>
      </c>
      <c r="P321" s="126">
        <v>0.88500000000000001</v>
      </c>
      <c r="Q321" s="126">
        <v>1</v>
      </c>
      <c r="R321" s="126">
        <v>0</v>
      </c>
      <c r="S321" s="126">
        <v>0.25</v>
      </c>
      <c r="T321" s="126">
        <v>0.13</v>
      </c>
      <c r="U321" s="126">
        <v>0</v>
      </c>
      <c r="V321" s="126">
        <v>0</v>
      </c>
      <c r="W321" s="126">
        <v>0</v>
      </c>
      <c r="X321" s="126">
        <v>0</v>
      </c>
      <c r="Y321" s="126">
        <v>0</v>
      </c>
      <c r="Z321" s="142">
        <v>0</v>
      </c>
      <c r="AA321" s="126">
        <v>0</v>
      </c>
      <c r="AB321" s="126">
        <v>0</v>
      </c>
      <c r="AC321" s="126">
        <v>0</v>
      </c>
      <c r="AD321" s="126">
        <v>0</v>
      </c>
      <c r="AE321" s="126">
        <v>0</v>
      </c>
      <c r="AF321" s="126">
        <v>0.15</v>
      </c>
      <c r="AG321" t="s">
        <v>3155</v>
      </c>
    </row>
    <row r="322" spans="1:33" x14ac:dyDescent="0.3">
      <c r="A322">
        <v>396</v>
      </c>
      <c r="B322" t="s">
        <v>315</v>
      </c>
      <c r="C322" t="s">
        <v>199</v>
      </c>
      <c r="D322">
        <v>23621</v>
      </c>
      <c r="E322">
        <v>25983</v>
      </c>
      <c r="F322">
        <v>150</v>
      </c>
      <c r="G322">
        <v>150</v>
      </c>
      <c r="H322">
        <v>0</v>
      </c>
      <c r="I322">
        <v>3.7</v>
      </c>
      <c r="J322" s="28">
        <v>4.0199999999999996</v>
      </c>
      <c r="K322" s="126">
        <v>0.19</v>
      </c>
      <c r="L322" s="126">
        <v>1.3</v>
      </c>
      <c r="M322" s="126">
        <v>0</v>
      </c>
      <c r="N322" s="126">
        <v>0</v>
      </c>
      <c r="O322" s="126">
        <v>0.6</v>
      </c>
      <c r="P322" s="126">
        <v>0.88500000000000001</v>
      </c>
      <c r="Q322" s="126">
        <v>0.6</v>
      </c>
      <c r="R322" s="126">
        <v>0</v>
      </c>
      <c r="S322" s="126">
        <v>0</v>
      </c>
      <c r="T322" s="126">
        <v>0</v>
      </c>
      <c r="U322" s="126">
        <v>0</v>
      </c>
      <c r="V322" s="126">
        <v>0</v>
      </c>
      <c r="W322" s="126">
        <v>0</v>
      </c>
      <c r="X322" s="126">
        <v>0</v>
      </c>
      <c r="Y322" s="126">
        <v>0</v>
      </c>
      <c r="Z322" s="142">
        <v>0</v>
      </c>
      <c r="AA322" s="126">
        <v>0</v>
      </c>
      <c r="AB322" s="126">
        <v>0</v>
      </c>
      <c r="AC322" s="126">
        <v>0</v>
      </c>
      <c r="AD322" s="126">
        <v>0</v>
      </c>
      <c r="AE322" s="126">
        <v>0</v>
      </c>
      <c r="AF322" s="126">
        <v>0.15</v>
      </c>
      <c r="AG322" t="s">
        <v>1868</v>
      </c>
    </row>
    <row r="323" spans="1:33" x14ac:dyDescent="0.3">
      <c r="A323">
        <v>397</v>
      </c>
      <c r="B323" t="s">
        <v>316</v>
      </c>
      <c r="C323" t="s">
        <v>199</v>
      </c>
      <c r="D323">
        <v>1400</v>
      </c>
      <c r="E323">
        <v>1540</v>
      </c>
      <c r="F323">
        <v>85</v>
      </c>
      <c r="G323">
        <v>510</v>
      </c>
      <c r="H323">
        <v>0</v>
      </c>
      <c r="I323">
        <v>5.5</v>
      </c>
      <c r="J323" s="28">
        <v>6.44</v>
      </c>
      <c r="K323" s="126">
        <v>0.19</v>
      </c>
      <c r="L323" s="126">
        <v>1.3</v>
      </c>
      <c r="M323" s="126">
        <v>0</v>
      </c>
      <c r="N323" s="126">
        <v>0</v>
      </c>
      <c r="O323" s="126">
        <v>0.6</v>
      </c>
      <c r="P323" s="126">
        <v>0.88500000000000001</v>
      </c>
      <c r="Q323" s="126">
        <v>1</v>
      </c>
      <c r="R323" s="126">
        <v>0</v>
      </c>
      <c r="S323" s="126">
        <v>0</v>
      </c>
      <c r="T323" s="126">
        <v>0</v>
      </c>
      <c r="U323" s="126">
        <v>-0.1</v>
      </c>
      <c r="V323" s="126">
        <v>0</v>
      </c>
      <c r="W323" s="126">
        <v>0</v>
      </c>
      <c r="X323" s="126">
        <v>0</v>
      </c>
      <c r="Y323" s="126">
        <v>0</v>
      </c>
      <c r="Z323" s="142">
        <v>14</v>
      </c>
      <c r="AA323" s="126">
        <v>0</v>
      </c>
      <c r="AB323" s="126">
        <v>0</v>
      </c>
      <c r="AC323" s="126">
        <v>0</v>
      </c>
      <c r="AD323" s="126">
        <v>0</v>
      </c>
      <c r="AE323" s="126">
        <v>0</v>
      </c>
      <c r="AF323" s="126">
        <v>0</v>
      </c>
      <c r="AG323" t="s">
        <v>1869</v>
      </c>
    </row>
    <row r="324" spans="1:33" x14ac:dyDescent="0.3">
      <c r="A324">
        <v>398</v>
      </c>
      <c r="B324" t="s">
        <v>317</v>
      </c>
      <c r="C324" t="s">
        <v>199</v>
      </c>
      <c r="D324">
        <v>8703</v>
      </c>
      <c r="E324">
        <v>9573</v>
      </c>
      <c r="F324">
        <v>400</v>
      </c>
      <c r="G324">
        <v>3600</v>
      </c>
      <c r="H324">
        <v>0</v>
      </c>
      <c r="I324">
        <v>2.4</v>
      </c>
      <c r="J324" s="28">
        <v>2.41</v>
      </c>
      <c r="K324" s="126">
        <v>0.19</v>
      </c>
      <c r="L324" s="126">
        <v>1.3</v>
      </c>
      <c r="M324" s="126">
        <v>0</v>
      </c>
      <c r="N324" s="126">
        <v>0</v>
      </c>
      <c r="O324" s="126">
        <v>0.6</v>
      </c>
      <c r="P324" s="126">
        <v>0.88500000000000001</v>
      </c>
      <c r="Q324" s="126">
        <v>1</v>
      </c>
      <c r="R324" s="126">
        <v>0</v>
      </c>
      <c r="S324" s="126">
        <v>0</v>
      </c>
      <c r="T324" s="126">
        <v>0</v>
      </c>
      <c r="U324" s="126">
        <v>0</v>
      </c>
      <c r="V324" s="126">
        <v>0</v>
      </c>
      <c r="W324" s="126">
        <v>0</v>
      </c>
      <c r="X324" s="126">
        <v>0</v>
      </c>
      <c r="Y324" s="126">
        <v>0</v>
      </c>
      <c r="Z324" s="142">
        <v>12</v>
      </c>
      <c r="AA324" s="126">
        <v>0</v>
      </c>
      <c r="AB324" s="126">
        <v>0</v>
      </c>
      <c r="AC324" s="126">
        <v>0</v>
      </c>
      <c r="AD324" s="126">
        <v>0</v>
      </c>
      <c r="AE324" s="126">
        <v>0</v>
      </c>
      <c r="AF324" s="126">
        <v>0.15</v>
      </c>
      <c r="AG324" t="s">
        <v>1883</v>
      </c>
    </row>
    <row r="325" spans="1:33" x14ac:dyDescent="0.3">
      <c r="A325">
        <v>399</v>
      </c>
      <c r="B325" t="s">
        <v>3156</v>
      </c>
      <c r="C325" t="s">
        <v>199</v>
      </c>
      <c r="D325">
        <v>5162</v>
      </c>
      <c r="E325">
        <v>5678</v>
      </c>
      <c r="F325">
        <v>400</v>
      </c>
      <c r="G325">
        <v>6000</v>
      </c>
      <c r="H325">
        <v>0</v>
      </c>
      <c r="I325">
        <v>3</v>
      </c>
      <c r="J325" s="28">
        <v>2.41</v>
      </c>
      <c r="K325" s="126">
        <v>0.19</v>
      </c>
      <c r="L325" s="126">
        <v>1.3</v>
      </c>
      <c r="M325" s="126">
        <v>0</v>
      </c>
      <c r="N325" s="126">
        <v>0</v>
      </c>
      <c r="O325" s="126">
        <v>0.6</v>
      </c>
      <c r="P325" s="126">
        <v>0.88500000000000001</v>
      </c>
      <c r="Q325" s="126">
        <v>1</v>
      </c>
      <c r="R325" s="126">
        <v>0</v>
      </c>
      <c r="S325" s="126">
        <v>0</v>
      </c>
      <c r="T325" s="126">
        <v>0</v>
      </c>
      <c r="U325" s="126">
        <v>0</v>
      </c>
      <c r="V325" s="126">
        <v>0</v>
      </c>
      <c r="W325" s="126">
        <v>0</v>
      </c>
      <c r="X325" s="126">
        <v>0</v>
      </c>
      <c r="Y325" s="126">
        <v>0</v>
      </c>
      <c r="Z325" s="142">
        <v>12</v>
      </c>
      <c r="AA325" s="126">
        <v>0</v>
      </c>
      <c r="AB325" s="126">
        <v>0</v>
      </c>
      <c r="AC325" s="126">
        <v>0</v>
      </c>
      <c r="AD325" s="126">
        <v>0</v>
      </c>
      <c r="AE325" s="126">
        <v>0</v>
      </c>
      <c r="AF325" s="126">
        <v>0.15</v>
      </c>
      <c r="AG325" t="s">
        <v>3157</v>
      </c>
    </row>
    <row r="326" spans="1:33" x14ac:dyDescent="0.3">
      <c r="A326">
        <v>400</v>
      </c>
      <c r="B326" t="s">
        <v>3158</v>
      </c>
      <c r="C326" t="s">
        <v>199</v>
      </c>
      <c r="D326">
        <v>10662</v>
      </c>
      <c r="E326">
        <v>11729</v>
      </c>
      <c r="F326">
        <v>100</v>
      </c>
      <c r="G326">
        <v>1500</v>
      </c>
      <c r="H326">
        <v>0</v>
      </c>
      <c r="I326">
        <v>1.8</v>
      </c>
      <c r="J326" s="28">
        <v>4.8</v>
      </c>
      <c r="K326" s="126">
        <v>0.19</v>
      </c>
      <c r="L326" s="126">
        <v>1.4</v>
      </c>
      <c r="M326" s="126">
        <v>0.1</v>
      </c>
      <c r="N326" s="126">
        <v>0</v>
      </c>
      <c r="O326" s="126">
        <v>0.6</v>
      </c>
      <c r="P326" s="126">
        <v>0.85</v>
      </c>
      <c r="Q326" s="126">
        <v>0.6</v>
      </c>
      <c r="R326" s="126">
        <v>0</v>
      </c>
      <c r="S326" s="126">
        <v>0.7</v>
      </c>
      <c r="T326" s="126">
        <v>20</v>
      </c>
      <c r="U326" s="126">
        <v>100</v>
      </c>
      <c r="V326" s="126">
        <v>0</v>
      </c>
      <c r="W326" s="126">
        <v>0</v>
      </c>
      <c r="X326" s="126">
        <v>0</v>
      </c>
      <c r="Y326" s="126">
        <v>0</v>
      </c>
      <c r="Z326" s="142">
        <v>2</v>
      </c>
      <c r="AA326" s="126">
        <v>0</v>
      </c>
      <c r="AB326" s="126">
        <v>0.7</v>
      </c>
      <c r="AC326" s="126">
        <v>0</v>
      </c>
      <c r="AD326" s="126">
        <v>0</v>
      </c>
      <c r="AE326" s="126">
        <v>0</v>
      </c>
      <c r="AF326" s="126">
        <v>27.3</v>
      </c>
      <c r="AG326" t="s">
        <v>3159</v>
      </c>
    </row>
    <row r="327" spans="1:33" x14ac:dyDescent="0.3">
      <c r="A327">
        <v>401</v>
      </c>
      <c r="B327" t="s">
        <v>3160</v>
      </c>
      <c r="C327" t="s">
        <v>199</v>
      </c>
      <c r="D327">
        <v>969</v>
      </c>
      <c r="E327">
        <v>1066</v>
      </c>
      <c r="F327">
        <v>100</v>
      </c>
      <c r="G327">
        <v>1000</v>
      </c>
      <c r="H327">
        <v>0</v>
      </c>
      <c r="I327">
        <v>1.8</v>
      </c>
      <c r="J327" s="28">
        <v>4.83</v>
      </c>
      <c r="K327" s="126">
        <v>0.28000000000000003</v>
      </c>
      <c r="L327" s="126">
        <v>1.4</v>
      </c>
      <c r="M327" s="126">
        <v>0.1</v>
      </c>
      <c r="N327" s="126">
        <v>0</v>
      </c>
      <c r="O327" s="126">
        <v>0.6</v>
      </c>
      <c r="P327" s="126">
        <v>0.88500000000000001</v>
      </c>
      <c r="Q327" s="126">
        <v>0.6</v>
      </c>
      <c r="R327" s="126">
        <v>0</v>
      </c>
      <c r="S327" s="126">
        <v>0</v>
      </c>
      <c r="T327" s="126">
        <v>0</v>
      </c>
      <c r="U327" s="126">
        <v>0</v>
      </c>
      <c r="V327" s="126">
        <v>0</v>
      </c>
      <c r="W327" s="126">
        <v>0</v>
      </c>
      <c r="X327" s="126">
        <v>0</v>
      </c>
      <c r="Y327" s="126">
        <v>0</v>
      </c>
      <c r="Z327" s="142">
        <v>0</v>
      </c>
      <c r="AA327" s="126">
        <v>0</v>
      </c>
      <c r="AB327" s="126">
        <v>0</v>
      </c>
      <c r="AC327" s="126">
        <v>0</v>
      </c>
      <c r="AD327" s="126">
        <v>0</v>
      </c>
      <c r="AE327" s="126">
        <v>0</v>
      </c>
      <c r="AF327" s="126">
        <v>0.15</v>
      </c>
      <c r="AG327" t="s">
        <v>3161</v>
      </c>
    </row>
    <row r="328" spans="1:33" x14ac:dyDescent="0.3">
      <c r="A328">
        <v>402</v>
      </c>
      <c r="B328" t="s">
        <v>318</v>
      </c>
      <c r="C328" t="s">
        <v>199</v>
      </c>
      <c r="D328">
        <v>35573</v>
      </c>
      <c r="E328">
        <v>39131</v>
      </c>
      <c r="F328">
        <v>50</v>
      </c>
      <c r="G328">
        <v>2500</v>
      </c>
      <c r="H328">
        <v>0</v>
      </c>
      <c r="I328">
        <v>1.8</v>
      </c>
      <c r="J328" s="28">
        <v>3.22</v>
      </c>
      <c r="K328" s="126">
        <v>0.19</v>
      </c>
      <c r="L328" s="126">
        <v>1.4</v>
      </c>
      <c r="M328" s="126">
        <v>0.1</v>
      </c>
      <c r="N328" s="126">
        <v>0</v>
      </c>
      <c r="O328" s="126">
        <v>0.6</v>
      </c>
      <c r="P328" s="126">
        <v>0.88500000000000001</v>
      </c>
      <c r="Q328" s="126">
        <v>0.7</v>
      </c>
      <c r="R328" s="126">
        <v>0</v>
      </c>
      <c r="S328" s="126">
        <v>0.8</v>
      </c>
      <c r="T328" s="126">
        <v>20</v>
      </c>
      <c r="U328" s="126">
        <v>150</v>
      </c>
      <c r="V328" s="126">
        <v>0</v>
      </c>
      <c r="W328" s="126">
        <v>0</v>
      </c>
      <c r="X328" s="126">
        <v>0</v>
      </c>
      <c r="Y328" s="126">
        <v>0</v>
      </c>
      <c r="Z328" s="142">
        <v>2</v>
      </c>
      <c r="AA328" s="126">
        <v>0.95</v>
      </c>
      <c r="AB328" s="126">
        <v>0.95</v>
      </c>
      <c r="AC328" s="126">
        <v>0</v>
      </c>
      <c r="AD328" s="126">
        <v>0</v>
      </c>
      <c r="AE328" s="126">
        <v>0</v>
      </c>
      <c r="AF328" s="126">
        <v>27.3</v>
      </c>
      <c r="AG328" t="s">
        <v>2486</v>
      </c>
    </row>
    <row r="329" spans="1:33" x14ac:dyDescent="0.3">
      <c r="A329">
        <v>403</v>
      </c>
      <c r="B329" t="s">
        <v>3162</v>
      </c>
      <c r="C329" t="s">
        <v>199</v>
      </c>
      <c r="D329">
        <v>2369</v>
      </c>
      <c r="E329">
        <v>2606</v>
      </c>
      <c r="F329">
        <v>50</v>
      </c>
      <c r="G329">
        <v>2500</v>
      </c>
      <c r="H329">
        <v>0</v>
      </c>
      <c r="I329">
        <v>5.5</v>
      </c>
      <c r="J329" s="28">
        <v>4.83</v>
      </c>
      <c r="K329" s="126">
        <v>0.28000000000000003</v>
      </c>
      <c r="L329" s="126">
        <v>1.4</v>
      </c>
      <c r="M329" s="126">
        <v>0.1</v>
      </c>
      <c r="N329" s="126">
        <v>0</v>
      </c>
      <c r="O329" s="126">
        <v>0.6</v>
      </c>
      <c r="P329" s="126">
        <v>0.88500000000000001</v>
      </c>
      <c r="Q329" s="126">
        <v>0.7</v>
      </c>
      <c r="R329" s="126">
        <v>0</v>
      </c>
      <c r="S329" s="126">
        <v>0</v>
      </c>
      <c r="T329" s="126">
        <v>0</v>
      </c>
      <c r="U329" s="126">
        <v>0</v>
      </c>
      <c r="V329" s="126">
        <v>0</v>
      </c>
      <c r="W329" s="126">
        <v>0</v>
      </c>
      <c r="X329" s="126">
        <v>0</v>
      </c>
      <c r="Y329" s="126">
        <v>0</v>
      </c>
      <c r="Z329" s="142">
        <v>0</v>
      </c>
      <c r="AA329" s="126">
        <v>0</v>
      </c>
      <c r="AB329" s="126">
        <v>0</v>
      </c>
      <c r="AC329" s="126">
        <v>0</v>
      </c>
      <c r="AD329" s="126">
        <v>0</v>
      </c>
      <c r="AE329" s="126">
        <v>0</v>
      </c>
      <c r="AF329" s="126">
        <v>0.15</v>
      </c>
      <c r="AG329" t="s">
        <v>3163</v>
      </c>
    </row>
    <row r="330" spans="1:33" x14ac:dyDescent="0.3">
      <c r="A330">
        <v>404</v>
      </c>
      <c r="B330" t="s">
        <v>3164</v>
      </c>
      <c r="C330" t="s">
        <v>199</v>
      </c>
      <c r="D330">
        <v>26753</v>
      </c>
      <c r="E330">
        <v>29428</v>
      </c>
      <c r="F330">
        <v>50</v>
      </c>
      <c r="G330">
        <v>2500</v>
      </c>
      <c r="H330">
        <v>0</v>
      </c>
      <c r="I330">
        <v>3.7</v>
      </c>
      <c r="J330" s="28">
        <v>4.83</v>
      </c>
      <c r="K330" s="126">
        <v>0.06</v>
      </c>
      <c r="L330" s="126">
        <v>2</v>
      </c>
      <c r="M330" s="126">
        <v>0.1</v>
      </c>
      <c r="N330" s="126">
        <v>0</v>
      </c>
      <c r="O330" s="126">
        <v>0.6</v>
      </c>
      <c r="P330" s="126">
        <v>0.88500000000000001</v>
      </c>
      <c r="Q330" s="126">
        <v>0.7</v>
      </c>
      <c r="R330" s="126">
        <v>0</v>
      </c>
      <c r="S330" s="126">
        <v>0.25</v>
      </c>
      <c r="T330" s="126">
        <v>20</v>
      </c>
      <c r="U330" s="126">
        <v>50</v>
      </c>
      <c r="V330" s="126">
        <v>0</v>
      </c>
      <c r="W330" s="126">
        <v>0</v>
      </c>
      <c r="X330" s="126">
        <v>0</v>
      </c>
      <c r="Y330" s="126">
        <v>0</v>
      </c>
      <c r="Z330" s="142">
        <v>0</v>
      </c>
      <c r="AA330" s="126">
        <v>0</v>
      </c>
      <c r="AB330" s="126">
        <v>0</v>
      </c>
      <c r="AC330" s="126">
        <v>0</v>
      </c>
      <c r="AD330" s="126">
        <v>0</v>
      </c>
      <c r="AE330" s="126">
        <v>0</v>
      </c>
      <c r="AF330" s="126">
        <v>0.15</v>
      </c>
      <c r="AG330" t="s">
        <v>3165</v>
      </c>
    </row>
    <row r="331" spans="1:33" x14ac:dyDescent="0.3">
      <c r="A331">
        <v>405</v>
      </c>
      <c r="B331" t="s">
        <v>3166</v>
      </c>
      <c r="C331" t="s">
        <v>199</v>
      </c>
      <c r="D331">
        <v>2692</v>
      </c>
      <c r="E331">
        <v>2962</v>
      </c>
      <c r="F331">
        <v>50</v>
      </c>
      <c r="G331">
        <v>2000</v>
      </c>
      <c r="H331">
        <v>0</v>
      </c>
      <c r="I331">
        <v>2.4</v>
      </c>
      <c r="J331" s="28">
        <v>4.83</v>
      </c>
      <c r="K331" s="126">
        <v>0.16</v>
      </c>
      <c r="L331" s="126">
        <v>1.3</v>
      </c>
      <c r="M331" s="126">
        <v>0.1</v>
      </c>
      <c r="N331" s="126">
        <v>0</v>
      </c>
      <c r="O331" s="126">
        <v>0.6</v>
      </c>
      <c r="P331" s="126">
        <v>0.88500000000000001</v>
      </c>
      <c r="Q331" s="126">
        <v>0.7</v>
      </c>
      <c r="R331" s="126">
        <v>0</v>
      </c>
      <c r="S331" s="126">
        <v>0.25</v>
      </c>
      <c r="T331" s="126">
        <v>20</v>
      </c>
      <c r="U331" s="126">
        <v>50</v>
      </c>
      <c r="V331" s="126">
        <v>0</v>
      </c>
      <c r="W331" s="126">
        <v>0</v>
      </c>
      <c r="X331" s="126">
        <v>0</v>
      </c>
      <c r="Y331" s="126">
        <v>0</v>
      </c>
      <c r="Z331" s="142">
        <v>0</v>
      </c>
      <c r="AA331" s="126">
        <v>0</v>
      </c>
      <c r="AB331" s="126">
        <v>0</v>
      </c>
      <c r="AC331" s="126">
        <v>0</v>
      </c>
      <c r="AD331" s="126">
        <v>0</v>
      </c>
      <c r="AE331" s="126">
        <v>0</v>
      </c>
      <c r="AF331" s="126">
        <v>2.9249999999999998</v>
      </c>
      <c r="AG331" t="s">
        <v>3167</v>
      </c>
    </row>
    <row r="332" spans="1:33" x14ac:dyDescent="0.3">
      <c r="A332">
        <v>406</v>
      </c>
      <c r="B332" t="s">
        <v>3168</v>
      </c>
      <c r="C332" t="s">
        <v>199</v>
      </c>
      <c r="D332">
        <v>4071</v>
      </c>
      <c r="E332">
        <v>4478</v>
      </c>
      <c r="F332">
        <v>150</v>
      </c>
      <c r="G332">
        <v>2250</v>
      </c>
      <c r="H332">
        <v>0</v>
      </c>
      <c r="I332">
        <v>5.5</v>
      </c>
      <c r="J332" s="28">
        <v>3.22</v>
      </c>
      <c r="K332" s="126">
        <v>0.28000000000000003</v>
      </c>
      <c r="L332" s="126">
        <v>1.4</v>
      </c>
      <c r="M332" s="126">
        <v>0</v>
      </c>
      <c r="N332" s="126">
        <v>0</v>
      </c>
      <c r="O332" s="126">
        <v>0.6</v>
      </c>
      <c r="P332" s="126">
        <v>0.88500000000000001</v>
      </c>
      <c r="Q332" s="126">
        <v>1</v>
      </c>
      <c r="R332" s="126">
        <v>0</v>
      </c>
      <c r="S332" s="126">
        <v>0</v>
      </c>
      <c r="T332" s="126">
        <v>0</v>
      </c>
      <c r="U332" s="126">
        <v>0</v>
      </c>
      <c r="V332" s="126">
        <v>0</v>
      </c>
      <c r="W332" s="126">
        <v>0</v>
      </c>
      <c r="X332" s="126">
        <v>0</v>
      </c>
      <c r="Y332" s="126">
        <v>0</v>
      </c>
      <c r="Z332" s="142">
        <v>0</v>
      </c>
      <c r="AA332" s="126">
        <v>0</v>
      </c>
      <c r="AB332" s="126">
        <v>0</v>
      </c>
      <c r="AC332" s="126">
        <v>0</v>
      </c>
      <c r="AD332" s="126">
        <v>0</v>
      </c>
      <c r="AE332" s="126">
        <v>0</v>
      </c>
      <c r="AF332" s="126">
        <v>0.15</v>
      </c>
      <c r="AG332" t="s">
        <v>3169</v>
      </c>
    </row>
    <row r="333" spans="1:33" x14ac:dyDescent="0.3">
      <c r="A333">
        <v>407</v>
      </c>
      <c r="B333" t="s">
        <v>3170</v>
      </c>
      <c r="C333" t="s">
        <v>199</v>
      </c>
      <c r="D333">
        <v>6462</v>
      </c>
      <c r="E333">
        <v>7108</v>
      </c>
      <c r="F333">
        <v>150</v>
      </c>
      <c r="G333">
        <v>1050</v>
      </c>
      <c r="H333">
        <v>0</v>
      </c>
      <c r="I333">
        <v>5.5</v>
      </c>
      <c r="J333" s="28">
        <v>3.2</v>
      </c>
      <c r="K333" s="126">
        <v>0.28000000000000003</v>
      </c>
      <c r="L333" s="126">
        <v>1.4</v>
      </c>
      <c r="M333" s="126">
        <v>0</v>
      </c>
      <c r="N333" s="126">
        <v>0</v>
      </c>
      <c r="O333" s="126">
        <v>0.6</v>
      </c>
      <c r="P333" s="126">
        <v>0.88500000000000001</v>
      </c>
      <c r="Q333" s="126">
        <v>0.88</v>
      </c>
      <c r="R333" s="126">
        <v>0</v>
      </c>
      <c r="S333" s="126">
        <v>0</v>
      </c>
      <c r="T333" s="126">
        <v>0</v>
      </c>
      <c r="U333" s="126">
        <v>0</v>
      </c>
      <c r="V333" s="126">
        <v>0</v>
      </c>
      <c r="W333" s="126">
        <v>0</v>
      </c>
      <c r="X333" s="126">
        <v>0</v>
      </c>
      <c r="Y333" s="126">
        <v>0</v>
      </c>
      <c r="Z333" s="142">
        <v>0</v>
      </c>
      <c r="AA333" s="126">
        <v>0</v>
      </c>
      <c r="AB333" s="126">
        <v>0</v>
      </c>
      <c r="AC333" s="126">
        <v>0</v>
      </c>
      <c r="AD333" s="126">
        <v>0</v>
      </c>
      <c r="AE333" s="126">
        <v>0</v>
      </c>
      <c r="AF333" s="126">
        <v>0.15</v>
      </c>
      <c r="AG333" t="s">
        <v>3171</v>
      </c>
    </row>
    <row r="334" spans="1:33" x14ac:dyDescent="0.3">
      <c r="A334">
        <v>408</v>
      </c>
      <c r="B334" t="s">
        <v>319</v>
      </c>
      <c r="C334" t="s">
        <v>187</v>
      </c>
      <c r="D334">
        <v>60916</v>
      </c>
      <c r="E334">
        <v>67008</v>
      </c>
      <c r="F334">
        <v>425</v>
      </c>
      <c r="G334">
        <v>6000</v>
      </c>
      <c r="H334">
        <v>0</v>
      </c>
      <c r="I334">
        <v>1.8</v>
      </c>
      <c r="J334" s="28">
        <v>4.83</v>
      </c>
      <c r="K334" s="126">
        <v>0.19</v>
      </c>
      <c r="L334" s="126">
        <v>1.3</v>
      </c>
      <c r="M334" s="126">
        <v>0.1</v>
      </c>
      <c r="N334" s="126">
        <v>0.223</v>
      </c>
      <c r="O334" s="126">
        <v>0.6</v>
      </c>
      <c r="P334" s="126">
        <v>0.88500000000000001</v>
      </c>
      <c r="Q334" s="126">
        <v>1</v>
      </c>
      <c r="R334" s="126">
        <v>0</v>
      </c>
      <c r="S334" s="126">
        <v>0</v>
      </c>
      <c r="T334" s="126">
        <v>0</v>
      </c>
      <c r="U334" s="126">
        <v>0</v>
      </c>
      <c r="V334" s="126">
        <v>0</v>
      </c>
      <c r="W334" s="126">
        <v>0</v>
      </c>
      <c r="X334" s="126">
        <v>0</v>
      </c>
      <c r="Y334" s="126">
        <v>0</v>
      </c>
      <c r="Z334" s="142">
        <v>12</v>
      </c>
      <c r="AA334" s="126">
        <v>0</v>
      </c>
      <c r="AB334" s="126">
        <v>0</v>
      </c>
      <c r="AC334" s="126">
        <v>0</v>
      </c>
      <c r="AD334" s="126">
        <v>0</v>
      </c>
      <c r="AE334" s="126">
        <v>0</v>
      </c>
      <c r="AF334" s="126">
        <v>0</v>
      </c>
      <c r="AG334" t="s">
        <v>2487</v>
      </c>
    </row>
    <row r="335" spans="1:33" x14ac:dyDescent="0.3">
      <c r="A335">
        <v>409</v>
      </c>
      <c r="B335" t="s">
        <v>3172</v>
      </c>
      <c r="C335" t="s">
        <v>199</v>
      </c>
      <c r="D335">
        <v>7000</v>
      </c>
      <c r="E335">
        <v>7701</v>
      </c>
      <c r="F335">
        <v>200</v>
      </c>
      <c r="G335">
        <v>1200</v>
      </c>
      <c r="H335">
        <v>0</v>
      </c>
      <c r="I335">
        <v>6.1</v>
      </c>
      <c r="J335" s="28">
        <v>4.83</v>
      </c>
      <c r="K335" s="126">
        <v>0.16</v>
      </c>
      <c r="L335" s="126">
        <v>2</v>
      </c>
      <c r="M335" s="126">
        <v>0</v>
      </c>
      <c r="N335" s="126">
        <v>0</v>
      </c>
      <c r="O335" s="126">
        <v>0.6</v>
      </c>
      <c r="P335" s="126">
        <v>0.88500000000000001</v>
      </c>
      <c r="Q335" s="126">
        <v>0.7</v>
      </c>
      <c r="R335" s="126">
        <v>0</v>
      </c>
      <c r="S335" s="126">
        <v>0</v>
      </c>
      <c r="T335" s="126">
        <v>0</v>
      </c>
      <c r="U335" s="126">
        <v>0</v>
      </c>
      <c r="V335" s="126">
        <v>0</v>
      </c>
      <c r="W335" s="126">
        <v>0</v>
      </c>
      <c r="X335" s="126">
        <v>0</v>
      </c>
      <c r="Y335" s="126">
        <v>0</v>
      </c>
      <c r="Z335" s="142">
        <v>0</v>
      </c>
      <c r="AA335" s="126">
        <v>0</v>
      </c>
      <c r="AB335" s="126">
        <v>0</v>
      </c>
      <c r="AC335" s="126">
        <v>0</v>
      </c>
      <c r="AD335" s="126">
        <v>0</v>
      </c>
      <c r="AE335" s="126">
        <v>0</v>
      </c>
      <c r="AF335" s="126">
        <v>4.875</v>
      </c>
      <c r="AG335" t="s">
        <v>3173</v>
      </c>
    </row>
    <row r="336" spans="1:33" x14ac:dyDescent="0.3">
      <c r="A336">
        <v>410</v>
      </c>
      <c r="B336" t="s">
        <v>320</v>
      </c>
      <c r="C336" t="s">
        <v>199</v>
      </c>
      <c r="D336">
        <v>2736</v>
      </c>
      <c r="E336">
        <v>3009</v>
      </c>
      <c r="F336">
        <v>50</v>
      </c>
      <c r="G336">
        <v>2000</v>
      </c>
      <c r="H336">
        <v>0</v>
      </c>
      <c r="I336">
        <v>1.2</v>
      </c>
      <c r="J336" s="28">
        <v>4.83</v>
      </c>
      <c r="K336" s="126">
        <v>0.19</v>
      </c>
      <c r="L336" s="126">
        <v>1.4</v>
      </c>
      <c r="M336" s="126">
        <v>0.1</v>
      </c>
      <c r="N336" s="126">
        <v>0</v>
      </c>
      <c r="O336" s="126">
        <v>0.6</v>
      </c>
      <c r="P336" s="126">
        <v>0.88500000000000001</v>
      </c>
      <c r="Q336" s="126">
        <v>0.87</v>
      </c>
      <c r="R336" s="126">
        <v>0</v>
      </c>
      <c r="S336" s="126">
        <v>0</v>
      </c>
      <c r="T336" s="126">
        <v>0</v>
      </c>
      <c r="U336" s="126">
        <v>-50</v>
      </c>
      <c r="V336" s="126">
        <v>0</v>
      </c>
      <c r="W336" s="126">
        <v>0</v>
      </c>
      <c r="X336" s="126">
        <v>0</v>
      </c>
      <c r="Y336" s="126">
        <v>0</v>
      </c>
      <c r="Z336" s="142">
        <v>2</v>
      </c>
      <c r="AA336" s="126">
        <v>0.95</v>
      </c>
      <c r="AB336" s="126">
        <v>0</v>
      </c>
      <c r="AC336" s="126">
        <v>0</v>
      </c>
      <c r="AD336" s="126">
        <v>0</v>
      </c>
      <c r="AE336" s="126">
        <v>0</v>
      </c>
      <c r="AF336" s="126">
        <v>0.15</v>
      </c>
      <c r="AG336" t="s">
        <v>2488</v>
      </c>
    </row>
    <row r="337" spans="1:33" x14ac:dyDescent="0.3">
      <c r="A337">
        <v>411</v>
      </c>
      <c r="B337" t="s">
        <v>3174</v>
      </c>
      <c r="C337" t="s">
        <v>199</v>
      </c>
      <c r="D337">
        <v>10232</v>
      </c>
      <c r="E337">
        <v>11255</v>
      </c>
      <c r="F337">
        <v>80</v>
      </c>
      <c r="G337">
        <v>720</v>
      </c>
      <c r="H337">
        <v>0</v>
      </c>
      <c r="I337">
        <v>1.8</v>
      </c>
      <c r="J337" s="28">
        <v>3.22</v>
      </c>
      <c r="K337" s="126">
        <v>0.44</v>
      </c>
      <c r="L337" s="126">
        <v>2</v>
      </c>
      <c r="M337" s="126">
        <v>0</v>
      </c>
      <c r="N337" s="126">
        <v>0</v>
      </c>
      <c r="O337" s="126">
        <v>0.6</v>
      </c>
      <c r="P337" s="126">
        <v>0.88500000000000001</v>
      </c>
      <c r="Q337" s="126">
        <v>0.8</v>
      </c>
      <c r="R337" s="126">
        <v>0</v>
      </c>
      <c r="S337" s="126">
        <v>0</v>
      </c>
      <c r="T337" s="126">
        <v>0</v>
      </c>
      <c r="U337" s="126">
        <v>0</v>
      </c>
      <c r="V337" s="126">
        <v>0</v>
      </c>
      <c r="W337" s="126">
        <v>0</v>
      </c>
      <c r="X337" s="126">
        <v>0</v>
      </c>
      <c r="Y337" s="126">
        <v>0</v>
      </c>
      <c r="Z337" s="142">
        <v>0</v>
      </c>
      <c r="AA337" s="126">
        <v>0</v>
      </c>
      <c r="AB337" s="126">
        <v>0</v>
      </c>
      <c r="AC337" s="126">
        <v>0</v>
      </c>
      <c r="AD337" s="126">
        <v>0</v>
      </c>
      <c r="AE337" s="126">
        <v>0</v>
      </c>
      <c r="AF337" s="126">
        <v>0.15</v>
      </c>
      <c r="AG337" t="s">
        <v>3175</v>
      </c>
    </row>
    <row r="338" spans="1:33" x14ac:dyDescent="0.3">
      <c r="A338">
        <v>412</v>
      </c>
      <c r="B338" t="s">
        <v>3176</v>
      </c>
      <c r="C338" t="s">
        <v>199</v>
      </c>
      <c r="D338">
        <v>4074</v>
      </c>
      <c r="E338">
        <v>4482</v>
      </c>
      <c r="F338">
        <v>300</v>
      </c>
      <c r="G338">
        <v>2700</v>
      </c>
      <c r="H338">
        <v>0</v>
      </c>
      <c r="I338">
        <v>1.8</v>
      </c>
      <c r="J338" s="28">
        <v>9.01</v>
      </c>
      <c r="K338" s="126">
        <v>0.23</v>
      </c>
      <c r="L338" s="126">
        <v>1.4</v>
      </c>
      <c r="M338" s="126">
        <v>0</v>
      </c>
      <c r="N338" s="126">
        <v>0</v>
      </c>
      <c r="O338" s="126">
        <v>0.6</v>
      </c>
      <c r="P338" s="126">
        <v>0.88500000000000001</v>
      </c>
      <c r="Q338" s="126">
        <v>1</v>
      </c>
      <c r="R338" s="126">
        <v>0</v>
      </c>
      <c r="S338" s="126">
        <v>0</v>
      </c>
      <c r="T338" s="126">
        <v>0</v>
      </c>
      <c r="U338" s="126">
        <v>0</v>
      </c>
      <c r="V338" s="126">
        <v>0</v>
      </c>
      <c r="W338" s="126">
        <v>0</v>
      </c>
      <c r="X338" s="126">
        <v>0</v>
      </c>
      <c r="Y338" s="126">
        <v>0</v>
      </c>
      <c r="Z338" s="142">
        <v>0</v>
      </c>
      <c r="AA338" s="126">
        <v>0</v>
      </c>
      <c r="AB338" s="126">
        <v>0</v>
      </c>
      <c r="AC338" s="126">
        <v>0</v>
      </c>
      <c r="AD338" s="126">
        <v>0</v>
      </c>
      <c r="AE338" s="126">
        <v>0</v>
      </c>
      <c r="AF338" s="126">
        <v>0</v>
      </c>
      <c r="AG338" t="s">
        <v>3177</v>
      </c>
    </row>
    <row r="339" spans="1:33" x14ac:dyDescent="0.3">
      <c r="A339">
        <v>413</v>
      </c>
      <c r="B339" t="s">
        <v>3178</v>
      </c>
      <c r="C339" t="s">
        <v>199</v>
      </c>
      <c r="D339">
        <v>1292</v>
      </c>
      <c r="E339">
        <v>1422</v>
      </c>
      <c r="F339">
        <v>75</v>
      </c>
      <c r="G339">
        <v>675</v>
      </c>
      <c r="H339">
        <v>0</v>
      </c>
      <c r="I339">
        <v>5.5</v>
      </c>
      <c r="J339" s="28">
        <v>1.61</v>
      </c>
      <c r="K339" s="126">
        <v>0.16</v>
      </c>
      <c r="L339" s="126">
        <v>1.3</v>
      </c>
      <c r="M339" s="126">
        <v>0</v>
      </c>
      <c r="N339" s="126">
        <v>0</v>
      </c>
      <c r="O339" s="126">
        <v>0.6</v>
      </c>
      <c r="P339" s="126">
        <v>0.88500000000000001</v>
      </c>
      <c r="Q339" s="126">
        <v>1</v>
      </c>
      <c r="R339" s="126">
        <v>0</v>
      </c>
      <c r="S339" s="126">
        <v>0</v>
      </c>
      <c r="T339" s="126">
        <v>0</v>
      </c>
      <c r="U339" s="126">
        <v>0</v>
      </c>
      <c r="V339" s="126">
        <v>0</v>
      </c>
      <c r="W339" s="126">
        <v>0</v>
      </c>
      <c r="X339" s="126">
        <v>0</v>
      </c>
      <c r="Y339" s="126">
        <v>0</v>
      </c>
      <c r="Z339" s="142">
        <v>0</v>
      </c>
      <c r="AA339" s="126">
        <v>0</v>
      </c>
      <c r="AB339" s="126">
        <v>0</v>
      </c>
      <c r="AC339" s="126">
        <v>0</v>
      </c>
      <c r="AD339" s="126">
        <v>0</v>
      </c>
      <c r="AE339" s="126">
        <v>0</v>
      </c>
      <c r="AF339" s="126">
        <v>2.9249999999999998</v>
      </c>
      <c r="AG339" t="s">
        <v>3179</v>
      </c>
    </row>
    <row r="340" spans="1:33" x14ac:dyDescent="0.3">
      <c r="A340">
        <v>414</v>
      </c>
      <c r="B340" t="s">
        <v>3180</v>
      </c>
      <c r="C340" t="s">
        <v>199</v>
      </c>
      <c r="D340">
        <v>582</v>
      </c>
      <c r="E340">
        <v>640</v>
      </c>
      <c r="F340">
        <v>125</v>
      </c>
      <c r="G340">
        <v>1125</v>
      </c>
      <c r="H340">
        <v>0</v>
      </c>
      <c r="I340">
        <v>1.8</v>
      </c>
      <c r="J340" s="28">
        <v>4.83</v>
      </c>
      <c r="K340" s="126">
        <v>0.16</v>
      </c>
      <c r="L340" s="126">
        <v>1.3</v>
      </c>
      <c r="M340" s="126">
        <v>0</v>
      </c>
      <c r="N340" s="126">
        <v>0</v>
      </c>
      <c r="O340" s="126">
        <v>0.16</v>
      </c>
      <c r="P340" s="126">
        <v>0.92</v>
      </c>
      <c r="Q340" s="126">
        <v>0.7</v>
      </c>
      <c r="R340" s="126">
        <v>0</v>
      </c>
      <c r="S340" s="126">
        <v>0</v>
      </c>
      <c r="T340" s="126">
        <v>0</v>
      </c>
      <c r="U340" s="126">
        <v>0</v>
      </c>
      <c r="V340" s="126">
        <v>0</v>
      </c>
      <c r="W340" s="126">
        <v>0</v>
      </c>
      <c r="X340" s="126">
        <v>0</v>
      </c>
      <c r="Y340" s="126">
        <v>0</v>
      </c>
      <c r="Z340" s="142">
        <v>0</v>
      </c>
      <c r="AA340" s="126">
        <v>0</v>
      </c>
      <c r="AB340" s="126">
        <v>0</v>
      </c>
      <c r="AC340" s="126">
        <v>0</v>
      </c>
      <c r="AD340" s="126">
        <v>0</v>
      </c>
      <c r="AE340" s="126">
        <v>0</v>
      </c>
      <c r="AF340" s="126">
        <v>2.9249999999999998</v>
      </c>
      <c r="AG340" t="s">
        <v>3181</v>
      </c>
    </row>
    <row r="341" spans="1:33" x14ac:dyDescent="0.3">
      <c r="A341">
        <v>415</v>
      </c>
      <c r="B341" t="s">
        <v>3182</v>
      </c>
      <c r="C341" t="s">
        <v>199</v>
      </c>
      <c r="D341">
        <v>14540</v>
      </c>
      <c r="E341">
        <v>15993</v>
      </c>
      <c r="F341">
        <v>330</v>
      </c>
      <c r="G341">
        <v>2970</v>
      </c>
      <c r="H341">
        <v>0</v>
      </c>
      <c r="I341">
        <v>1.8</v>
      </c>
      <c r="J341" s="28">
        <v>2.41</v>
      </c>
      <c r="K341" s="126">
        <v>0.23</v>
      </c>
      <c r="L341" s="126">
        <v>1.8</v>
      </c>
      <c r="M341" s="126">
        <v>0.1</v>
      </c>
      <c r="N341" s="126">
        <v>0.223</v>
      </c>
      <c r="O341" s="126">
        <v>0.6</v>
      </c>
      <c r="P341" s="126">
        <v>0.88500000000000001</v>
      </c>
      <c r="Q341" s="126">
        <v>1</v>
      </c>
      <c r="R341" s="126">
        <v>0</v>
      </c>
      <c r="S341" s="126">
        <v>0</v>
      </c>
      <c r="T341" s="126">
        <v>0</v>
      </c>
      <c r="U341" s="126">
        <v>0</v>
      </c>
      <c r="V341" s="126">
        <v>0</v>
      </c>
      <c r="W341" s="126">
        <v>0</v>
      </c>
      <c r="X341" s="126">
        <v>0</v>
      </c>
      <c r="Y341" s="126">
        <v>0</v>
      </c>
      <c r="Z341" s="142">
        <v>0</v>
      </c>
      <c r="AA341" s="126">
        <v>0</v>
      </c>
      <c r="AB341" s="126">
        <v>0</v>
      </c>
      <c r="AC341" s="126">
        <v>0</v>
      </c>
      <c r="AD341" s="126">
        <v>0</v>
      </c>
      <c r="AE341" s="126">
        <v>0</v>
      </c>
      <c r="AF341" s="126">
        <v>0.15</v>
      </c>
      <c r="AG341" t="s">
        <v>3183</v>
      </c>
    </row>
    <row r="342" spans="1:33" x14ac:dyDescent="0.3">
      <c r="A342">
        <v>416</v>
      </c>
      <c r="B342" t="s">
        <v>3184</v>
      </c>
      <c r="C342" t="s">
        <v>199</v>
      </c>
      <c r="D342">
        <v>6650</v>
      </c>
      <c r="E342">
        <v>7316</v>
      </c>
      <c r="F342">
        <v>250</v>
      </c>
      <c r="G342">
        <v>1500</v>
      </c>
      <c r="H342">
        <v>0</v>
      </c>
      <c r="I342">
        <v>6.1</v>
      </c>
      <c r="J342" s="28">
        <v>2.41</v>
      </c>
      <c r="K342" s="126">
        <v>0.17</v>
      </c>
      <c r="L342" s="126">
        <v>2.2000000000000002</v>
      </c>
      <c r="M342" s="126">
        <v>0</v>
      </c>
      <c r="N342" s="126">
        <v>0</v>
      </c>
      <c r="O342" s="126">
        <v>0.6</v>
      </c>
      <c r="P342" s="126">
        <v>0.88500000000000001</v>
      </c>
      <c r="Q342" s="126">
        <v>0.7</v>
      </c>
      <c r="R342" s="126">
        <v>0</v>
      </c>
      <c r="S342" s="126">
        <v>0.55000000000000004</v>
      </c>
      <c r="T342" s="126">
        <v>20</v>
      </c>
      <c r="U342" s="126">
        <v>0</v>
      </c>
      <c r="V342" s="126">
        <v>0</v>
      </c>
      <c r="W342" s="126">
        <v>0</v>
      </c>
      <c r="X342" s="126">
        <v>0</v>
      </c>
      <c r="Y342" s="126">
        <v>0</v>
      </c>
      <c r="Z342" s="142">
        <v>0</v>
      </c>
      <c r="AA342" s="126">
        <v>0</v>
      </c>
      <c r="AB342" s="126">
        <v>0</v>
      </c>
      <c r="AC342" s="126">
        <v>0</v>
      </c>
      <c r="AD342" s="126">
        <v>0</v>
      </c>
      <c r="AE342" s="126">
        <v>0</v>
      </c>
      <c r="AF342" s="126">
        <v>31.2</v>
      </c>
      <c r="AG342" t="s">
        <v>3185</v>
      </c>
    </row>
    <row r="343" spans="1:33" x14ac:dyDescent="0.3">
      <c r="A343">
        <v>417</v>
      </c>
      <c r="B343" t="s">
        <v>321</v>
      </c>
      <c r="C343" t="s">
        <v>199</v>
      </c>
      <c r="D343">
        <v>31423</v>
      </c>
      <c r="E343">
        <v>34565</v>
      </c>
      <c r="F343">
        <v>160</v>
      </c>
      <c r="G343">
        <v>1440</v>
      </c>
      <c r="H343">
        <v>0</v>
      </c>
      <c r="I343">
        <v>1.8</v>
      </c>
      <c r="J343" s="28">
        <v>4.83</v>
      </c>
      <c r="K343" s="126">
        <v>0.32</v>
      </c>
      <c r="L343" s="126">
        <v>2.1</v>
      </c>
      <c r="M343" s="126">
        <v>0</v>
      </c>
      <c r="N343" s="126">
        <v>0</v>
      </c>
      <c r="O343" s="126">
        <v>0.6</v>
      </c>
      <c r="P343" s="126">
        <v>0.88500000000000001</v>
      </c>
      <c r="Q343" s="126">
        <v>1</v>
      </c>
      <c r="R343" s="126">
        <v>0</v>
      </c>
      <c r="S343" s="126">
        <v>0.2</v>
      </c>
      <c r="T343" s="126">
        <v>10</v>
      </c>
      <c r="U343" s="126">
        <v>0</v>
      </c>
      <c r="V343" s="126">
        <v>0</v>
      </c>
      <c r="W343" s="126">
        <v>0</v>
      </c>
      <c r="X343" s="126">
        <v>0</v>
      </c>
      <c r="Y343" s="126">
        <v>0</v>
      </c>
      <c r="Z343" s="142">
        <v>5</v>
      </c>
      <c r="AA343" s="126">
        <v>0</v>
      </c>
      <c r="AB343" s="126">
        <v>0</v>
      </c>
      <c r="AC343" s="126">
        <v>0</v>
      </c>
      <c r="AD343" s="126">
        <v>0</v>
      </c>
      <c r="AE343" s="126">
        <v>6.79</v>
      </c>
      <c r="AF343" s="126">
        <v>3.12</v>
      </c>
      <c r="AG343" t="s">
        <v>2489</v>
      </c>
    </row>
    <row r="344" spans="1:33" x14ac:dyDescent="0.3">
      <c r="A344">
        <v>418</v>
      </c>
      <c r="B344" t="s">
        <v>3186</v>
      </c>
      <c r="C344" t="s">
        <v>199</v>
      </c>
      <c r="D344">
        <v>485</v>
      </c>
      <c r="E344">
        <v>533</v>
      </c>
      <c r="F344">
        <v>150</v>
      </c>
      <c r="G344">
        <v>1200</v>
      </c>
      <c r="H344">
        <v>0</v>
      </c>
      <c r="I344">
        <v>1.8</v>
      </c>
      <c r="J344" s="28">
        <v>6.44</v>
      </c>
      <c r="K344" s="126">
        <v>0.18</v>
      </c>
      <c r="L344" s="126">
        <v>1.7</v>
      </c>
      <c r="M344" s="126">
        <v>0</v>
      </c>
      <c r="N344" s="126">
        <v>0</v>
      </c>
      <c r="O344" s="126">
        <v>0.6</v>
      </c>
      <c r="P344" s="126">
        <v>0.88500000000000001</v>
      </c>
      <c r="Q344" s="126">
        <v>1</v>
      </c>
      <c r="R344" s="126">
        <v>0</v>
      </c>
      <c r="S344" s="126">
        <v>0.85</v>
      </c>
      <c r="T344" s="126">
        <v>50</v>
      </c>
      <c r="U344" s="126">
        <v>0</v>
      </c>
      <c r="V344" s="126">
        <v>0</v>
      </c>
      <c r="W344" s="126">
        <v>0</v>
      </c>
      <c r="X344" s="126">
        <v>0</v>
      </c>
      <c r="Y344" s="126">
        <v>0</v>
      </c>
      <c r="Z344" s="142">
        <v>0</v>
      </c>
      <c r="AA344" s="126">
        <v>0</v>
      </c>
      <c r="AB344" s="126">
        <v>0</v>
      </c>
      <c r="AC344" s="126">
        <v>0</v>
      </c>
      <c r="AD344" s="126">
        <v>0</v>
      </c>
      <c r="AE344" s="126">
        <v>0</v>
      </c>
      <c r="AF344" s="126">
        <v>0</v>
      </c>
      <c r="AG344" t="s">
        <v>3187</v>
      </c>
    </row>
    <row r="345" spans="1:33" x14ac:dyDescent="0.3">
      <c r="A345">
        <v>419</v>
      </c>
      <c r="B345" t="s">
        <v>3188</v>
      </c>
      <c r="C345" t="s">
        <v>199</v>
      </c>
      <c r="D345">
        <v>163</v>
      </c>
      <c r="E345">
        <v>179</v>
      </c>
      <c r="F345">
        <v>150</v>
      </c>
      <c r="G345">
        <v>1200</v>
      </c>
      <c r="H345">
        <v>0</v>
      </c>
      <c r="I345">
        <v>5.5</v>
      </c>
      <c r="J345" s="28">
        <v>6.44</v>
      </c>
      <c r="K345" s="126">
        <v>0.18</v>
      </c>
      <c r="L345" s="126">
        <v>1.7</v>
      </c>
      <c r="M345" s="126">
        <v>0</v>
      </c>
      <c r="N345" s="126">
        <v>0</v>
      </c>
      <c r="O345" s="126">
        <v>0.6</v>
      </c>
      <c r="P345" s="126">
        <v>0.88500000000000001</v>
      </c>
      <c r="Q345" s="126">
        <v>0.85</v>
      </c>
      <c r="R345" s="126">
        <v>0</v>
      </c>
      <c r="S345" s="126">
        <v>0</v>
      </c>
      <c r="T345" s="126">
        <v>0</v>
      </c>
      <c r="U345" s="126">
        <v>0</v>
      </c>
      <c r="V345" s="126">
        <v>0</v>
      </c>
      <c r="W345" s="126">
        <v>0</v>
      </c>
      <c r="X345" s="126">
        <v>0</v>
      </c>
      <c r="Y345" s="126">
        <v>0</v>
      </c>
      <c r="Z345" s="142">
        <v>0</v>
      </c>
      <c r="AA345" s="126">
        <v>0</v>
      </c>
      <c r="AB345" s="126">
        <v>0</v>
      </c>
      <c r="AC345" s="126">
        <v>0</v>
      </c>
      <c r="AD345" s="126">
        <v>0</v>
      </c>
      <c r="AE345" s="126">
        <v>0</v>
      </c>
      <c r="AF345" s="126">
        <v>0</v>
      </c>
      <c r="AG345" t="s">
        <v>3189</v>
      </c>
    </row>
    <row r="346" spans="1:33" x14ac:dyDescent="0.3">
      <c r="A346">
        <v>420</v>
      </c>
      <c r="B346" t="s">
        <v>3190</v>
      </c>
      <c r="C346" t="s">
        <v>247</v>
      </c>
      <c r="D346">
        <v>500</v>
      </c>
      <c r="E346">
        <v>0</v>
      </c>
      <c r="F346">
        <v>0</v>
      </c>
      <c r="G346">
        <v>0</v>
      </c>
      <c r="H346">
        <v>0</v>
      </c>
      <c r="I346">
        <v>0</v>
      </c>
      <c r="J346" s="28">
        <v>0</v>
      </c>
      <c r="K346" s="126">
        <v>0</v>
      </c>
      <c r="L346" s="126">
        <v>0</v>
      </c>
      <c r="M346" s="126">
        <v>0</v>
      </c>
      <c r="N346" s="126">
        <v>0</v>
      </c>
      <c r="O346" s="126">
        <v>0</v>
      </c>
      <c r="P346" s="126">
        <v>0</v>
      </c>
      <c r="Q346" s="126">
        <v>0.9</v>
      </c>
      <c r="R346" s="126">
        <v>0</v>
      </c>
      <c r="S346" s="126">
        <v>0</v>
      </c>
      <c r="T346" s="126">
        <v>0</v>
      </c>
      <c r="U346" s="126">
        <v>0</v>
      </c>
      <c r="V346" s="126">
        <v>0</v>
      </c>
      <c r="W346" s="126">
        <v>0</v>
      </c>
      <c r="X346" s="126">
        <v>0</v>
      </c>
      <c r="Y346" s="126">
        <v>0</v>
      </c>
      <c r="Z346" s="142">
        <v>23</v>
      </c>
      <c r="AA346" s="126">
        <v>0</v>
      </c>
      <c r="AB346" s="126">
        <v>0</v>
      </c>
      <c r="AC346" s="126">
        <v>0</v>
      </c>
      <c r="AD346" s="126">
        <v>0</v>
      </c>
      <c r="AE346" s="126">
        <v>0</v>
      </c>
      <c r="AF346" s="126">
        <v>0</v>
      </c>
      <c r="AG346" t="s">
        <v>3191</v>
      </c>
    </row>
    <row r="347" spans="1:33" x14ac:dyDescent="0.3">
      <c r="A347">
        <v>421</v>
      </c>
      <c r="B347" t="s">
        <v>3192</v>
      </c>
      <c r="C347" t="s">
        <v>247</v>
      </c>
      <c r="D347">
        <v>100</v>
      </c>
      <c r="E347">
        <v>0</v>
      </c>
      <c r="F347">
        <v>0</v>
      </c>
      <c r="G347">
        <v>0</v>
      </c>
      <c r="H347">
        <v>0</v>
      </c>
      <c r="I347">
        <v>0</v>
      </c>
      <c r="J347" s="28">
        <v>0</v>
      </c>
      <c r="K347" s="126">
        <v>0</v>
      </c>
      <c r="L347" s="126">
        <v>0</v>
      </c>
      <c r="M347" s="126">
        <v>0</v>
      </c>
      <c r="N347" s="126">
        <v>0</v>
      </c>
      <c r="O347" s="126">
        <v>0</v>
      </c>
      <c r="P347" s="126">
        <v>0</v>
      </c>
      <c r="Q347" s="126">
        <v>0</v>
      </c>
      <c r="R347" s="126">
        <v>0</v>
      </c>
      <c r="S347" s="126">
        <v>0</v>
      </c>
      <c r="T347" s="126">
        <v>0</v>
      </c>
      <c r="U347" s="126">
        <v>0</v>
      </c>
      <c r="V347" s="126">
        <v>0</v>
      </c>
      <c r="W347" s="126">
        <v>0</v>
      </c>
      <c r="X347" s="126">
        <v>0</v>
      </c>
      <c r="Y347" s="126">
        <v>0</v>
      </c>
      <c r="Z347" s="142">
        <v>24</v>
      </c>
      <c r="AA347" s="126">
        <v>0</v>
      </c>
      <c r="AB347" s="126">
        <v>0</v>
      </c>
      <c r="AC347" s="126">
        <v>0</v>
      </c>
      <c r="AD347" s="126">
        <v>0</v>
      </c>
      <c r="AE347" s="126">
        <v>0</v>
      </c>
      <c r="AF347" s="126">
        <v>0</v>
      </c>
      <c r="AG347" t="s">
        <v>3193</v>
      </c>
    </row>
    <row r="348" spans="1:33" x14ac:dyDescent="0.3">
      <c r="A348">
        <v>424</v>
      </c>
      <c r="B348" t="s">
        <v>324</v>
      </c>
      <c r="C348" t="s">
        <v>199</v>
      </c>
      <c r="D348">
        <v>0</v>
      </c>
      <c r="E348">
        <v>0</v>
      </c>
      <c r="F348">
        <v>0</v>
      </c>
      <c r="G348">
        <v>0</v>
      </c>
      <c r="H348">
        <v>0</v>
      </c>
      <c r="I348">
        <v>0</v>
      </c>
      <c r="J348" s="28">
        <v>0</v>
      </c>
      <c r="K348" s="126">
        <v>0</v>
      </c>
      <c r="L348" s="126">
        <v>0</v>
      </c>
      <c r="M348" s="126">
        <v>0</v>
      </c>
      <c r="N348" s="126">
        <v>0</v>
      </c>
      <c r="O348" s="126">
        <v>0</v>
      </c>
      <c r="P348" s="126">
        <v>0</v>
      </c>
      <c r="Q348" s="126">
        <v>0</v>
      </c>
      <c r="R348" s="126">
        <v>0</v>
      </c>
      <c r="S348" s="126">
        <v>0.5</v>
      </c>
      <c r="T348" s="126">
        <v>5</v>
      </c>
      <c r="U348" s="126">
        <v>75</v>
      </c>
      <c r="V348" s="126">
        <v>0</v>
      </c>
      <c r="W348" s="126">
        <v>0</v>
      </c>
      <c r="X348" s="126">
        <v>0</v>
      </c>
      <c r="Y348" s="126">
        <v>0</v>
      </c>
      <c r="Z348" s="142">
        <v>15</v>
      </c>
      <c r="AA348" s="126">
        <v>0</v>
      </c>
      <c r="AB348" s="126">
        <v>0</v>
      </c>
      <c r="AC348" s="126">
        <v>0</v>
      </c>
      <c r="AD348" s="126">
        <v>0</v>
      </c>
      <c r="AE348" s="126">
        <v>0</v>
      </c>
      <c r="AF348" s="126">
        <v>0</v>
      </c>
      <c r="AG348" t="s">
        <v>1870</v>
      </c>
    </row>
    <row r="349" spans="1:33" x14ac:dyDescent="0.3">
      <c r="A349">
        <v>425</v>
      </c>
      <c r="B349" t="s">
        <v>324</v>
      </c>
      <c r="C349" t="s">
        <v>199</v>
      </c>
      <c r="D349">
        <v>0</v>
      </c>
      <c r="E349">
        <v>0</v>
      </c>
      <c r="F349">
        <v>0</v>
      </c>
      <c r="G349">
        <v>0</v>
      </c>
      <c r="H349">
        <v>0</v>
      </c>
      <c r="I349">
        <v>0</v>
      </c>
      <c r="J349" s="28">
        <v>0</v>
      </c>
      <c r="K349" s="126">
        <v>0</v>
      </c>
      <c r="L349" s="126">
        <v>0</v>
      </c>
      <c r="M349" s="126">
        <v>0</v>
      </c>
      <c r="N349" s="126">
        <v>0</v>
      </c>
      <c r="O349" s="126">
        <v>0</v>
      </c>
      <c r="P349" s="126">
        <v>0</v>
      </c>
      <c r="Q349" s="126">
        <v>0</v>
      </c>
      <c r="R349" s="126">
        <v>0</v>
      </c>
      <c r="S349" s="126">
        <v>0</v>
      </c>
      <c r="T349" s="126">
        <v>0</v>
      </c>
      <c r="U349" s="126">
        <v>0</v>
      </c>
      <c r="V349" s="126">
        <v>0</v>
      </c>
      <c r="W349" s="126">
        <v>0</v>
      </c>
      <c r="X349" s="126">
        <v>0</v>
      </c>
      <c r="Y349" s="126">
        <v>0</v>
      </c>
      <c r="Z349" s="142">
        <v>16</v>
      </c>
      <c r="AA349" s="126">
        <v>0</v>
      </c>
      <c r="AB349" s="126">
        <v>0</v>
      </c>
      <c r="AC349" s="126">
        <v>0</v>
      </c>
      <c r="AD349" s="126">
        <v>0</v>
      </c>
      <c r="AE349" s="126">
        <v>0</v>
      </c>
      <c r="AF349" s="126">
        <v>0</v>
      </c>
      <c r="AG349" t="s">
        <v>3194</v>
      </c>
    </row>
    <row r="350" spans="1:33" x14ac:dyDescent="0.3">
      <c r="A350">
        <v>426</v>
      </c>
      <c r="B350" t="s">
        <v>326</v>
      </c>
      <c r="C350" t="s">
        <v>199</v>
      </c>
      <c r="D350">
        <v>0</v>
      </c>
      <c r="E350">
        <v>0</v>
      </c>
      <c r="F350">
        <v>0</v>
      </c>
      <c r="G350">
        <v>0</v>
      </c>
      <c r="H350">
        <v>0</v>
      </c>
      <c r="I350">
        <v>0</v>
      </c>
      <c r="J350" s="28">
        <v>0</v>
      </c>
      <c r="K350" s="126">
        <v>0</v>
      </c>
      <c r="L350" s="126">
        <v>0</v>
      </c>
      <c r="M350" s="126">
        <v>0</v>
      </c>
      <c r="N350" s="126">
        <v>0</v>
      </c>
      <c r="O350" s="126">
        <v>0</v>
      </c>
      <c r="P350" s="126">
        <v>0</v>
      </c>
      <c r="Q350" s="126">
        <v>15</v>
      </c>
      <c r="R350" s="126">
        <v>0</v>
      </c>
      <c r="S350" s="126">
        <v>0</v>
      </c>
      <c r="T350" s="126">
        <v>1.02</v>
      </c>
      <c r="U350" s="126">
        <v>30</v>
      </c>
      <c r="V350" s="126">
        <v>0</v>
      </c>
      <c r="W350" s="126">
        <v>0</v>
      </c>
      <c r="X350" s="126">
        <v>0</v>
      </c>
      <c r="Y350" s="126">
        <v>0</v>
      </c>
      <c r="Z350" s="142">
        <v>19</v>
      </c>
      <c r="AA350" s="126">
        <v>0.8</v>
      </c>
      <c r="AB350" s="126">
        <v>500</v>
      </c>
      <c r="AC350" s="126">
        <v>0</v>
      </c>
      <c r="AD350" s="126">
        <v>0</v>
      </c>
      <c r="AE350" s="126">
        <v>0</v>
      </c>
      <c r="AF350" s="126">
        <v>0.15</v>
      </c>
      <c r="AG350" t="s">
        <v>3195</v>
      </c>
    </row>
    <row r="351" spans="1:33" x14ac:dyDescent="0.3">
      <c r="A351">
        <v>427</v>
      </c>
      <c r="B351" t="s">
        <v>3196</v>
      </c>
      <c r="C351" t="s">
        <v>199</v>
      </c>
      <c r="D351">
        <v>0</v>
      </c>
      <c r="E351">
        <v>0</v>
      </c>
      <c r="F351">
        <v>0</v>
      </c>
      <c r="G351">
        <v>0</v>
      </c>
      <c r="H351">
        <v>0</v>
      </c>
      <c r="I351">
        <v>0</v>
      </c>
      <c r="J351" s="28">
        <v>0</v>
      </c>
      <c r="K351" s="126">
        <v>0</v>
      </c>
      <c r="L351" s="126">
        <v>0</v>
      </c>
      <c r="M351" s="126">
        <v>0</v>
      </c>
      <c r="N351" s="126">
        <v>0</v>
      </c>
      <c r="O351" s="126">
        <v>0</v>
      </c>
      <c r="P351" s="126">
        <v>0</v>
      </c>
      <c r="Q351" s="126">
        <v>0</v>
      </c>
      <c r="R351" s="126">
        <v>0</v>
      </c>
      <c r="S351" s="126">
        <v>0</v>
      </c>
      <c r="T351" s="126">
        <v>0</v>
      </c>
      <c r="U351" s="126">
        <v>0</v>
      </c>
      <c r="V351" s="126">
        <v>0</v>
      </c>
      <c r="W351" s="126">
        <v>0</v>
      </c>
      <c r="X351" s="126">
        <v>0</v>
      </c>
      <c r="Y351" s="126">
        <v>0</v>
      </c>
      <c r="Z351" s="142">
        <v>20</v>
      </c>
      <c r="AA351" s="126">
        <v>0</v>
      </c>
      <c r="AB351" s="126">
        <v>0</v>
      </c>
      <c r="AC351" s="126">
        <v>0</v>
      </c>
      <c r="AD351" s="126">
        <v>0</v>
      </c>
      <c r="AE351" s="126">
        <v>0</v>
      </c>
      <c r="AF351" s="126">
        <v>0</v>
      </c>
      <c r="AG351" t="s">
        <v>3197</v>
      </c>
    </row>
    <row r="352" spans="1:33" x14ac:dyDescent="0.3">
      <c r="A352">
        <v>451</v>
      </c>
      <c r="B352" t="s">
        <v>327</v>
      </c>
      <c r="C352" t="s">
        <v>199</v>
      </c>
      <c r="D352">
        <v>0</v>
      </c>
      <c r="E352">
        <v>0</v>
      </c>
      <c r="F352">
        <v>0</v>
      </c>
      <c r="G352">
        <v>0</v>
      </c>
      <c r="H352">
        <v>0</v>
      </c>
      <c r="I352">
        <v>0</v>
      </c>
      <c r="J352" s="28">
        <v>0</v>
      </c>
      <c r="K352" s="126">
        <v>0</v>
      </c>
      <c r="L352" s="126">
        <v>0</v>
      </c>
      <c r="M352" s="126">
        <v>0</v>
      </c>
      <c r="N352" s="126">
        <v>0</v>
      </c>
      <c r="O352" s="126">
        <v>0</v>
      </c>
      <c r="P352" s="126">
        <v>0</v>
      </c>
      <c r="Q352" s="126">
        <v>0</v>
      </c>
      <c r="R352" s="126">
        <v>0</v>
      </c>
      <c r="S352" s="126">
        <v>0</v>
      </c>
      <c r="T352" s="126">
        <v>0</v>
      </c>
      <c r="U352" s="126">
        <v>0</v>
      </c>
      <c r="V352" s="126">
        <v>0</v>
      </c>
      <c r="W352" s="126">
        <v>0</v>
      </c>
      <c r="X352" s="126">
        <v>0</v>
      </c>
      <c r="Y352" s="126">
        <v>0</v>
      </c>
      <c r="Z352" s="142">
        <v>1</v>
      </c>
      <c r="AA352" s="126">
        <v>0</v>
      </c>
      <c r="AB352" s="126">
        <v>0</v>
      </c>
      <c r="AC352" s="126">
        <v>0</v>
      </c>
      <c r="AD352" s="126">
        <v>0</v>
      </c>
      <c r="AE352" s="126">
        <v>0</v>
      </c>
      <c r="AF352" s="126">
        <v>0</v>
      </c>
      <c r="AG352" t="s">
        <v>327</v>
      </c>
    </row>
    <row r="353" spans="1:33" x14ac:dyDescent="0.3">
      <c r="A353">
        <v>452</v>
      </c>
      <c r="B353" t="s">
        <v>323</v>
      </c>
      <c r="C353" t="s">
        <v>199</v>
      </c>
      <c r="D353">
        <v>0</v>
      </c>
      <c r="E353">
        <v>0</v>
      </c>
      <c r="F353">
        <v>0</v>
      </c>
      <c r="G353">
        <v>0</v>
      </c>
      <c r="H353">
        <v>0</v>
      </c>
      <c r="I353">
        <v>0</v>
      </c>
      <c r="J353" s="28">
        <v>0</v>
      </c>
      <c r="K353" s="126">
        <v>0</v>
      </c>
      <c r="L353" s="126">
        <v>0</v>
      </c>
      <c r="M353" s="126">
        <v>0</v>
      </c>
      <c r="N353" s="126">
        <v>0</v>
      </c>
      <c r="O353" s="126">
        <v>0</v>
      </c>
      <c r="P353" s="126">
        <v>0</v>
      </c>
      <c r="Q353" s="126">
        <v>0</v>
      </c>
      <c r="R353" s="126">
        <v>0</v>
      </c>
      <c r="S353" s="126">
        <v>0.05</v>
      </c>
      <c r="T353" s="126">
        <v>10</v>
      </c>
      <c r="U353" s="126">
        <v>100</v>
      </c>
      <c r="V353" s="126">
        <v>1000</v>
      </c>
      <c r="W353" s="126">
        <v>40</v>
      </c>
      <c r="X353" s="126">
        <v>1000</v>
      </c>
      <c r="Y353" s="126">
        <v>100</v>
      </c>
      <c r="Z353" s="142">
        <v>17</v>
      </c>
      <c r="AA353" s="126">
        <v>0</v>
      </c>
      <c r="AB353" s="126">
        <v>0</v>
      </c>
      <c r="AC353" s="126">
        <v>0.3</v>
      </c>
      <c r="AD353" s="126">
        <v>0</v>
      </c>
      <c r="AE353" s="126">
        <v>0</v>
      </c>
      <c r="AF353" s="126">
        <v>0</v>
      </c>
      <c r="AG353" t="s">
        <v>3198</v>
      </c>
    </row>
    <row r="354" spans="1:33" x14ac:dyDescent="0.3">
      <c r="A354">
        <v>453</v>
      </c>
      <c r="B354" t="s">
        <v>322</v>
      </c>
      <c r="C354" t="s">
        <v>199</v>
      </c>
      <c r="D354">
        <v>0</v>
      </c>
      <c r="E354">
        <v>0</v>
      </c>
      <c r="F354">
        <v>0</v>
      </c>
      <c r="G354">
        <v>0</v>
      </c>
      <c r="H354">
        <v>0</v>
      </c>
      <c r="I354">
        <v>0</v>
      </c>
      <c r="J354" s="28">
        <v>0</v>
      </c>
      <c r="K354" s="126">
        <v>0</v>
      </c>
      <c r="L354" s="126">
        <v>0</v>
      </c>
      <c r="M354" s="126">
        <v>0</v>
      </c>
      <c r="N354" s="126">
        <v>0</v>
      </c>
      <c r="O354" s="126">
        <v>0</v>
      </c>
      <c r="P354" s="126">
        <v>0</v>
      </c>
      <c r="Q354" s="126">
        <v>0</v>
      </c>
      <c r="R354" s="126">
        <v>0</v>
      </c>
      <c r="S354" s="126">
        <v>0.7</v>
      </c>
      <c r="T354" s="126">
        <v>10</v>
      </c>
      <c r="U354" s="126">
        <v>40</v>
      </c>
      <c r="V354" s="126">
        <v>100</v>
      </c>
      <c r="W354" s="126">
        <v>1</v>
      </c>
      <c r="X354" s="126">
        <v>0</v>
      </c>
      <c r="Y354" s="126">
        <v>0</v>
      </c>
      <c r="Z354" s="142">
        <v>18</v>
      </c>
      <c r="AA354" s="126">
        <v>0</v>
      </c>
      <c r="AB354" s="126">
        <v>0</v>
      </c>
      <c r="AC354" s="126">
        <v>0.2</v>
      </c>
      <c r="AD354" s="126">
        <v>0</v>
      </c>
      <c r="AE354" s="126">
        <v>0</v>
      </c>
      <c r="AF354" s="126">
        <v>0</v>
      </c>
      <c r="AG354" t="s">
        <v>3199</v>
      </c>
    </row>
    <row r="355" spans="1:33" x14ac:dyDescent="0.3">
      <c r="A355">
        <v>454</v>
      </c>
      <c r="B355" t="s">
        <v>245</v>
      </c>
      <c r="C355" t="s">
        <v>187</v>
      </c>
      <c r="D355">
        <v>0</v>
      </c>
      <c r="E355">
        <v>0</v>
      </c>
      <c r="F355">
        <v>0</v>
      </c>
      <c r="G355">
        <v>0</v>
      </c>
      <c r="H355">
        <v>0</v>
      </c>
      <c r="I355">
        <v>0</v>
      </c>
      <c r="J355" s="28">
        <v>0</v>
      </c>
      <c r="K355" s="126">
        <v>0</v>
      </c>
      <c r="L355" s="126">
        <v>0</v>
      </c>
      <c r="M355" s="126">
        <v>0</v>
      </c>
      <c r="N355" s="126">
        <v>0</v>
      </c>
      <c r="O355" s="126">
        <v>0</v>
      </c>
      <c r="P355" s="126">
        <v>0</v>
      </c>
      <c r="Q355" s="126">
        <v>0</v>
      </c>
      <c r="R355" s="126">
        <v>0</v>
      </c>
      <c r="S355" s="126">
        <v>0</v>
      </c>
      <c r="T355" s="126">
        <v>0</v>
      </c>
      <c r="U355" s="126">
        <v>0</v>
      </c>
      <c r="V355" s="126">
        <v>0</v>
      </c>
      <c r="W355" s="126">
        <v>0</v>
      </c>
      <c r="X355" s="126">
        <v>0</v>
      </c>
      <c r="Y355" s="126">
        <v>0</v>
      </c>
      <c r="Z355" s="142">
        <v>9</v>
      </c>
      <c r="AA355" s="126">
        <v>0</v>
      </c>
      <c r="AB355" s="126">
        <v>0</v>
      </c>
      <c r="AC355" s="126">
        <v>0</v>
      </c>
      <c r="AD355" s="126">
        <v>0</v>
      </c>
      <c r="AE355" s="126">
        <v>5</v>
      </c>
      <c r="AF355" s="126">
        <v>0.28999999999999998</v>
      </c>
      <c r="AG355" t="s">
        <v>1871</v>
      </c>
    </row>
    <row r="356" spans="1:33" x14ac:dyDescent="0.3">
      <c r="A356">
        <v>455</v>
      </c>
      <c r="B356" t="s">
        <v>235</v>
      </c>
      <c r="C356" t="s">
        <v>199</v>
      </c>
      <c r="D356">
        <v>0</v>
      </c>
      <c r="E356">
        <v>0</v>
      </c>
      <c r="F356">
        <v>0</v>
      </c>
      <c r="G356">
        <v>0</v>
      </c>
      <c r="H356">
        <v>0</v>
      </c>
      <c r="I356">
        <v>0</v>
      </c>
      <c r="J356" s="28">
        <v>0</v>
      </c>
      <c r="K356" s="126">
        <v>0</v>
      </c>
      <c r="L356" s="126">
        <v>0</v>
      </c>
      <c r="M356" s="126">
        <v>0</v>
      </c>
      <c r="N356" s="126">
        <v>0</v>
      </c>
      <c r="O356" s="126">
        <v>0</v>
      </c>
      <c r="P356" s="126">
        <v>0</v>
      </c>
      <c r="Q356" s="126">
        <v>0</v>
      </c>
      <c r="R356" s="126">
        <v>0</v>
      </c>
      <c r="S356" s="126">
        <v>0</v>
      </c>
      <c r="T356" s="126">
        <v>0</v>
      </c>
      <c r="U356" s="126">
        <v>0</v>
      </c>
      <c r="V356" s="126">
        <v>0</v>
      </c>
      <c r="W356" s="126">
        <v>0</v>
      </c>
      <c r="X356" s="126">
        <v>0</v>
      </c>
      <c r="Y356" s="126">
        <v>0</v>
      </c>
      <c r="Z356" s="142">
        <v>21</v>
      </c>
      <c r="AA356" s="126">
        <v>0</v>
      </c>
      <c r="AB356" s="126">
        <v>0.99</v>
      </c>
      <c r="AC356" s="126">
        <v>0</v>
      </c>
      <c r="AD356" s="126">
        <v>0</v>
      </c>
      <c r="AE356" s="126">
        <v>0</v>
      </c>
      <c r="AF356" s="126">
        <v>2.6</v>
      </c>
      <c r="AG356" t="s">
        <v>1872</v>
      </c>
    </row>
    <row r="357" spans="1:33" x14ac:dyDescent="0.3">
      <c r="A357">
        <v>472</v>
      </c>
      <c r="B357" t="s">
        <v>240</v>
      </c>
      <c r="C357" t="s">
        <v>199</v>
      </c>
      <c r="D357">
        <v>12047</v>
      </c>
      <c r="E357">
        <v>13252</v>
      </c>
      <c r="F357">
        <v>50</v>
      </c>
      <c r="G357">
        <v>1200</v>
      </c>
      <c r="H357">
        <v>6</v>
      </c>
      <c r="I357">
        <v>0</v>
      </c>
      <c r="J357" s="28">
        <v>9.1</v>
      </c>
      <c r="K357" s="126">
        <v>0.63</v>
      </c>
      <c r="L357" s="126">
        <v>1.3</v>
      </c>
      <c r="M357" s="126">
        <v>0.1</v>
      </c>
      <c r="N357" s="126">
        <v>0</v>
      </c>
      <c r="O357" s="126">
        <v>0.6</v>
      </c>
      <c r="P357" s="126">
        <v>0.88500000000000001</v>
      </c>
      <c r="Q357" s="126">
        <v>0.65</v>
      </c>
      <c r="R357" s="126">
        <v>0</v>
      </c>
      <c r="S357" s="126">
        <v>0.3</v>
      </c>
      <c r="T357" s="126">
        <v>13</v>
      </c>
      <c r="U357" s="126">
        <v>75</v>
      </c>
      <c r="V357" s="126">
        <v>25</v>
      </c>
      <c r="W357" s="126">
        <v>0.3</v>
      </c>
      <c r="X357" s="126">
        <v>0</v>
      </c>
      <c r="Y357" s="126">
        <v>0</v>
      </c>
      <c r="Z357" s="142">
        <v>9</v>
      </c>
      <c r="AA357" s="126">
        <v>0</v>
      </c>
      <c r="AB357" s="126">
        <v>0</v>
      </c>
      <c r="AC357" s="126">
        <v>0</v>
      </c>
      <c r="AD357" s="126">
        <v>0</v>
      </c>
      <c r="AE357" s="126">
        <v>5</v>
      </c>
      <c r="AF357" s="126">
        <v>0.15</v>
      </c>
      <c r="AG357" t="s">
        <v>240</v>
      </c>
    </row>
    <row r="358" spans="1:33" x14ac:dyDescent="0.3">
      <c r="A358">
        <v>500</v>
      </c>
      <c r="B358" t="s">
        <v>329</v>
      </c>
      <c r="C358" t="s">
        <v>311</v>
      </c>
      <c r="D358">
        <v>58589</v>
      </c>
      <c r="E358">
        <v>64448</v>
      </c>
      <c r="F358">
        <v>840</v>
      </c>
      <c r="G358">
        <v>15000</v>
      </c>
      <c r="H358">
        <v>7</v>
      </c>
      <c r="I358">
        <v>3</v>
      </c>
      <c r="J358" s="28">
        <v>3.22</v>
      </c>
      <c r="K358" s="126">
        <v>1.2E-2</v>
      </c>
      <c r="L358" s="126">
        <v>1.3</v>
      </c>
      <c r="M358" s="126">
        <v>4.3999999999999997E-2</v>
      </c>
      <c r="N358" s="126">
        <v>0</v>
      </c>
      <c r="O358" s="126">
        <v>0.68</v>
      </c>
      <c r="P358" s="126">
        <v>0.92</v>
      </c>
      <c r="Q358" s="126">
        <v>0.95</v>
      </c>
      <c r="R358" s="126">
        <v>0</v>
      </c>
      <c r="S358" s="126">
        <v>0</v>
      </c>
      <c r="T358" s="126">
        <v>0</v>
      </c>
      <c r="U358" s="126">
        <v>0</v>
      </c>
      <c r="V358" s="126">
        <v>0</v>
      </c>
      <c r="W358" s="126">
        <v>0</v>
      </c>
      <c r="X358" s="126">
        <v>0</v>
      </c>
      <c r="Y358" s="126">
        <v>0</v>
      </c>
      <c r="Z358" s="142">
        <v>8</v>
      </c>
      <c r="AA358" s="126">
        <v>0</v>
      </c>
      <c r="AB358" s="126">
        <v>0</v>
      </c>
      <c r="AC358" s="126">
        <v>0</v>
      </c>
      <c r="AD358" s="126">
        <v>0</v>
      </c>
      <c r="AE358" s="126">
        <v>0</v>
      </c>
      <c r="AF358" s="126">
        <v>0</v>
      </c>
      <c r="AG358" t="s">
        <v>2492</v>
      </c>
    </row>
    <row r="359" spans="1:33" x14ac:dyDescent="0.3">
      <c r="A359">
        <v>501</v>
      </c>
      <c r="B359" t="s">
        <v>330</v>
      </c>
      <c r="C359" t="s">
        <v>311</v>
      </c>
      <c r="D359">
        <v>9155</v>
      </c>
      <c r="E359">
        <v>10070</v>
      </c>
      <c r="F359">
        <v>840</v>
      </c>
      <c r="G359">
        <v>11000</v>
      </c>
      <c r="H359">
        <v>75</v>
      </c>
      <c r="I359">
        <v>3</v>
      </c>
      <c r="J359" s="28">
        <v>3.22</v>
      </c>
      <c r="K359" s="126">
        <v>1.2E-2</v>
      </c>
      <c r="L359" s="126">
        <v>1.3</v>
      </c>
      <c r="M359" s="126">
        <v>4.3999999999999997E-2</v>
      </c>
      <c r="N359" s="126">
        <v>0</v>
      </c>
      <c r="O359" s="126">
        <v>0.68</v>
      </c>
      <c r="P359" s="126">
        <v>0.92</v>
      </c>
      <c r="Q359" s="126">
        <v>0</v>
      </c>
      <c r="R359" s="126">
        <v>0</v>
      </c>
      <c r="S359" s="126">
        <v>0</v>
      </c>
      <c r="T359" s="126">
        <v>0</v>
      </c>
      <c r="U359" s="126">
        <v>0</v>
      </c>
      <c r="V359" s="126">
        <v>0</v>
      </c>
      <c r="W359" s="126">
        <v>0</v>
      </c>
      <c r="X359" s="126">
        <v>0</v>
      </c>
      <c r="Y359" s="126">
        <v>0</v>
      </c>
      <c r="Z359" s="142">
        <v>8</v>
      </c>
      <c r="AA359" s="126">
        <v>0</v>
      </c>
      <c r="AB359" s="126">
        <v>0</v>
      </c>
      <c r="AC359" s="126">
        <v>0</v>
      </c>
      <c r="AD359" s="126">
        <v>0</v>
      </c>
      <c r="AE359" s="126">
        <v>0</v>
      </c>
      <c r="AF359" s="126">
        <v>0</v>
      </c>
      <c r="AG359" t="s">
        <v>2493</v>
      </c>
    </row>
    <row r="360" spans="1:33" x14ac:dyDescent="0.3">
      <c r="A360">
        <v>502</v>
      </c>
      <c r="B360" t="s">
        <v>331</v>
      </c>
      <c r="C360" t="s">
        <v>311</v>
      </c>
      <c r="D360">
        <v>32310</v>
      </c>
      <c r="E360">
        <v>35541</v>
      </c>
      <c r="F360">
        <v>100</v>
      </c>
      <c r="G360">
        <v>20000</v>
      </c>
      <c r="H360">
        <v>41</v>
      </c>
      <c r="I360">
        <v>2.4</v>
      </c>
      <c r="J360" s="28">
        <v>3.22</v>
      </c>
      <c r="K360" s="126">
        <v>0.19</v>
      </c>
      <c r="L360" s="126">
        <v>1.3</v>
      </c>
      <c r="M360" s="126">
        <v>4.3999999999999997E-2</v>
      </c>
      <c r="N360" s="126">
        <v>0</v>
      </c>
      <c r="O360" s="126">
        <v>0.68</v>
      </c>
      <c r="P360" s="126">
        <v>0.9</v>
      </c>
      <c r="Q360" s="126">
        <v>0.75</v>
      </c>
      <c r="R360" s="126">
        <v>0</v>
      </c>
      <c r="S360" s="126">
        <v>0</v>
      </c>
      <c r="T360" s="126">
        <v>0</v>
      </c>
      <c r="U360" s="126">
        <v>0</v>
      </c>
      <c r="V360" s="126">
        <v>0</v>
      </c>
      <c r="W360" s="126">
        <v>0</v>
      </c>
      <c r="X360" s="126">
        <v>0</v>
      </c>
      <c r="Y360" s="126">
        <v>0</v>
      </c>
      <c r="Z360" s="142">
        <v>8</v>
      </c>
      <c r="AA360" s="126">
        <v>0</v>
      </c>
      <c r="AB360" s="126">
        <v>0</v>
      </c>
      <c r="AC360" s="126">
        <v>0</v>
      </c>
      <c r="AD360" s="126">
        <v>0</v>
      </c>
      <c r="AE360" s="126">
        <v>0</v>
      </c>
      <c r="AF360" s="126">
        <v>0</v>
      </c>
      <c r="AG360" t="s">
        <v>2494</v>
      </c>
    </row>
    <row r="361" spans="1:33" x14ac:dyDescent="0.3">
      <c r="A361">
        <v>504</v>
      </c>
      <c r="B361" t="s">
        <v>3200</v>
      </c>
      <c r="C361" t="s">
        <v>311</v>
      </c>
      <c r="D361">
        <v>54281</v>
      </c>
      <c r="E361">
        <v>59709</v>
      </c>
      <c r="F361">
        <v>844</v>
      </c>
      <c r="G361">
        <v>18200</v>
      </c>
      <c r="H361">
        <v>0</v>
      </c>
      <c r="I361">
        <v>1.8</v>
      </c>
      <c r="J361" s="28">
        <v>4.83</v>
      </c>
      <c r="K361" s="126">
        <v>0.19</v>
      </c>
      <c r="L361" s="126">
        <v>1.3</v>
      </c>
      <c r="M361" s="126">
        <v>0.45</v>
      </c>
      <c r="N361" s="126">
        <v>0</v>
      </c>
      <c r="O361" s="126">
        <v>0.6</v>
      </c>
      <c r="P361" s="126">
        <v>0.95199999999999996</v>
      </c>
      <c r="Q361" s="126">
        <v>0.95</v>
      </c>
      <c r="R361" s="126">
        <v>0</v>
      </c>
      <c r="S361" s="126">
        <v>0</v>
      </c>
      <c r="T361" s="126">
        <v>0</v>
      </c>
      <c r="U361" s="126">
        <v>0</v>
      </c>
      <c r="V361" s="126">
        <v>0</v>
      </c>
      <c r="W361" s="126">
        <v>0</v>
      </c>
      <c r="X361" s="126">
        <v>0</v>
      </c>
      <c r="Y361" s="126">
        <v>0</v>
      </c>
      <c r="Z361" s="142">
        <v>8</v>
      </c>
      <c r="AA361" s="126">
        <v>0</v>
      </c>
      <c r="AB361" s="126">
        <v>0</v>
      </c>
      <c r="AC361" s="126">
        <v>0</v>
      </c>
      <c r="AD361" s="126">
        <v>0</v>
      </c>
      <c r="AE361" s="126">
        <v>0</v>
      </c>
      <c r="AF361" s="126">
        <v>0</v>
      </c>
      <c r="AG361" t="s">
        <v>3201</v>
      </c>
    </row>
    <row r="362" spans="1:33" x14ac:dyDescent="0.3">
      <c r="A362">
        <v>505</v>
      </c>
      <c r="B362" t="s">
        <v>3202</v>
      </c>
      <c r="C362" t="s">
        <v>311</v>
      </c>
      <c r="D362">
        <v>54281</v>
      </c>
      <c r="E362">
        <v>59709</v>
      </c>
      <c r="F362">
        <v>844</v>
      </c>
      <c r="G362">
        <v>18200</v>
      </c>
      <c r="H362">
        <v>0</v>
      </c>
      <c r="I362">
        <v>1.8</v>
      </c>
      <c r="J362" s="28">
        <v>4.83</v>
      </c>
      <c r="K362" s="126">
        <v>0.19</v>
      </c>
      <c r="L362" s="126">
        <v>1.3</v>
      </c>
      <c r="M362" s="126">
        <v>0.45</v>
      </c>
      <c r="N362" s="126">
        <v>0</v>
      </c>
      <c r="O362" s="126">
        <v>0.6</v>
      </c>
      <c r="P362" s="126">
        <v>0.97199999999999998</v>
      </c>
      <c r="Q362" s="126">
        <v>0.9</v>
      </c>
      <c r="R362" s="126">
        <v>0</v>
      </c>
      <c r="S362" s="126">
        <v>0</v>
      </c>
      <c r="T362" s="126">
        <v>0</v>
      </c>
      <c r="U362" s="126">
        <v>0</v>
      </c>
      <c r="V362" s="126">
        <v>0</v>
      </c>
      <c r="W362" s="126">
        <v>0</v>
      </c>
      <c r="X362" s="126">
        <v>0</v>
      </c>
      <c r="Y362" s="126">
        <v>0</v>
      </c>
      <c r="Z362" s="142">
        <v>8</v>
      </c>
      <c r="AA362" s="126">
        <v>0</v>
      </c>
      <c r="AB362" s="126">
        <v>0</v>
      </c>
      <c r="AC362" s="126">
        <v>0</v>
      </c>
      <c r="AD362" s="126">
        <v>0</v>
      </c>
      <c r="AE362" s="126">
        <v>0</v>
      </c>
      <c r="AF362" s="126">
        <v>0</v>
      </c>
      <c r="AG362" t="s">
        <v>3203</v>
      </c>
    </row>
    <row r="363" spans="1:33" x14ac:dyDescent="0.3">
      <c r="A363">
        <v>506</v>
      </c>
      <c r="B363" t="s">
        <v>3204</v>
      </c>
      <c r="C363" t="s">
        <v>311</v>
      </c>
      <c r="D363">
        <v>826</v>
      </c>
      <c r="E363">
        <v>909</v>
      </c>
      <c r="F363">
        <v>940</v>
      </c>
      <c r="G363">
        <v>18200</v>
      </c>
      <c r="H363">
        <v>0</v>
      </c>
      <c r="I363">
        <v>1.8</v>
      </c>
      <c r="J363" s="28">
        <v>4.83</v>
      </c>
      <c r="K363" s="126">
        <v>0.19</v>
      </c>
      <c r="L363" s="126">
        <v>1.3</v>
      </c>
      <c r="M363" s="126">
        <v>3.5000000000000003E-2</v>
      </c>
      <c r="N363" s="126">
        <v>0</v>
      </c>
      <c r="O363" s="126">
        <v>0.6</v>
      </c>
      <c r="P363" s="126">
        <v>0.98699999999999999</v>
      </c>
      <c r="Q363" s="126">
        <v>0.85</v>
      </c>
      <c r="R363" s="126">
        <v>0</v>
      </c>
      <c r="S363" s="126">
        <v>0</v>
      </c>
      <c r="T363" s="126">
        <v>0</v>
      </c>
      <c r="U363" s="126">
        <v>0</v>
      </c>
      <c r="V363" s="126">
        <v>0</v>
      </c>
      <c r="W363" s="126">
        <v>0</v>
      </c>
      <c r="X363" s="126">
        <v>0</v>
      </c>
      <c r="Y363" s="126">
        <v>0</v>
      </c>
      <c r="Z363" s="142">
        <v>8</v>
      </c>
      <c r="AA363" s="126">
        <v>0</v>
      </c>
      <c r="AB363" s="126">
        <v>0</v>
      </c>
      <c r="AC363" s="126">
        <v>0</v>
      </c>
      <c r="AD363" s="126">
        <v>0</v>
      </c>
      <c r="AE363" s="126">
        <v>0</v>
      </c>
      <c r="AF363" s="126">
        <v>0</v>
      </c>
      <c r="AG363" t="s">
        <v>3205</v>
      </c>
    </row>
    <row r="364" spans="1:33" x14ac:dyDescent="0.3">
      <c r="A364">
        <v>507</v>
      </c>
      <c r="B364" t="s">
        <v>3206</v>
      </c>
      <c r="C364" t="s">
        <v>311</v>
      </c>
      <c r="D364">
        <v>54281</v>
      </c>
      <c r="E364">
        <v>59709</v>
      </c>
      <c r="F364">
        <v>844</v>
      </c>
      <c r="G364">
        <v>18200</v>
      </c>
      <c r="H364">
        <v>0</v>
      </c>
      <c r="I364">
        <v>1.8</v>
      </c>
      <c r="J364" s="28">
        <v>4.83</v>
      </c>
      <c r="K364" s="126">
        <v>0.19</v>
      </c>
      <c r="L364" s="126">
        <v>1.3</v>
      </c>
      <c r="M364" s="126">
        <v>0.45</v>
      </c>
      <c r="N364" s="126">
        <v>0</v>
      </c>
      <c r="O364" s="126">
        <v>0.6</v>
      </c>
      <c r="P364" s="126">
        <v>0.998</v>
      </c>
      <c r="Q364" s="126">
        <v>0.8</v>
      </c>
      <c r="R364" s="126">
        <v>0</v>
      </c>
      <c r="S364" s="126">
        <v>0</v>
      </c>
      <c r="T364" s="126">
        <v>0</v>
      </c>
      <c r="U364" s="126">
        <v>0</v>
      </c>
      <c r="V364" s="126">
        <v>0</v>
      </c>
      <c r="W364" s="126">
        <v>0</v>
      </c>
      <c r="X364" s="126">
        <v>0</v>
      </c>
      <c r="Y364" s="126">
        <v>0</v>
      </c>
      <c r="Z364" s="142">
        <v>8</v>
      </c>
      <c r="AA364" s="126">
        <v>0</v>
      </c>
      <c r="AB364" s="126">
        <v>0</v>
      </c>
      <c r="AC364" s="126">
        <v>0</v>
      </c>
      <c r="AD364" s="126">
        <v>0</v>
      </c>
      <c r="AE364" s="126">
        <v>0</v>
      </c>
      <c r="AF364" s="126">
        <v>0</v>
      </c>
      <c r="AG364" t="s">
        <v>3207</v>
      </c>
    </row>
    <row r="365" spans="1:33" x14ac:dyDescent="0.3">
      <c r="A365">
        <v>508</v>
      </c>
      <c r="B365" t="s">
        <v>3208</v>
      </c>
      <c r="C365" t="s">
        <v>311</v>
      </c>
      <c r="D365">
        <v>54281</v>
      </c>
      <c r="E365">
        <v>59709</v>
      </c>
      <c r="F365">
        <v>844</v>
      </c>
      <c r="G365">
        <v>18200</v>
      </c>
      <c r="H365">
        <v>0</v>
      </c>
      <c r="I365">
        <v>1.8</v>
      </c>
      <c r="J365" s="28">
        <v>4.83</v>
      </c>
      <c r="K365" s="126">
        <v>0.19</v>
      </c>
      <c r="L365" s="126">
        <v>1.3</v>
      </c>
      <c r="M365" s="126">
        <v>0.45</v>
      </c>
      <c r="N365" s="126">
        <v>0</v>
      </c>
      <c r="O365" s="126">
        <v>0.6</v>
      </c>
      <c r="P365" s="126">
        <v>0.92</v>
      </c>
      <c r="Q365" s="126">
        <v>0.75</v>
      </c>
      <c r="R365" s="126">
        <v>0</v>
      </c>
      <c r="S365" s="126">
        <v>0</v>
      </c>
      <c r="T365" s="126">
        <v>0</v>
      </c>
      <c r="U365" s="126">
        <v>0</v>
      </c>
      <c r="V365" s="126">
        <v>0</v>
      </c>
      <c r="W365" s="126">
        <v>0</v>
      </c>
      <c r="X365" s="126">
        <v>0</v>
      </c>
      <c r="Y365" s="126">
        <v>0</v>
      </c>
      <c r="Z365" s="142">
        <v>8</v>
      </c>
      <c r="AA365" s="126">
        <v>0</v>
      </c>
      <c r="AB365" s="126">
        <v>0</v>
      </c>
      <c r="AC365" s="126">
        <v>0</v>
      </c>
      <c r="AD365" s="126">
        <v>0</v>
      </c>
      <c r="AE365" s="126">
        <v>0</v>
      </c>
      <c r="AF365" s="126">
        <v>0</v>
      </c>
      <c r="AG365" t="s">
        <v>3209</v>
      </c>
    </row>
    <row r="366" spans="1:33" x14ac:dyDescent="0.3">
      <c r="A366">
        <v>509</v>
      </c>
      <c r="B366" t="s">
        <v>3210</v>
      </c>
      <c r="C366" t="s">
        <v>311</v>
      </c>
      <c r="D366">
        <v>54281</v>
      </c>
      <c r="E366">
        <v>59709</v>
      </c>
      <c r="F366">
        <v>844</v>
      </c>
      <c r="G366">
        <v>18200</v>
      </c>
      <c r="H366">
        <v>0</v>
      </c>
      <c r="I366">
        <v>1.8</v>
      </c>
      <c r="J366" s="28">
        <v>4.83</v>
      </c>
      <c r="K366" s="126">
        <v>0.19</v>
      </c>
      <c r="L366" s="126">
        <v>1.3</v>
      </c>
      <c r="M366" s="126">
        <v>0.45</v>
      </c>
      <c r="N366" s="126">
        <v>0</v>
      </c>
      <c r="O366" s="126">
        <v>0.6</v>
      </c>
      <c r="P366" s="126">
        <v>0.92</v>
      </c>
      <c r="Q366" s="126">
        <v>0.7</v>
      </c>
      <c r="R366" s="126">
        <v>0</v>
      </c>
      <c r="S366" s="126">
        <v>0</v>
      </c>
      <c r="T366" s="126">
        <v>0</v>
      </c>
      <c r="U366" s="126">
        <v>0</v>
      </c>
      <c r="V366" s="126">
        <v>0</v>
      </c>
      <c r="W366" s="126">
        <v>0</v>
      </c>
      <c r="X366" s="126">
        <v>0</v>
      </c>
      <c r="Y366" s="126">
        <v>0</v>
      </c>
      <c r="Z366" s="142">
        <v>8</v>
      </c>
      <c r="AA366" s="126">
        <v>0</v>
      </c>
      <c r="AB366" s="126">
        <v>0</v>
      </c>
      <c r="AC366" s="126">
        <v>0</v>
      </c>
      <c r="AD366" s="126">
        <v>0</v>
      </c>
      <c r="AE366" s="126">
        <v>0</v>
      </c>
      <c r="AF366" s="126">
        <v>0</v>
      </c>
      <c r="AG366" t="s">
        <v>3211</v>
      </c>
    </row>
    <row r="367" spans="1:33" x14ac:dyDescent="0.3">
      <c r="A367">
        <v>514</v>
      </c>
      <c r="B367" t="s">
        <v>3212</v>
      </c>
      <c r="C367" t="s">
        <v>311</v>
      </c>
      <c r="D367">
        <v>826</v>
      </c>
      <c r="E367">
        <v>909</v>
      </c>
      <c r="F367">
        <v>940</v>
      </c>
      <c r="G367">
        <v>16880</v>
      </c>
      <c r="H367">
        <v>0</v>
      </c>
      <c r="I367">
        <v>0.9</v>
      </c>
      <c r="J367" s="28">
        <v>4.83</v>
      </c>
      <c r="K367" s="126">
        <v>0.19</v>
      </c>
      <c r="L367" s="126">
        <v>1.3</v>
      </c>
      <c r="M367" s="126">
        <v>1.4999999999999999E-2</v>
      </c>
      <c r="N367" s="126">
        <v>0</v>
      </c>
      <c r="O367" s="126">
        <v>0.6</v>
      </c>
      <c r="P367" s="126">
        <v>0.85799999999999998</v>
      </c>
      <c r="Q367" s="126">
        <v>0.8</v>
      </c>
      <c r="R367" s="126">
        <v>0</v>
      </c>
      <c r="S367" s="126">
        <v>0</v>
      </c>
      <c r="T367" s="126">
        <v>0</v>
      </c>
      <c r="U367" s="126">
        <v>0</v>
      </c>
      <c r="V367" s="126">
        <v>0</v>
      </c>
      <c r="W367" s="126">
        <v>0</v>
      </c>
      <c r="X367" s="126">
        <v>0</v>
      </c>
      <c r="Y367" s="126">
        <v>0</v>
      </c>
      <c r="Z367" s="142">
        <v>8</v>
      </c>
      <c r="AA367" s="126">
        <v>0</v>
      </c>
      <c r="AB367" s="126">
        <v>0</v>
      </c>
      <c r="AC367" s="126">
        <v>0</v>
      </c>
      <c r="AD367" s="126">
        <v>0</v>
      </c>
      <c r="AE367" s="126">
        <v>0</v>
      </c>
      <c r="AF367" s="126">
        <v>0</v>
      </c>
      <c r="AG367" t="s">
        <v>3213</v>
      </c>
    </row>
    <row r="368" spans="1:33" x14ac:dyDescent="0.3">
      <c r="A368">
        <v>515</v>
      </c>
      <c r="B368" t="s">
        <v>3214</v>
      </c>
      <c r="C368" t="s">
        <v>311</v>
      </c>
      <c r="D368">
        <v>826</v>
      </c>
      <c r="E368">
        <v>909</v>
      </c>
      <c r="F368">
        <v>844</v>
      </c>
      <c r="G368">
        <v>16880</v>
      </c>
      <c r="H368">
        <v>0</v>
      </c>
      <c r="I368">
        <v>0.9</v>
      </c>
      <c r="J368" s="28">
        <v>4.83</v>
      </c>
      <c r="K368" s="126">
        <v>0.19</v>
      </c>
      <c r="L368" s="126">
        <v>1.3</v>
      </c>
      <c r="M368" s="126">
        <v>0.04</v>
      </c>
      <c r="N368" s="126">
        <v>0</v>
      </c>
      <c r="O368" s="126">
        <v>0.6</v>
      </c>
      <c r="P368" s="126">
        <v>0.85799999999999998</v>
      </c>
      <c r="Q368" s="126">
        <v>0.8</v>
      </c>
      <c r="R368" s="126">
        <v>0</v>
      </c>
      <c r="S368" s="126">
        <v>0</v>
      </c>
      <c r="T368" s="126">
        <v>0</v>
      </c>
      <c r="U368" s="126">
        <v>0</v>
      </c>
      <c r="V368" s="126">
        <v>0</v>
      </c>
      <c r="W368" s="126">
        <v>0</v>
      </c>
      <c r="X368" s="126">
        <v>0</v>
      </c>
      <c r="Y368" s="126">
        <v>0</v>
      </c>
      <c r="Z368" s="142">
        <v>8</v>
      </c>
      <c r="AA368" s="126">
        <v>0</v>
      </c>
      <c r="AB368" s="126">
        <v>0</v>
      </c>
      <c r="AC368" s="126">
        <v>0</v>
      </c>
      <c r="AD368" s="126">
        <v>0</v>
      </c>
      <c r="AE368" s="126">
        <v>0</v>
      </c>
      <c r="AF368" s="126">
        <v>0</v>
      </c>
      <c r="AG368" t="s">
        <v>3215</v>
      </c>
    </row>
    <row r="369" spans="1:33" x14ac:dyDescent="0.3">
      <c r="A369">
        <v>516</v>
      </c>
      <c r="B369" t="s">
        <v>3216</v>
      </c>
      <c r="C369" t="s">
        <v>311</v>
      </c>
      <c r="D369">
        <v>826</v>
      </c>
      <c r="E369">
        <v>909</v>
      </c>
      <c r="F369">
        <v>940</v>
      </c>
      <c r="G369">
        <v>16880</v>
      </c>
      <c r="H369">
        <v>0</v>
      </c>
      <c r="I369">
        <v>0.9</v>
      </c>
      <c r="J369" s="28">
        <v>4.83</v>
      </c>
      <c r="K369" s="126">
        <v>0.19</v>
      </c>
      <c r="L369" s="126">
        <v>1.3</v>
      </c>
      <c r="M369" s="126">
        <v>3.5000000000000003E-2</v>
      </c>
      <c r="N369" s="126">
        <v>0</v>
      </c>
      <c r="O369" s="126">
        <v>0.6</v>
      </c>
      <c r="P369" s="126">
        <v>0.85799999999999998</v>
      </c>
      <c r="Q369" s="126">
        <v>0.8</v>
      </c>
      <c r="R369" s="126">
        <v>0</v>
      </c>
      <c r="S369" s="126">
        <v>0</v>
      </c>
      <c r="T369" s="126">
        <v>0</v>
      </c>
      <c r="U369" s="126">
        <v>0</v>
      </c>
      <c r="V369" s="126">
        <v>0</v>
      </c>
      <c r="W369" s="126">
        <v>0</v>
      </c>
      <c r="X369" s="126">
        <v>0</v>
      </c>
      <c r="Y369" s="126">
        <v>0</v>
      </c>
      <c r="Z369" s="142">
        <v>8</v>
      </c>
      <c r="AA369" s="126">
        <v>0</v>
      </c>
      <c r="AB369" s="126">
        <v>0</v>
      </c>
      <c r="AC369" s="126">
        <v>0</v>
      </c>
      <c r="AD369" s="126">
        <v>0</v>
      </c>
      <c r="AE369" s="126">
        <v>0</v>
      </c>
      <c r="AF369" s="126">
        <v>0</v>
      </c>
      <c r="AG369" t="s">
        <v>3217</v>
      </c>
    </row>
    <row r="370" spans="1:33" x14ac:dyDescent="0.3">
      <c r="A370">
        <v>517</v>
      </c>
      <c r="B370" t="s">
        <v>3218</v>
      </c>
      <c r="C370" t="s">
        <v>311</v>
      </c>
      <c r="D370">
        <v>826</v>
      </c>
      <c r="E370">
        <v>909</v>
      </c>
      <c r="F370">
        <v>940</v>
      </c>
      <c r="G370">
        <v>16880</v>
      </c>
      <c r="H370">
        <v>0</v>
      </c>
      <c r="I370">
        <v>0.9</v>
      </c>
      <c r="J370" s="28">
        <v>4.83</v>
      </c>
      <c r="K370" s="126">
        <v>0.19</v>
      </c>
      <c r="L370" s="126">
        <v>1.3</v>
      </c>
      <c r="M370" s="126">
        <v>2.5000000000000001E-2</v>
      </c>
      <c r="N370" s="126">
        <v>0</v>
      </c>
      <c r="O370" s="126">
        <v>0.6</v>
      </c>
      <c r="P370" s="126">
        <v>0.85799999999999998</v>
      </c>
      <c r="Q370" s="126">
        <v>0.8</v>
      </c>
      <c r="R370" s="126">
        <v>0</v>
      </c>
      <c r="S370" s="126">
        <v>0</v>
      </c>
      <c r="T370" s="126">
        <v>0</v>
      </c>
      <c r="U370" s="126">
        <v>0</v>
      </c>
      <c r="V370" s="126">
        <v>0</v>
      </c>
      <c r="W370" s="126">
        <v>0</v>
      </c>
      <c r="X370" s="126">
        <v>0</v>
      </c>
      <c r="Y370" s="126">
        <v>0</v>
      </c>
      <c r="Z370" s="142">
        <v>8</v>
      </c>
      <c r="AA370" s="126">
        <v>0</v>
      </c>
      <c r="AB370" s="126">
        <v>0</v>
      </c>
      <c r="AC370" s="126">
        <v>0</v>
      </c>
      <c r="AD370" s="126">
        <v>0</v>
      </c>
      <c r="AE370" s="126">
        <v>0</v>
      </c>
      <c r="AF370" s="126">
        <v>0</v>
      </c>
      <c r="AG370" t="s">
        <v>3219</v>
      </c>
    </row>
    <row r="371" spans="1:33" x14ac:dyDescent="0.3">
      <c r="A371">
        <v>518</v>
      </c>
      <c r="B371" t="s">
        <v>3220</v>
      </c>
      <c r="C371" t="s">
        <v>311</v>
      </c>
      <c r="D371">
        <v>826</v>
      </c>
      <c r="E371">
        <v>909</v>
      </c>
      <c r="F371">
        <v>940</v>
      </c>
      <c r="G371">
        <v>16880</v>
      </c>
      <c r="H371">
        <v>0</v>
      </c>
      <c r="I371">
        <v>0.9</v>
      </c>
      <c r="J371" s="28">
        <v>4.83</v>
      </c>
      <c r="K371" s="126">
        <v>0.19</v>
      </c>
      <c r="L371" s="126">
        <v>1.3</v>
      </c>
      <c r="M371" s="126">
        <v>0.02</v>
      </c>
      <c r="N371" s="126">
        <v>0</v>
      </c>
      <c r="O371" s="126">
        <v>0.6</v>
      </c>
      <c r="P371" s="126">
        <v>0.85799999999999998</v>
      </c>
      <c r="Q371" s="126">
        <v>0.8</v>
      </c>
      <c r="R371" s="126">
        <v>0</v>
      </c>
      <c r="S371" s="126">
        <v>0</v>
      </c>
      <c r="T371" s="126">
        <v>0</v>
      </c>
      <c r="U371" s="126">
        <v>0</v>
      </c>
      <c r="V371" s="126">
        <v>0</v>
      </c>
      <c r="W371" s="126">
        <v>0</v>
      </c>
      <c r="X371" s="126">
        <v>0</v>
      </c>
      <c r="Y371" s="126">
        <v>0</v>
      </c>
      <c r="Z371" s="142">
        <v>8</v>
      </c>
      <c r="AA371" s="126">
        <v>0</v>
      </c>
      <c r="AB371" s="126">
        <v>0</v>
      </c>
      <c r="AC371" s="126">
        <v>0</v>
      </c>
      <c r="AD371" s="126">
        <v>0</v>
      </c>
      <c r="AE371" s="126">
        <v>0</v>
      </c>
      <c r="AF371" s="126">
        <v>0</v>
      </c>
      <c r="AG371" t="s">
        <v>3221</v>
      </c>
    </row>
    <row r="372" spans="1:33" x14ac:dyDescent="0.3">
      <c r="A372">
        <v>519</v>
      </c>
      <c r="B372" t="s">
        <v>3222</v>
      </c>
      <c r="C372" t="s">
        <v>311</v>
      </c>
      <c r="D372">
        <v>54281</v>
      </c>
      <c r="E372">
        <v>59709</v>
      </c>
      <c r="F372">
        <v>844</v>
      </c>
      <c r="G372">
        <v>16880</v>
      </c>
      <c r="H372">
        <v>0</v>
      </c>
      <c r="I372">
        <v>0.9</v>
      </c>
      <c r="J372" s="28">
        <v>4.83</v>
      </c>
      <c r="K372" s="126">
        <v>0.19</v>
      </c>
      <c r="L372" s="126">
        <v>1.3</v>
      </c>
      <c r="M372" s="126">
        <v>1.4999999999999999E-2</v>
      </c>
      <c r="N372" s="126">
        <v>0</v>
      </c>
      <c r="O372" s="126">
        <v>0.6</v>
      </c>
      <c r="P372" s="126">
        <v>0.85799999999999998</v>
      </c>
      <c r="Q372" s="126">
        <v>0.95</v>
      </c>
      <c r="R372" s="126">
        <v>0</v>
      </c>
      <c r="S372" s="126">
        <v>0</v>
      </c>
      <c r="T372" s="126">
        <v>0</v>
      </c>
      <c r="U372" s="126">
        <v>0</v>
      </c>
      <c r="V372" s="126">
        <v>0</v>
      </c>
      <c r="W372" s="126">
        <v>0</v>
      </c>
      <c r="X372" s="126">
        <v>0</v>
      </c>
      <c r="Y372" s="126">
        <v>0</v>
      </c>
      <c r="Z372" s="142">
        <v>8</v>
      </c>
      <c r="AA372" s="126">
        <v>0</v>
      </c>
      <c r="AB372" s="126">
        <v>0</v>
      </c>
      <c r="AC372" s="126">
        <v>0</v>
      </c>
      <c r="AD372" s="126">
        <v>0</v>
      </c>
      <c r="AE372" s="126">
        <v>0</v>
      </c>
      <c r="AF372" s="126">
        <v>0</v>
      </c>
      <c r="AG372" t="s">
        <v>3223</v>
      </c>
    </row>
    <row r="373" spans="1:33" x14ac:dyDescent="0.3">
      <c r="A373">
        <v>520</v>
      </c>
      <c r="B373" t="s">
        <v>3224</v>
      </c>
      <c r="C373" t="s">
        <v>311</v>
      </c>
      <c r="D373">
        <v>54281</v>
      </c>
      <c r="E373">
        <v>59709</v>
      </c>
      <c r="F373">
        <v>844</v>
      </c>
      <c r="G373">
        <v>16880</v>
      </c>
      <c r="H373">
        <v>0</v>
      </c>
      <c r="I373">
        <v>0.9</v>
      </c>
      <c r="J373" s="28">
        <v>4.83</v>
      </c>
      <c r="K373" s="126">
        <v>0.19</v>
      </c>
      <c r="L373" s="126">
        <v>1.3</v>
      </c>
      <c r="M373" s="126">
        <v>1.4999999999999999E-2</v>
      </c>
      <c r="N373" s="126">
        <v>0</v>
      </c>
      <c r="O373" s="126">
        <v>0.6</v>
      </c>
      <c r="P373" s="126">
        <v>0.85799999999999998</v>
      </c>
      <c r="Q373" s="126">
        <v>0.95</v>
      </c>
      <c r="R373" s="126">
        <v>0</v>
      </c>
      <c r="S373" s="126">
        <v>0</v>
      </c>
      <c r="T373" s="126">
        <v>0</v>
      </c>
      <c r="U373" s="126">
        <v>0</v>
      </c>
      <c r="V373" s="126">
        <v>0</v>
      </c>
      <c r="W373" s="126">
        <v>0</v>
      </c>
      <c r="X373" s="126">
        <v>0</v>
      </c>
      <c r="Y373" s="126">
        <v>0</v>
      </c>
      <c r="Z373" s="142">
        <v>8</v>
      </c>
      <c r="AA373" s="126">
        <v>0</v>
      </c>
      <c r="AB373" s="126">
        <v>0</v>
      </c>
      <c r="AC373" s="126">
        <v>0</v>
      </c>
      <c r="AD373" s="126">
        <v>0</v>
      </c>
      <c r="AE373" s="126">
        <v>0</v>
      </c>
      <c r="AF373" s="126">
        <v>0</v>
      </c>
      <c r="AG373" t="s">
        <v>3225</v>
      </c>
    </row>
    <row r="374" spans="1:33" x14ac:dyDescent="0.3">
      <c r="A374">
        <v>521</v>
      </c>
      <c r="B374" t="s">
        <v>3226</v>
      </c>
      <c r="C374" t="s">
        <v>311</v>
      </c>
      <c r="D374">
        <v>54281</v>
      </c>
      <c r="E374">
        <v>59709</v>
      </c>
      <c r="F374">
        <v>844</v>
      </c>
      <c r="G374">
        <v>16880</v>
      </c>
      <c r="H374">
        <v>0</v>
      </c>
      <c r="I374">
        <v>0.9</v>
      </c>
      <c r="J374" s="28">
        <v>4.83</v>
      </c>
      <c r="K374" s="126">
        <v>0.19</v>
      </c>
      <c r="L374" s="126">
        <v>1.3</v>
      </c>
      <c r="M374" s="126">
        <v>1.4999999999999999E-2</v>
      </c>
      <c r="N374" s="126">
        <v>0</v>
      </c>
      <c r="O374" s="126">
        <v>0.6</v>
      </c>
      <c r="P374" s="126">
        <v>0.85799999999999998</v>
      </c>
      <c r="Q374" s="126">
        <v>0.95</v>
      </c>
      <c r="R374" s="126">
        <v>0</v>
      </c>
      <c r="S374" s="126">
        <v>0</v>
      </c>
      <c r="T374" s="126">
        <v>0</v>
      </c>
      <c r="U374" s="126">
        <v>0</v>
      </c>
      <c r="V374" s="126">
        <v>0</v>
      </c>
      <c r="W374" s="126">
        <v>0</v>
      </c>
      <c r="X374" s="126">
        <v>0</v>
      </c>
      <c r="Y374" s="126">
        <v>0</v>
      </c>
      <c r="Z374" s="142">
        <v>8</v>
      </c>
      <c r="AA374" s="126">
        <v>0</v>
      </c>
      <c r="AB374" s="126">
        <v>0</v>
      </c>
      <c r="AC374" s="126">
        <v>0</v>
      </c>
      <c r="AD374" s="126">
        <v>0</v>
      </c>
      <c r="AE374" s="126">
        <v>0</v>
      </c>
      <c r="AF374" s="126">
        <v>0</v>
      </c>
      <c r="AG374" t="s">
        <v>3227</v>
      </c>
    </row>
    <row r="375" spans="1:33" x14ac:dyDescent="0.3">
      <c r="A375">
        <v>522</v>
      </c>
      <c r="B375" t="s">
        <v>3228</v>
      </c>
      <c r="C375" t="s">
        <v>311</v>
      </c>
      <c r="D375">
        <v>54281</v>
      </c>
      <c r="E375">
        <v>59709</v>
      </c>
      <c r="F375">
        <v>844</v>
      </c>
      <c r="G375">
        <v>16880</v>
      </c>
      <c r="H375">
        <v>0</v>
      </c>
      <c r="I375">
        <v>0.9</v>
      </c>
      <c r="J375" s="28">
        <v>4.83</v>
      </c>
      <c r="K375" s="126">
        <v>0.19</v>
      </c>
      <c r="L375" s="126">
        <v>1.3</v>
      </c>
      <c r="M375" s="126">
        <v>1.4999999999999999E-2</v>
      </c>
      <c r="N375" s="126">
        <v>0</v>
      </c>
      <c r="O375" s="126">
        <v>0.6</v>
      </c>
      <c r="P375" s="126">
        <v>0.85799999999999998</v>
      </c>
      <c r="Q375" s="126">
        <v>0.8</v>
      </c>
      <c r="R375" s="126">
        <v>0</v>
      </c>
      <c r="S375" s="126">
        <v>0</v>
      </c>
      <c r="T375" s="126">
        <v>0</v>
      </c>
      <c r="U375" s="126">
        <v>0</v>
      </c>
      <c r="V375" s="126">
        <v>0</v>
      </c>
      <c r="W375" s="126">
        <v>0</v>
      </c>
      <c r="X375" s="126">
        <v>0</v>
      </c>
      <c r="Y375" s="126">
        <v>0</v>
      </c>
      <c r="Z375" s="142">
        <v>8</v>
      </c>
      <c r="AA375" s="126">
        <v>0</v>
      </c>
      <c r="AB375" s="126">
        <v>0</v>
      </c>
      <c r="AC375" s="126">
        <v>0</v>
      </c>
      <c r="AD375" s="126">
        <v>0</v>
      </c>
      <c r="AE375" s="126">
        <v>0</v>
      </c>
      <c r="AF375" s="126">
        <v>0</v>
      </c>
      <c r="AG375" t="s">
        <v>3229</v>
      </c>
    </row>
    <row r="376" spans="1:33" x14ac:dyDescent="0.3">
      <c r="A376">
        <v>523</v>
      </c>
      <c r="B376" t="s">
        <v>3230</v>
      </c>
      <c r="C376" t="s">
        <v>311</v>
      </c>
      <c r="D376">
        <v>54281</v>
      </c>
      <c r="E376">
        <v>59709</v>
      </c>
      <c r="F376">
        <v>844</v>
      </c>
      <c r="G376">
        <v>16880</v>
      </c>
      <c r="H376">
        <v>0</v>
      </c>
      <c r="I376">
        <v>0.9</v>
      </c>
      <c r="J376" s="28">
        <v>4.83</v>
      </c>
      <c r="K376" s="126">
        <v>0.19</v>
      </c>
      <c r="L376" s="126">
        <v>1.3</v>
      </c>
      <c r="M376" s="126">
        <v>1.4999999999999999E-2</v>
      </c>
      <c r="N376" s="126">
        <v>0</v>
      </c>
      <c r="O376" s="126">
        <v>0.6</v>
      </c>
      <c r="P376" s="126">
        <v>0.85799999999999998</v>
      </c>
      <c r="Q376" s="126">
        <v>0.8</v>
      </c>
      <c r="R376" s="126">
        <v>0</v>
      </c>
      <c r="S376" s="126">
        <v>0</v>
      </c>
      <c r="T376" s="126">
        <v>0</v>
      </c>
      <c r="U376" s="126">
        <v>0</v>
      </c>
      <c r="V376" s="126">
        <v>0</v>
      </c>
      <c r="W376" s="126">
        <v>0</v>
      </c>
      <c r="X376" s="126">
        <v>0</v>
      </c>
      <c r="Y376" s="126">
        <v>0</v>
      </c>
      <c r="Z376" s="142">
        <v>8</v>
      </c>
      <c r="AA376" s="126">
        <v>0</v>
      </c>
      <c r="AB376" s="126">
        <v>0</v>
      </c>
      <c r="AC376" s="126">
        <v>0</v>
      </c>
      <c r="AD376" s="126">
        <v>0</v>
      </c>
      <c r="AE376" s="126">
        <v>0</v>
      </c>
      <c r="AF376" s="126">
        <v>0</v>
      </c>
      <c r="AG376" t="s">
        <v>3231</v>
      </c>
    </row>
    <row r="377" spans="1:33" x14ac:dyDescent="0.3">
      <c r="A377">
        <v>524</v>
      </c>
      <c r="B377" t="s">
        <v>3232</v>
      </c>
      <c r="C377" t="s">
        <v>311</v>
      </c>
      <c r="D377">
        <v>5385</v>
      </c>
      <c r="E377">
        <v>5924</v>
      </c>
      <c r="F377">
        <v>800</v>
      </c>
      <c r="G377">
        <v>24000</v>
      </c>
      <c r="H377">
        <v>0</v>
      </c>
      <c r="I377">
        <v>0.9</v>
      </c>
      <c r="J377" s="28">
        <v>4.83</v>
      </c>
      <c r="K377" s="126">
        <v>0.19</v>
      </c>
      <c r="L377" s="126">
        <v>1.3</v>
      </c>
      <c r="M377" s="126">
        <v>1.4999999999999999E-2</v>
      </c>
      <c r="N377" s="126">
        <v>0</v>
      </c>
      <c r="O377" s="126">
        <v>0.6</v>
      </c>
      <c r="P377" s="126">
        <v>0.85799999999999998</v>
      </c>
      <c r="Q377" s="126">
        <v>0.75</v>
      </c>
      <c r="R377" s="126">
        <v>0</v>
      </c>
      <c r="S377" s="126">
        <v>0</v>
      </c>
      <c r="T377" s="126">
        <v>0</v>
      </c>
      <c r="U377" s="126">
        <v>0</v>
      </c>
      <c r="V377" s="126">
        <v>0</v>
      </c>
      <c r="W377" s="126">
        <v>0</v>
      </c>
      <c r="X377" s="126">
        <v>0</v>
      </c>
      <c r="Y377" s="126">
        <v>0</v>
      </c>
      <c r="Z377" s="142">
        <v>8</v>
      </c>
      <c r="AA377" s="126">
        <v>0</v>
      </c>
      <c r="AB377" s="126">
        <v>0</v>
      </c>
      <c r="AC377" s="126">
        <v>0</v>
      </c>
      <c r="AD377" s="126">
        <v>0</v>
      </c>
      <c r="AE377" s="126">
        <v>0</v>
      </c>
      <c r="AF377" s="126">
        <v>0</v>
      </c>
      <c r="AG377" t="s">
        <v>3233</v>
      </c>
    </row>
    <row r="378" spans="1:33" x14ac:dyDescent="0.3">
      <c r="A378">
        <v>525</v>
      </c>
      <c r="B378" t="s">
        <v>3234</v>
      </c>
      <c r="C378" t="s">
        <v>311</v>
      </c>
      <c r="D378">
        <v>5385</v>
      </c>
      <c r="E378">
        <v>5924</v>
      </c>
      <c r="F378">
        <v>800</v>
      </c>
      <c r="G378">
        <v>24000</v>
      </c>
      <c r="H378">
        <v>0</v>
      </c>
      <c r="I378">
        <v>0.9</v>
      </c>
      <c r="J378" s="28">
        <v>4.83</v>
      </c>
      <c r="K378" s="126">
        <v>0.19</v>
      </c>
      <c r="L378" s="126">
        <v>1.3</v>
      </c>
      <c r="M378" s="126">
        <v>1.4999999999999999E-2</v>
      </c>
      <c r="N378" s="126">
        <v>0</v>
      </c>
      <c r="O378" s="126">
        <v>0.6</v>
      </c>
      <c r="P378" s="126">
        <v>0.85799999999999998</v>
      </c>
      <c r="Q378" s="126">
        <v>0.75</v>
      </c>
      <c r="R378" s="126">
        <v>0</v>
      </c>
      <c r="S378" s="126">
        <v>0</v>
      </c>
      <c r="T378" s="126">
        <v>0</v>
      </c>
      <c r="U378" s="126">
        <v>0</v>
      </c>
      <c r="V378" s="126">
        <v>0</v>
      </c>
      <c r="W378" s="126">
        <v>0</v>
      </c>
      <c r="X378" s="126">
        <v>0</v>
      </c>
      <c r="Y378" s="126">
        <v>0</v>
      </c>
      <c r="Z378" s="142">
        <v>8</v>
      </c>
      <c r="AA378" s="126">
        <v>0</v>
      </c>
      <c r="AB378" s="126">
        <v>0</v>
      </c>
      <c r="AC378" s="126">
        <v>0</v>
      </c>
      <c r="AD378" s="126">
        <v>0</v>
      </c>
      <c r="AE378" s="126">
        <v>0</v>
      </c>
      <c r="AF378" s="126">
        <v>0</v>
      </c>
      <c r="AG378" t="s">
        <v>3235</v>
      </c>
    </row>
    <row r="379" spans="1:33" x14ac:dyDescent="0.3">
      <c r="A379">
        <v>526</v>
      </c>
      <c r="B379" t="s">
        <v>3236</v>
      </c>
      <c r="C379" t="s">
        <v>311</v>
      </c>
      <c r="D379">
        <v>54281</v>
      </c>
      <c r="E379">
        <v>59709</v>
      </c>
      <c r="F379">
        <v>844</v>
      </c>
      <c r="G379">
        <v>16880</v>
      </c>
      <c r="H379">
        <v>0</v>
      </c>
      <c r="I379">
        <v>0.9</v>
      </c>
      <c r="J379" s="28">
        <v>4.83</v>
      </c>
      <c r="K379" s="126">
        <v>0.19</v>
      </c>
      <c r="L379" s="126">
        <v>1.3</v>
      </c>
      <c r="M379" s="126">
        <v>1.4999999999999999E-2</v>
      </c>
      <c r="N379" s="126">
        <v>0</v>
      </c>
      <c r="O379" s="126">
        <v>0.6</v>
      </c>
      <c r="P379" s="126">
        <v>0.85799999999999998</v>
      </c>
      <c r="Q379" s="126">
        <v>0.8</v>
      </c>
      <c r="R379" s="126">
        <v>0</v>
      </c>
      <c r="S379" s="126">
        <v>0</v>
      </c>
      <c r="T379" s="126">
        <v>0</v>
      </c>
      <c r="U379" s="126">
        <v>0</v>
      </c>
      <c r="V379" s="126">
        <v>0</v>
      </c>
      <c r="W379" s="126">
        <v>0</v>
      </c>
      <c r="X379" s="126">
        <v>0</v>
      </c>
      <c r="Y379" s="126">
        <v>0</v>
      </c>
      <c r="Z379" s="142">
        <v>8</v>
      </c>
      <c r="AA379" s="126">
        <v>0</v>
      </c>
      <c r="AB379" s="126">
        <v>0</v>
      </c>
      <c r="AC379" s="126">
        <v>0</v>
      </c>
      <c r="AD379" s="126">
        <v>0</v>
      </c>
      <c r="AE379" s="126">
        <v>0</v>
      </c>
      <c r="AF379" s="126">
        <v>0</v>
      </c>
      <c r="AG379" t="s">
        <v>3237</v>
      </c>
    </row>
    <row r="380" spans="1:33" x14ac:dyDescent="0.3">
      <c r="A380">
        <v>528</v>
      </c>
      <c r="B380" t="s">
        <v>3238</v>
      </c>
      <c r="C380" t="s">
        <v>311</v>
      </c>
      <c r="D380">
        <v>5385</v>
      </c>
      <c r="E380">
        <v>5924</v>
      </c>
      <c r="F380">
        <v>800</v>
      </c>
      <c r="G380">
        <v>24000</v>
      </c>
      <c r="H380">
        <v>0</v>
      </c>
      <c r="I380">
        <v>0.9</v>
      </c>
      <c r="J380" s="28">
        <v>4.83</v>
      </c>
      <c r="K380" s="126">
        <v>0.19</v>
      </c>
      <c r="L380" s="126">
        <v>1.3</v>
      </c>
      <c r="M380" s="126">
        <v>1.4999999999999999E-2</v>
      </c>
      <c r="N380" s="126">
        <v>0</v>
      </c>
      <c r="O380" s="126">
        <v>0.6</v>
      </c>
      <c r="P380" s="126">
        <v>0.85799999999999998</v>
      </c>
      <c r="Q380" s="126">
        <v>0.8</v>
      </c>
      <c r="R380" s="126">
        <v>0</v>
      </c>
      <c r="S380" s="126">
        <v>0</v>
      </c>
      <c r="T380" s="126">
        <v>0</v>
      </c>
      <c r="U380" s="126">
        <v>0</v>
      </c>
      <c r="V380" s="126">
        <v>0</v>
      </c>
      <c r="W380" s="126">
        <v>0</v>
      </c>
      <c r="X380" s="126">
        <v>0</v>
      </c>
      <c r="Y380" s="126">
        <v>0</v>
      </c>
      <c r="Z380" s="142">
        <v>8</v>
      </c>
      <c r="AA380" s="126">
        <v>0</v>
      </c>
      <c r="AB380" s="126">
        <v>0</v>
      </c>
      <c r="AC380" s="126">
        <v>0</v>
      </c>
      <c r="AD380" s="126">
        <v>0</v>
      </c>
      <c r="AE380" s="126">
        <v>0</v>
      </c>
      <c r="AF380" s="126">
        <v>0</v>
      </c>
      <c r="AG380" t="s">
        <v>3239</v>
      </c>
    </row>
    <row r="381" spans="1:33" x14ac:dyDescent="0.3">
      <c r="A381">
        <v>529</v>
      </c>
      <c r="B381" t="s">
        <v>3240</v>
      </c>
      <c r="C381" t="s">
        <v>311</v>
      </c>
      <c r="D381">
        <v>10985</v>
      </c>
      <c r="E381">
        <v>12084</v>
      </c>
      <c r="F381">
        <v>800</v>
      </c>
      <c r="G381">
        <v>1300</v>
      </c>
      <c r="H381">
        <v>0</v>
      </c>
      <c r="I381">
        <v>0.9</v>
      </c>
      <c r="J381" s="28">
        <v>4.83</v>
      </c>
      <c r="K381" s="126">
        <v>0.19</v>
      </c>
      <c r="L381" s="126">
        <v>1.3</v>
      </c>
      <c r="M381" s="126">
        <v>1.4999999999999999E-2</v>
      </c>
      <c r="N381" s="126">
        <v>0</v>
      </c>
      <c r="O381" s="126">
        <v>1E-3</v>
      </c>
      <c r="P381" s="126">
        <v>1E-3</v>
      </c>
      <c r="Q381" s="126">
        <v>0.8</v>
      </c>
      <c r="R381" s="126">
        <v>0</v>
      </c>
      <c r="S381" s="126">
        <v>0</v>
      </c>
      <c r="T381" s="126">
        <v>0</v>
      </c>
      <c r="U381" s="126">
        <v>0</v>
      </c>
      <c r="V381" s="126">
        <v>0</v>
      </c>
      <c r="W381" s="126">
        <v>0</v>
      </c>
      <c r="X381" s="126">
        <v>0</v>
      </c>
      <c r="Y381" s="126">
        <v>0</v>
      </c>
      <c r="Z381" s="142">
        <v>8</v>
      </c>
      <c r="AA381" s="126">
        <v>0</v>
      </c>
      <c r="AB381" s="126">
        <v>0</v>
      </c>
      <c r="AC381" s="126">
        <v>0</v>
      </c>
      <c r="AD381" s="126">
        <v>0</v>
      </c>
      <c r="AE381" s="126">
        <v>0</v>
      </c>
      <c r="AF381" s="126">
        <v>0</v>
      </c>
      <c r="AG381" t="s">
        <v>3241</v>
      </c>
    </row>
    <row r="382" spans="1:33" x14ac:dyDescent="0.3">
      <c r="A382">
        <v>530</v>
      </c>
      <c r="B382" t="s">
        <v>332</v>
      </c>
      <c r="C382" t="s">
        <v>311</v>
      </c>
      <c r="D382">
        <v>13462</v>
      </c>
      <c r="E382">
        <v>14809</v>
      </c>
      <c r="F382">
        <v>200</v>
      </c>
      <c r="G382">
        <v>2000</v>
      </c>
      <c r="H382">
        <v>0</v>
      </c>
      <c r="I382">
        <v>0.9</v>
      </c>
      <c r="J382" s="28">
        <v>1.61</v>
      </c>
      <c r="K382" s="126">
        <v>0.19</v>
      </c>
      <c r="L382" s="126">
        <v>1.3</v>
      </c>
      <c r="M382" s="126">
        <v>1.1000000000000001</v>
      </c>
      <c r="N382" s="126">
        <v>0</v>
      </c>
      <c r="O382" s="126">
        <v>0.6</v>
      </c>
      <c r="P382" s="126">
        <v>0.92</v>
      </c>
      <c r="Q382" s="126">
        <v>0.95</v>
      </c>
      <c r="R382" s="126">
        <v>0</v>
      </c>
      <c r="S382" s="126">
        <v>0</v>
      </c>
      <c r="T382" s="126">
        <v>0</v>
      </c>
      <c r="U382" s="126">
        <v>0</v>
      </c>
      <c r="V382" s="126">
        <v>0</v>
      </c>
      <c r="W382" s="126">
        <v>0</v>
      </c>
      <c r="X382" s="126">
        <v>0</v>
      </c>
      <c r="Y382" s="126">
        <v>0</v>
      </c>
      <c r="Z382" s="142">
        <v>8</v>
      </c>
      <c r="AA382" s="126">
        <v>0</v>
      </c>
      <c r="AB382" s="126">
        <v>0</v>
      </c>
      <c r="AC382" s="126">
        <v>0</v>
      </c>
      <c r="AD382" s="126">
        <v>0</v>
      </c>
      <c r="AE382" s="126">
        <v>0</v>
      </c>
      <c r="AF382" s="126">
        <v>0</v>
      </c>
      <c r="AG382" t="s">
        <v>1877</v>
      </c>
    </row>
    <row r="383" spans="1:33" x14ac:dyDescent="0.3">
      <c r="A383">
        <v>531</v>
      </c>
      <c r="B383" t="s">
        <v>333</v>
      </c>
      <c r="C383" t="s">
        <v>311</v>
      </c>
      <c r="D383">
        <v>12170</v>
      </c>
      <c r="E383">
        <v>13387</v>
      </c>
      <c r="F383">
        <v>969</v>
      </c>
      <c r="G383">
        <v>14535</v>
      </c>
      <c r="H383">
        <v>0</v>
      </c>
      <c r="I383">
        <v>0.9</v>
      </c>
      <c r="J383" s="28">
        <v>4.83</v>
      </c>
      <c r="K383" s="126">
        <v>0.19</v>
      </c>
      <c r="L383" s="126">
        <v>1.3</v>
      </c>
      <c r="M383" s="126">
        <v>1.4999999999999999E-2</v>
      </c>
      <c r="N383" s="126">
        <v>0</v>
      </c>
      <c r="O383" s="126">
        <v>0.6</v>
      </c>
      <c r="P383" s="126">
        <v>0.92</v>
      </c>
      <c r="Q383" s="126">
        <v>0.55000000000000004</v>
      </c>
      <c r="R383" s="126">
        <v>0</v>
      </c>
      <c r="S383" s="126">
        <v>0</v>
      </c>
      <c r="T383" s="126">
        <v>0</v>
      </c>
      <c r="U383" s="126">
        <v>0</v>
      </c>
      <c r="V383" s="126">
        <v>0</v>
      </c>
      <c r="W383" s="126">
        <v>0</v>
      </c>
      <c r="X383" s="126">
        <v>0</v>
      </c>
      <c r="Y383" s="126">
        <v>0</v>
      </c>
      <c r="Z383" s="142">
        <v>8</v>
      </c>
      <c r="AA383" s="126">
        <v>0</v>
      </c>
      <c r="AB383" s="126">
        <v>0</v>
      </c>
      <c r="AC383" s="126">
        <v>0</v>
      </c>
      <c r="AD383" s="126">
        <v>0</v>
      </c>
      <c r="AE383" s="126">
        <v>0</v>
      </c>
      <c r="AF383" s="126">
        <v>0</v>
      </c>
      <c r="AG383" t="s">
        <v>2495</v>
      </c>
    </row>
    <row r="384" spans="1:33" x14ac:dyDescent="0.3">
      <c r="A384">
        <v>532</v>
      </c>
      <c r="B384" t="s">
        <v>3242</v>
      </c>
      <c r="C384" t="s">
        <v>311</v>
      </c>
      <c r="D384">
        <v>32310</v>
      </c>
      <c r="E384">
        <v>35541</v>
      </c>
      <c r="F384">
        <v>929</v>
      </c>
      <c r="G384">
        <v>43935</v>
      </c>
      <c r="H384">
        <v>0</v>
      </c>
      <c r="I384">
        <v>0.9</v>
      </c>
      <c r="J384" s="28">
        <v>4.83</v>
      </c>
      <c r="K384" s="126">
        <v>0.19</v>
      </c>
      <c r="L384" s="126">
        <v>1.3</v>
      </c>
      <c r="M384" s="126">
        <v>0.1</v>
      </c>
      <c r="N384" s="126">
        <v>0</v>
      </c>
      <c r="O384" s="126">
        <v>0.6</v>
      </c>
      <c r="P384" s="126">
        <v>0.88</v>
      </c>
      <c r="Q384" s="126">
        <v>0.88500000000000001</v>
      </c>
      <c r="R384" s="126">
        <v>0</v>
      </c>
      <c r="S384" s="126">
        <v>0</v>
      </c>
      <c r="T384" s="126">
        <v>0</v>
      </c>
      <c r="U384" s="126">
        <v>0</v>
      </c>
      <c r="V384" s="126">
        <v>0</v>
      </c>
      <c r="W384" s="126">
        <v>0</v>
      </c>
      <c r="X384" s="126">
        <v>0</v>
      </c>
      <c r="Y384" s="126">
        <v>0</v>
      </c>
      <c r="Z384" s="142">
        <v>8</v>
      </c>
      <c r="AA384" s="126">
        <v>0</v>
      </c>
      <c r="AB384" s="126">
        <v>0</v>
      </c>
      <c r="AC384" s="126">
        <v>0</v>
      </c>
      <c r="AD384" s="126">
        <v>0</v>
      </c>
      <c r="AE384" s="126">
        <v>0</v>
      </c>
      <c r="AF384" s="126">
        <v>0</v>
      </c>
      <c r="AG384" t="s">
        <v>3243</v>
      </c>
    </row>
    <row r="385" spans="1:33" x14ac:dyDescent="0.3">
      <c r="A385">
        <v>533</v>
      </c>
      <c r="B385" t="s">
        <v>334</v>
      </c>
      <c r="C385" t="s">
        <v>311</v>
      </c>
      <c r="D385">
        <v>34464</v>
      </c>
      <c r="E385">
        <v>37910</v>
      </c>
      <c r="F385">
        <v>3975</v>
      </c>
      <c r="G385">
        <v>79500</v>
      </c>
      <c r="H385">
        <v>0</v>
      </c>
      <c r="I385">
        <v>0.9</v>
      </c>
      <c r="J385" s="28">
        <v>4.83</v>
      </c>
      <c r="K385" s="126">
        <v>0.19</v>
      </c>
      <c r="L385" s="126">
        <v>1.3</v>
      </c>
      <c r="M385" s="126">
        <v>7.0000000000000007E-2</v>
      </c>
      <c r="N385" s="126">
        <v>0</v>
      </c>
      <c r="O385" s="126">
        <v>0.6</v>
      </c>
      <c r="P385" s="126">
        <v>0.6</v>
      </c>
      <c r="Q385" s="126">
        <v>0.55000000000000004</v>
      </c>
      <c r="R385" s="126">
        <v>0</v>
      </c>
      <c r="S385" s="126">
        <v>0</v>
      </c>
      <c r="T385" s="126">
        <v>0</v>
      </c>
      <c r="U385" s="126">
        <v>0</v>
      </c>
      <c r="V385" s="126">
        <v>0</v>
      </c>
      <c r="W385" s="126">
        <v>0</v>
      </c>
      <c r="X385" s="126">
        <v>0</v>
      </c>
      <c r="Y385" s="126">
        <v>0</v>
      </c>
      <c r="Z385" s="142">
        <v>8</v>
      </c>
      <c r="AA385" s="126">
        <v>0</v>
      </c>
      <c r="AB385" s="126">
        <v>0</v>
      </c>
      <c r="AC385" s="126">
        <v>0</v>
      </c>
      <c r="AD385" s="126">
        <v>0</v>
      </c>
      <c r="AE385" s="126">
        <v>0</v>
      </c>
      <c r="AF385" s="126">
        <v>0</v>
      </c>
      <c r="AG385" t="s">
        <v>2496</v>
      </c>
    </row>
    <row r="386" spans="1:33" x14ac:dyDescent="0.3">
      <c r="A386">
        <v>534</v>
      </c>
      <c r="B386" t="s">
        <v>335</v>
      </c>
      <c r="C386" t="s">
        <v>311</v>
      </c>
      <c r="D386">
        <v>67851</v>
      </c>
      <c r="E386">
        <v>74636</v>
      </c>
      <c r="F386">
        <v>844</v>
      </c>
      <c r="G386">
        <v>16880</v>
      </c>
      <c r="H386">
        <v>0</v>
      </c>
      <c r="I386">
        <v>0.9</v>
      </c>
      <c r="J386" s="28">
        <v>4.83</v>
      </c>
      <c r="K386" s="126">
        <v>0.19</v>
      </c>
      <c r="L386" s="126">
        <v>1.3</v>
      </c>
      <c r="M386" s="126">
        <v>0.11</v>
      </c>
      <c r="N386" s="126">
        <v>0</v>
      </c>
      <c r="O386" s="126">
        <v>0.5</v>
      </c>
      <c r="P386" s="126">
        <v>1E-3</v>
      </c>
      <c r="Q386" s="126">
        <v>0.8</v>
      </c>
      <c r="R386" s="126">
        <v>0</v>
      </c>
      <c r="S386" s="126">
        <v>0</v>
      </c>
      <c r="T386" s="126">
        <v>0</v>
      </c>
      <c r="U386" s="126">
        <v>0</v>
      </c>
      <c r="V386" s="126">
        <v>0</v>
      </c>
      <c r="W386" s="126">
        <v>0</v>
      </c>
      <c r="X386" s="126">
        <v>0</v>
      </c>
      <c r="Y386" s="126">
        <v>0</v>
      </c>
      <c r="Z386" s="142">
        <v>8</v>
      </c>
      <c r="AA386" s="126">
        <v>0</v>
      </c>
      <c r="AB386" s="126">
        <v>0</v>
      </c>
      <c r="AC386" s="126">
        <v>0</v>
      </c>
      <c r="AD386" s="126">
        <v>0</v>
      </c>
      <c r="AE386" s="126">
        <v>0</v>
      </c>
      <c r="AF386" s="126">
        <v>0</v>
      </c>
      <c r="AG386" t="s">
        <v>2497</v>
      </c>
    </row>
    <row r="387" spans="1:33" x14ac:dyDescent="0.3">
      <c r="A387">
        <v>535</v>
      </c>
      <c r="B387" t="s">
        <v>3244</v>
      </c>
      <c r="C387" t="s">
        <v>311</v>
      </c>
      <c r="D387">
        <v>9241</v>
      </c>
      <c r="E387">
        <v>10165</v>
      </c>
      <c r="F387">
        <v>2929</v>
      </c>
      <c r="G387">
        <v>43936</v>
      </c>
      <c r="H387">
        <v>0</v>
      </c>
      <c r="I387">
        <v>0.9</v>
      </c>
      <c r="J387" s="28">
        <v>4.83</v>
      </c>
      <c r="K387" s="126">
        <v>0.19</v>
      </c>
      <c r="L387" s="126">
        <v>1.3</v>
      </c>
      <c r="M387" s="126">
        <v>5.0999999999999997E-2</v>
      </c>
      <c r="N387" s="126">
        <v>0</v>
      </c>
      <c r="O387" s="126">
        <v>0.6</v>
      </c>
      <c r="P387" s="126">
        <v>0.88</v>
      </c>
      <c r="Q387" s="126">
        <v>0.75</v>
      </c>
      <c r="R387" s="126">
        <v>0</v>
      </c>
      <c r="S387" s="126">
        <v>0</v>
      </c>
      <c r="T387" s="126">
        <v>0</v>
      </c>
      <c r="U387" s="126">
        <v>0</v>
      </c>
      <c r="V387" s="126">
        <v>0</v>
      </c>
      <c r="W387" s="126">
        <v>0</v>
      </c>
      <c r="X387" s="126">
        <v>0</v>
      </c>
      <c r="Y387" s="126">
        <v>0</v>
      </c>
      <c r="Z387" s="142">
        <v>8</v>
      </c>
      <c r="AA387" s="126">
        <v>0</v>
      </c>
      <c r="AB387" s="126">
        <v>0</v>
      </c>
      <c r="AC387" s="126">
        <v>0</v>
      </c>
      <c r="AD387" s="126">
        <v>0</v>
      </c>
      <c r="AE387" s="126">
        <v>0</v>
      </c>
      <c r="AF387" s="126">
        <v>0</v>
      </c>
      <c r="AG387" t="s">
        <v>3245</v>
      </c>
    </row>
    <row r="388" spans="1:33" x14ac:dyDescent="0.3">
      <c r="A388">
        <v>536</v>
      </c>
      <c r="B388" t="s">
        <v>3246</v>
      </c>
      <c r="C388" t="s">
        <v>311</v>
      </c>
      <c r="D388">
        <v>9855</v>
      </c>
      <c r="E388">
        <v>10840</v>
      </c>
      <c r="F388">
        <v>3975</v>
      </c>
      <c r="G388">
        <v>79500</v>
      </c>
      <c r="H388">
        <v>0</v>
      </c>
      <c r="I388">
        <v>0.9</v>
      </c>
      <c r="J388" s="28">
        <v>4.83</v>
      </c>
      <c r="K388" s="126">
        <v>0.19</v>
      </c>
      <c r="L388" s="126">
        <v>1.3</v>
      </c>
      <c r="M388" s="126">
        <v>1E-3</v>
      </c>
      <c r="N388" s="126">
        <v>0</v>
      </c>
      <c r="O388" s="126">
        <v>0.6</v>
      </c>
      <c r="P388" s="126">
        <v>0.6</v>
      </c>
      <c r="Q388" s="126">
        <v>0.55000000000000004</v>
      </c>
      <c r="R388" s="126">
        <v>0</v>
      </c>
      <c r="S388" s="126">
        <v>0</v>
      </c>
      <c r="T388" s="126">
        <v>0</v>
      </c>
      <c r="U388" s="126">
        <v>0</v>
      </c>
      <c r="V388" s="126">
        <v>0</v>
      </c>
      <c r="W388" s="126">
        <v>0</v>
      </c>
      <c r="X388" s="126">
        <v>0</v>
      </c>
      <c r="Y388" s="126">
        <v>0</v>
      </c>
      <c r="Z388" s="142">
        <v>8</v>
      </c>
      <c r="AA388" s="126">
        <v>0</v>
      </c>
      <c r="AB388" s="126">
        <v>0</v>
      </c>
      <c r="AC388" s="126">
        <v>0</v>
      </c>
      <c r="AD388" s="126">
        <v>0</v>
      </c>
      <c r="AE388" s="126">
        <v>0</v>
      </c>
      <c r="AF388" s="126">
        <v>0</v>
      </c>
      <c r="AG388" t="s">
        <v>3245</v>
      </c>
    </row>
    <row r="389" spans="1:33" x14ac:dyDescent="0.3">
      <c r="A389">
        <v>537</v>
      </c>
      <c r="B389" t="s">
        <v>3247</v>
      </c>
      <c r="C389" t="s">
        <v>311</v>
      </c>
      <c r="D389">
        <v>19386</v>
      </c>
      <c r="E389">
        <v>21325</v>
      </c>
      <c r="F389">
        <v>7223</v>
      </c>
      <c r="G389">
        <v>50631</v>
      </c>
      <c r="H389">
        <v>0</v>
      </c>
      <c r="I389">
        <v>0.9</v>
      </c>
      <c r="J389" s="28">
        <v>1.61</v>
      </c>
      <c r="K389" s="126">
        <v>0.19</v>
      </c>
      <c r="L389" s="126">
        <v>1.3</v>
      </c>
      <c r="M389" s="126">
        <v>0.06</v>
      </c>
      <c r="N389" s="126">
        <v>0</v>
      </c>
      <c r="O389" s="126">
        <v>0.5</v>
      </c>
      <c r="P389" s="126">
        <v>1E-3</v>
      </c>
      <c r="Q389" s="126">
        <v>0.8</v>
      </c>
      <c r="R389" s="126">
        <v>0</v>
      </c>
      <c r="S389" s="126">
        <v>0</v>
      </c>
      <c r="T389" s="126">
        <v>0</v>
      </c>
      <c r="U389" s="126">
        <v>0</v>
      </c>
      <c r="V389" s="126">
        <v>0</v>
      </c>
      <c r="W389" s="126">
        <v>0</v>
      </c>
      <c r="X389" s="126">
        <v>0</v>
      </c>
      <c r="Y389" s="126">
        <v>0</v>
      </c>
      <c r="Z389" s="142">
        <v>8</v>
      </c>
      <c r="AA389" s="126">
        <v>0</v>
      </c>
      <c r="AB389" s="126">
        <v>0</v>
      </c>
      <c r="AC389" s="126">
        <v>0</v>
      </c>
      <c r="AD389" s="126">
        <v>0</v>
      </c>
      <c r="AE389" s="126">
        <v>0</v>
      </c>
      <c r="AF389" s="126">
        <v>0</v>
      </c>
      <c r="AG389" t="s">
        <v>3245</v>
      </c>
    </row>
    <row r="390" spans="1:33" x14ac:dyDescent="0.3">
      <c r="A390">
        <v>538</v>
      </c>
      <c r="B390" t="s">
        <v>3248</v>
      </c>
      <c r="C390" t="s">
        <v>311</v>
      </c>
      <c r="D390">
        <v>19278</v>
      </c>
      <c r="E390">
        <v>21206</v>
      </c>
      <c r="F390">
        <v>969</v>
      </c>
      <c r="G390">
        <v>14535</v>
      </c>
      <c r="H390">
        <v>0</v>
      </c>
      <c r="I390">
        <v>0.9</v>
      </c>
      <c r="J390" s="28">
        <v>1.61</v>
      </c>
      <c r="K390" s="126">
        <v>0.19</v>
      </c>
      <c r="L390" s="126">
        <v>1.3</v>
      </c>
      <c r="M390" s="126">
        <v>1E-3</v>
      </c>
      <c r="N390" s="126">
        <v>0</v>
      </c>
      <c r="O390" s="126">
        <v>0.6</v>
      </c>
      <c r="P390" s="126">
        <v>0.92</v>
      </c>
      <c r="Q390" s="126">
        <v>0.55000000000000004</v>
      </c>
      <c r="R390" s="126">
        <v>0</v>
      </c>
      <c r="S390" s="126">
        <v>0</v>
      </c>
      <c r="T390" s="126">
        <v>0</v>
      </c>
      <c r="U390" s="126">
        <v>0</v>
      </c>
      <c r="V390" s="126">
        <v>0</v>
      </c>
      <c r="W390" s="126">
        <v>0</v>
      </c>
      <c r="X390" s="126">
        <v>0</v>
      </c>
      <c r="Y390" s="126">
        <v>0</v>
      </c>
      <c r="Z390" s="142">
        <v>8</v>
      </c>
      <c r="AA390" s="126">
        <v>0</v>
      </c>
      <c r="AB390" s="126">
        <v>0</v>
      </c>
      <c r="AC390" s="126">
        <v>0</v>
      </c>
      <c r="AD390" s="126">
        <v>0</v>
      </c>
      <c r="AE390" s="126">
        <v>0</v>
      </c>
      <c r="AF390" s="126">
        <v>0</v>
      </c>
      <c r="AG390" t="s">
        <v>3245</v>
      </c>
    </row>
    <row r="391" spans="1:33" x14ac:dyDescent="0.3">
      <c r="A391">
        <v>560</v>
      </c>
      <c r="B391" t="s">
        <v>2498</v>
      </c>
      <c r="C391" t="s">
        <v>247</v>
      </c>
      <c r="D391">
        <v>0</v>
      </c>
      <c r="E391">
        <v>8</v>
      </c>
      <c r="F391">
        <v>0</v>
      </c>
      <c r="G391">
        <v>0</v>
      </c>
      <c r="H391">
        <v>0</v>
      </c>
      <c r="I391">
        <v>0</v>
      </c>
      <c r="J391" s="28">
        <v>0</v>
      </c>
      <c r="K391" s="126">
        <v>0</v>
      </c>
      <c r="L391" s="126">
        <v>0</v>
      </c>
      <c r="M391" s="126">
        <v>0</v>
      </c>
      <c r="N391" s="126">
        <v>0</v>
      </c>
      <c r="O391" s="126">
        <v>0</v>
      </c>
      <c r="P391" s="126">
        <v>0</v>
      </c>
      <c r="Q391" s="126">
        <v>0</v>
      </c>
      <c r="R391" s="126">
        <v>0</v>
      </c>
      <c r="S391" s="126">
        <v>0</v>
      </c>
      <c r="T391" s="126">
        <v>0</v>
      </c>
      <c r="U391" s="126">
        <v>0</v>
      </c>
      <c r="V391" s="126">
        <v>0</v>
      </c>
      <c r="W391" s="126">
        <v>0</v>
      </c>
      <c r="X391" s="126">
        <v>0</v>
      </c>
      <c r="Y391" s="126">
        <v>0</v>
      </c>
      <c r="Z391" s="142">
        <v>12</v>
      </c>
      <c r="AA391" s="126">
        <v>0</v>
      </c>
      <c r="AB391" s="126">
        <v>0</v>
      </c>
      <c r="AC391" s="126">
        <v>0</v>
      </c>
      <c r="AD391" s="126">
        <v>0</v>
      </c>
      <c r="AE391" s="126">
        <v>0</v>
      </c>
      <c r="AF391" s="126">
        <v>0.15</v>
      </c>
      <c r="AG391" t="s">
        <v>3249</v>
      </c>
    </row>
    <row r="392" spans="1:33" x14ac:dyDescent="0.3">
      <c r="A392">
        <v>561</v>
      </c>
      <c r="B392" t="s">
        <v>336</v>
      </c>
      <c r="C392" t="s">
        <v>247</v>
      </c>
      <c r="D392">
        <v>5</v>
      </c>
      <c r="E392">
        <v>0</v>
      </c>
      <c r="F392">
        <v>840</v>
      </c>
      <c r="G392">
        <v>15000</v>
      </c>
      <c r="H392">
        <v>224</v>
      </c>
      <c r="I392">
        <v>3</v>
      </c>
      <c r="J392" s="28">
        <v>3.22</v>
      </c>
      <c r="K392" s="126">
        <v>0.63</v>
      </c>
      <c r="L392" s="126">
        <v>1.3</v>
      </c>
      <c r="M392" s="126">
        <v>0</v>
      </c>
      <c r="N392" s="126">
        <v>0.223</v>
      </c>
      <c r="O392" s="126">
        <v>0.68</v>
      </c>
      <c r="P392" s="126">
        <v>0.92</v>
      </c>
      <c r="Q392" s="126">
        <v>0.82499999999999996</v>
      </c>
      <c r="R392" s="126">
        <v>0</v>
      </c>
      <c r="S392" s="126">
        <v>0</v>
      </c>
      <c r="T392" s="126">
        <v>0</v>
      </c>
      <c r="U392" s="126">
        <v>0</v>
      </c>
      <c r="V392" s="126">
        <v>0</v>
      </c>
      <c r="W392" s="126">
        <v>0</v>
      </c>
      <c r="X392" s="126">
        <v>0</v>
      </c>
      <c r="Y392" s="126">
        <v>0</v>
      </c>
      <c r="Z392" s="142">
        <v>9</v>
      </c>
      <c r="AA392" s="126">
        <v>0</v>
      </c>
      <c r="AB392" s="126">
        <v>0</v>
      </c>
      <c r="AC392" s="126">
        <v>0</v>
      </c>
      <c r="AD392" s="126">
        <v>0</v>
      </c>
      <c r="AE392" s="126">
        <v>5</v>
      </c>
      <c r="AF392" s="126">
        <v>0</v>
      </c>
      <c r="AG392" t="s">
        <v>1873</v>
      </c>
    </row>
    <row r="393" spans="1:33" x14ac:dyDescent="0.3">
      <c r="A393">
        <v>562</v>
      </c>
      <c r="B393" t="s">
        <v>2499</v>
      </c>
      <c r="C393" t="s">
        <v>247</v>
      </c>
      <c r="D393">
        <v>7</v>
      </c>
      <c r="E393">
        <v>0</v>
      </c>
      <c r="F393">
        <v>0</v>
      </c>
      <c r="G393">
        <v>0</v>
      </c>
      <c r="H393">
        <v>0</v>
      </c>
      <c r="I393">
        <v>0</v>
      </c>
      <c r="J393" s="28">
        <v>0</v>
      </c>
      <c r="K393" s="126">
        <v>0</v>
      </c>
      <c r="L393" s="126">
        <v>0</v>
      </c>
      <c r="M393" s="126">
        <v>0</v>
      </c>
      <c r="N393" s="126">
        <v>0</v>
      </c>
      <c r="O393" s="126">
        <v>0</v>
      </c>
      <c r="P393" s="126">
        <v>0</v>
      </c>
      <c r="Q393" s="126">
        <v>0</v>
      </c>
      <c r="R393" s="126">
        <v>0</v>
      </c>
      <c r="S393" s="126">
        <v>0</v>
      </c>
      <c r="T393" s="126">
        <v>0</v>
      </c>
      <c r="U393" s="126">
        <v>0</v>
      </c>
      <c r="V393" s="126">
        <v>0</v>
      </c>
      <c r="W393" s="126">
        <v>0</v>
      </c>
      <c r="X393" s="126">
        <v>0</v>
      </c>
      <c r="Y393" s="126">
        <v>0</v>
      </c>
      <c r="Z393" s="142">
        <v>7</v>
      </c>
      <c r="AA393" s="126">
        <v>0.95</v>
      </c>
      <c r="AB393" s="126">
        <v>0</v>
      </c>
      <c r="AC393" s="126">
        <v>0</v>
      </c>
      <c r="AD393" s="126">
        <v>0</v>
      </c>
      <c r="AE393" s="126">
        <v>2.54</v>
      </c>
      <c r="AF393" s="126">
        <v>0</v>
      </c>
      <c r="AG393" t="s">
        <v>3250</v>
      </c>
    </row>
    <row r="394" spans="1:33" x14ac:dyDescent="0.3">
      <c r="A394">
        <v>563</v>
      </c>
      <c r="B394" t="s">
        <v>2500</v>
      </c>
      <c r="C394" t="s">
        <v>247</v>
      </c>
      <c r="D394">
        <v>62</v>
      </c>
      <c r="E394">
        <v>0</v>
      </c>
      <c r="F394">
        <v>0</v>
      </c>
      <c r="G394">
        <v>0</v>
      </c>
      <c r="H394">
        <v>0</v>
      </c>
      <c r="I394">
        <v>0</v>
      </c>
      <c r="J394" s="28">
        <v>0</v>
      </c>
      <c r="K394" s="126">
        <v>0</v>
      </c>
      <c r="L394" s="126">
        <v>0</v>
      </c>
      <c r="M394" s="126">
        <v>0</v>
      </c>
      <c r="N394" s="126">
        <v>0</v>
      </c>
      <c r="O394" s="126">
        <v>0</v>
      </c>
      <c r="P394" s="126">
        <v>0</v>
      </c>
      <c r="Q394" s="126">
        <v>0</v>
      </c>
      <c r="R394" s="126">
        <v>0</v>
      </c>
      <c r="S394" s="126">
        <v>0</v>
      </c>
      <c r="T394" s="126">
        <v>0</v>
      </c>
      <c r="U394" s="126">
        <v>0</v>
      </c>
      <c r="V394" s="126">
        <v>0</v>
      </c>
      <c r="W394" s="126">
        <v>0</v>
      </c>
      <c r="X394" s="126">
        <v>0</v>
      </c>
      <c r="Y394" s="126">
        <v>0</v>
      </c>
      <c r="Z394" s="142">
        <v>0</v>
      </c>
      <c r="AA394" s="126">
        <v>0</v>
      </c>
      <c r="AB394" s="126">
        <v>5</v>
      </c>
      <c r="AC394" s="126">
        <v>0</v>
      </c>
      <c r="AD394" s="126">
        <v>0.02</v>
      </c>
      <c r="AE394" s="126">
        <v>0</v>
      </c>
      <c r="AF394" s="126">
        <v>0</v>
      </c>
      <c r="AG394" t="s">
        <v>2490</v>
      </c>
    </row>
    <row r="395" spans="1:33" x14ac:dyDescent="0.3">
      <c r="A395">
        <v>564</v>
      </c>
      <c r="B395" t="s">
        <v>2500</v>
      </c>
      <c r="C395" t="s">
        <v>247</v>
      </c>
      <c r="D395">
        <v>36</v>
      </c>
      <c r="E395">
        <v>0</v>
      </c>
      <c r="F395">
        <v>0</v>
      </c>
      <c r="G395">
        <v>0</v>
      </c>
      <c r="H395">
        <v>0</v>
      </c>
      <c r="I395">
        <v>0</v>
      </c>
      <c r="J395" s="28">
        <v>0</v>
      </c>
      <c r="K395" s="126">
        <v>0</v>
      </c>
      <c r="L395" s="126">
        <v>0</v>
      </c>
      <c r="M395" s="126">
        <v>0</v>
      </c>
      <c r="N395" s="126">
        <v>0</v>
      </c>
      <c r="O395" s="126">
        <v>0</v>
      </c>
      <c r="P395" s="126">
        <v>0</v>
      </c>
      <c r="Q395" s="126">
        <v>0</v>
      </c>
      <c r="R395" s="126">
        <v>0</v>
      </c>
      <c r="S395" s="126">
        <v>0</v>
      </c>
      <c r="T395" s="126">
        <v>0</v>
      </c>
      <c r="U395" s="126">
        <v>0</v>
      </c>
      <c r="V395" s="126">
        <v>0</v>
      </c>
      <c r="W395" s="126">
        <v>0</v>
      </c>
      <c r="X395" s="126">
        <v>0</v>
      </c>
      <c r="Y395" s="126">
        <v>0</v>
      </c>
      <c r="Z395" s="142">
        <v>0</v>
      </c>
      <c r="AA395" s="126">
        <v>0</v>
      </c>
      <c r="AB395" s="126">
        <v>0</v>
      </c>
      <c r="AC395" s="126">
        <v>0</v>
      </c>
      <c r="AD395" s="126">
        <v>0.02</v>
      </c>
      <c r="AE395" s="126">
        <v>0</v>
      </c>
      <c r="AF395" s="126">
        <v>0</v>
      </c>
      <c r="AG395" t="s">
        <v>2490</v>
      </c>
    </row>
    <row r="396" spans="1:33" x14ac:dyDescent="0.3">
      <c r="A396">
        <v>565</v>
      </c>
      <c r="B396" t="s">
        <v>337</v>
      </c>
      <c r="C396" t="s">
        <v>199</v>
      </c>
      <c r="D396">
        <v>40</v>
      </c>
      <c r="E396">
        <v>44</v>
      </c>
      <c r="F396">
        <v>45</v>
      </c>
      <c r="G396">
        <v>2000</v>
      </c>
      <c r="H396">
        <v>63</v>
      </c>
      <c r="I396">
        <v>4.3</v>
      </c>
      <c r="J396" s="28">
        <v>8.3699999999999992</v>
      </c>
      <c r="K396" s="126">
        <v>0.17</v>
      </c>
      <c r="L396" s="126">
        <v>2.2000000000000002</v>
      </c>
      <c r="M396" s="126">
        <v>0.1</v>
      </c>
      <c r="N396" s="126">
        <v>0.223</v>
      </c>
      <c r="O396" s="126">
        <v>0.6</v>
      </c>
      <c r="P396" s="126">
        <v>0.88500000000000001</v>
      </c>
      <c r="Q396" s="126">
        <v>0.7</v>
      </c>
      <c r="R396" s="126">
        <v>0</v>
      </c>
      <c r="S396" s="126">
        <v>0</v>
      </c>
      <c r="T396" s="126">
        <v>0</v>
      </c>
      <c r="U396" s="126">
        <v>0</v>
      </c>
      <c r="V396" s="126">
        <v>0</v>
      </c>
      <c r="W396" s="126">
        <v>0</v>
      </c>
      <c r="X396" s="126">
        <v>0</v>
      </c>
      <c r="Y396" s="126">
        <v>0</v>
      </c>
      <c r="Z396" s="142">
        <v>0</v>
      </c>
      <c r="AA396" s="126">
        <v>0</v>
      </c>
      <c r="AB396" s="126">
        <v>0</v>
      </c>
      <c r="AC396" s="126">
        <v>0</v>
      </c>
      <c r="AD396" s="126">
        <v>0.01</v>
      </c>
      <c r="AE396" s="126">
        <v>0</v>
      </c>
      <c r="AF396" s="126">
        <v>0</v>
      </c>
      <c r="AG396" t="s">
        <v>337</v>
      </c>
    </row>
    <row r="397" spans="1:33" x14ac:dyDescent="0.3">
      <c r="A397">
        <v>566</v>
      </c>
      <c r="B397" t="s">
        <v>338</v>
      </c>
      <c r="C397" t="s">
        <v>187</v>
      </c>
      <c r="D397">
        <v>7</v>
      </c>
      <c r="E397">
        <v>8</v>
      </c>
      <c r="F397">
        <v>660</v>
      </c>
      <c r="G397">
        <v>6000</v>
      </c>
      <c r="H397">
        <v>119</v>
      </c>
      <c r="I397">
        <v>30</v>
      </c>
      <c r="J397" s="28">
        <v>12</v>
      </c>
      <c r="K397" s="126">
        <v>0.41</v>
      </c>
      <c r="L397" s="126">
        <v>1.3</v>
      </c>
      <c r="M397" s="126">
        <v>0.1</v>
      </c>
      <c r="N397" s="126">
        <v>0.223</v>
      </c>
      <c r="O397" s="126">
        <v>0.68</v>
      </c>
      <c r="P397" s="126">
        <v>0.92</v>
      </c>
      <c r="Q397" s="126">
        <v>0.9</v>
      </c>
      <c r="R397" s="126">
        <v>0</v>
      </c>
      <c r="S397" s="126">
        <v>0</v>
      </c>
      <c r="T397" s="126">
        <v>0</v>
      </c>
      <c r="U397" s="126">
        <v>0</v>
      </c>
      <c r="V397" s="126">
        <v>0</v>
      </c>
      <c r="W397" s="126">
        <v>0</v>
      </c>
      <c r="X397" s="126">
        <v>0</v>
      </c>
      <c r="Y397" s="126">
        <v>0</v>
      </c>
      <c r="Z397" s="142">
        <v>7</v>
      </c>
      <c r="AA397" s="126">
        <v>0</v>
      </c>
      <c r="AB397" s="126">
        <v>0</v>
      </c>
      <c r="AC397" s="126">
        <v>0</v>
      </c>
      <c r="AD397" s="126">
        <v>0</v>
      </c>
      <c r="AE397" s="126">
        <v>2.54</v>
      </c>
      <c r="AF397" s="126">
        <v>0</v>
      </c>
      <c r="AG397" t="s">
        <v>1886</v>
      </c>
    </row>
    <row r="398" spans="1:33" x14ac:dyDescent="0.3">
      <c r="A398">
        <v>567</v>
      </c>
      <c r="B398" t="s">
        <v>3251</v>
      </c>
      <c r="C398" t="s">
        <v>247</v>
      </c>
      <c r="D398">
        <v>9</v>
      </c>
      <c r="E398">
        <v>0</v>
      </c>
      <c r="F398">
        <v>0</v>
      </c>
      <c r="G398">
        <v>0</v>
      </c>
      <c r="H398">
        <v>0</v>
      </c>
      <c r="I398">
        <v>0</v>
      </c>
      <c r="J398" s="28">
        <v>0</v>
      </c>
      <c r="K398" s="126">
        <v>0</v>
      </c>
      <c r="L398" s="126">
        <v>0</v>
      </c>
      <c r="M398" s="126">
        <v>0</v>
      </c>
      <c r="N398" s="126">
        <v>0</v>
      </c>
      <c r="O398" s="126">
        <v>0</v>
      </c>
      <c r="P398" s="126">
        <v>0</v>
      </c>
      <c r="Q398" s="126">
        <v>0</v>
      </c>
      <c r="R398" s="126">
        <v>0</v>
      </c>
      <c r="S398" s="126">
        <v>0</v>
      </c>
      <c r="T398" s="126">
        <v>0</v>
      </c>
      <c r="U398" s="126">
        <v>0</v>
      </c>
      <c r="V398" s="126">
        <v>0</v>
      </c>
      <c r="W398" s="126">
        <v>0</v>
      </c>
      <c r="X398" s="126">
        <v>0</v>
      </c>
      <c r="Y398" s="126">
        <v>0</v>
      </c>
      <c r="Z398" s="142">
        <v>7</v>
      </c>
      <c r="AA398" s="126">
        <v>0.95</v>
      </c>
      <c r="AB398" s="126">
        <v>0</v>
      </c>
      <c r="AC398" s="126">
        <v>0</v>
      </c>
      <c r="AD398" s="126">
        <v>0</v>
      </c>
      <c r="AE398" s="126">
        <v>2.54</v>
      </c>
      <c r="AF398" s="126">
        <v>0</v>
      </c>
      <c r="AG398" t="s">
        <v>3252</v>
      </c>
    </row>
    <row r="399" spans="1:33" x14ac:dyDescent="0.3">
      <c r="A399">
        <v>568</v>
      </c>
      <c r="B399" t="s">
        <v>2501</v>
      </c>
      <c r="C399" t="s">
        <v>247</v>
      </c>
      <c r="D399">
        <v>0</v>
      </c>
      <c r="E399">
        <v>14</v>
      </c>
      <c r="F399">
        <v>0</v>
      </c>
      <c r="G399">
        <v>0</v>
      </c>
      <c r="H399">
        <v>0</v>
      </c>
      <c r="I399">
        <v>0</v>
      </c>
      <c r="J399" s="28">
        <v>0</v>
      </c>
      <c r="K399" s="126">
        <v>0</v>
      </c>
      <c r="L399" s="126">
        <v>0</v>
      </c>
      <c r="M399" s="126">
        <v>0</v>
      </c>
      <c r="N399" s="126">
        <v>0</v>
      </c>
      <c r="O399" s="126">
        <v>0</v>
      </c>
      <c r="P399" s="126">
        <v>0</v>
      </c>
      <c r="Q399" s="126">
        <v>0</v>
      </c>
      <c r="R399" s="126">
        <v>0</v>
      </c>
      <c r="S399" s="126">
        <v>0</v>
      </c>
      <c r="T399" s="126">
        <v>0</v>
      </c>
      <c r="U399" s="126">
        <v>0</v>
      </c>
      <c r="V399" s="126">
        <v>0</v>
      </c>
      <c r="W399" s="126">
        <v>0</v>
      </c>
      <c r="X399" s="126">
        <v>0</v>
      </c>
      <c r="Y399" s="126">
        <v>0</v>
      </c>
      <c r="Z399" s="142">
        <v>2</v>
      </c>
      <c r="AA399" s="126">
        <v>0.95</v>
      </c>
      <c r="AB399" s="126">
        <v>0</v>
      </c>
      <c r="AC399" s="126">
        <v>0</v>
      </c>
      <c r="AD399" s="126">
        <v>0</v>
      </c>
      <c r="AE399" s="126">
        <v>6.47</v>
      </c>
      <c r="AF399" s="126">
        <v>0.15</v>
      </c>
      <c r="AG399" t="s">
        <v>3253</v>
      </c>
    </row>
    <row r="400" spans="1:33" x14ac:dyDescent="0.3">
      <c r="A400">
        <v>569</v>
      </c>
      <c r="B400" t="s">
        <v>2501</v>
      </c>
      <c r="C400" t="s">
        <v>247</v>
      </c>
      <c r="D400">
        <v>41</v>
      </c>
      <c r="E400">
        <v>0</v>
      </c>
      <c r="F400">
        <v>0</v>
      </c>
      <c r="G400">
        <v>0</v>
      </c>
      <c r="H400">
        <v>0</v>
      </c>
      <c r="I400">
        <v>0</v>
      </c>
      <c r="J400" s="28">
        <v>0</v>
      </c>
      <c r="K400" s="126">
        <v>0</v>
      </c>
      <c r="L400" s="126">
        <v>0</v>
      </c>
      <c r="M400" s="126">
        <v>0</v>
      </c>
      <c r="N400" s="126">
        <v>0</v>
      </c>
      <c r="O400" s="126">
        <v>0</v>
      </c>
      <c r="P400" s="126">
        <v>0</v>
      </c>
      <c r="Q400" s="126">
        <v>0</v>
      </c>
      <c r="R400" s="126">
        <v>0</v>
      </c>
      <c r="S400" s="126">
        <v>0</v>
      </c>
      <c r="T400" s="126">
        <v>0</v>
      </c>
      <c r="U400" s="126">
        <v>0</v>
      </c>
      <c r="V400" s="126">
        <v>0</v>
      </c>
      <c r="W400" s="126">
        <v>0</v>
      </c>
      <c r="X400" s="126">
        <v>0</v>
      </c>
      <c r="Y400" s="126">
        <v>0</v>
      </c>
      <c r="Z400" s="142">
        <v>2</v>
      </c>
      <c r="AA400" s="126">
        <v>0.95</v>
      </c>
      <c r="AB400" s="126">
        <v>0</v>
      </c>
      <c r="AC400" s="126">
        <v>0</v>
      </c>
      <c r="AD400" s="126">
        <v>0</v>
      </c>
      <c r="AE400" s="126">
        <v>6.47</v>
      </c>
      <c r="AF400" s="126">
        <v>0.15</v>
      </c>
      <c r="AG400" t="s">
        <v>3253</v>
      </c>
    </row>
    <row r="401" spans="1:33" x14ac:dyDescent="0.3">
      <c r="A401">
        <v>570</v>
      </c>
      <c r="B401" t="s">
        <v>2498</v>
      </c>
      <c r="C401" t="s">
        <v>247</v>
      </c>
      <c r="D401">
        <v>0</v>
      </c>
      <c r="E401">
        <v>11</v>
      </c>
      <c r="F401">
        <v>0</v>
      </c>
      <c r="G401">
        <v>0</v>
      </c>
      <c r="H401">
        <v>0</v>
      </c>
      <c r="I401">
        <v>0</v>
      </c>
      <c r="J401" s="28">
        <v>0</v>
      </c>
      <c r="K401" s="126">
        <v>0</v>
      </c>
      <c r="L401" s="126">
        <v>0</v>
      </c>
      <c r="M401" s="126">
        <v>0</v>
      </c>
      <c r="N401" s="126">
        <v>0</v>
      </c>
      <c r="O401" s="126">
        <v>0</v>
      </c>
      <c r="P401" s="126">
        <v>0</v>
      </c>
      <c r="Q401" s="126">
        <v>0</v>
      </c>
      <c r="R401" s="126">
        <v>0</v>
      </c>
      <c r="S401" s="126">
        <v>0</v>
      </c>
      <c r="T401" s="126">
        <v>0</v>
      </c>
      <c r="U401" s="126">
        <v>0</v>
      </c>
      <c r="V401" s="126">
        <v>0</v>
      </c>
      <c r="W401" s="126">
        <v>0</v>
      </c>
      <c r="X401" s="126">
        <v>0</v>
      </c>
      <c r="Y401" s="126">
        <v>0</v>
      </c>
      <c r="Z401" s="142">
        <v>12</v>
      </c>
      <c r="AA401" s="126">
        <v>0</v>
      </c>
      <c r="AB401" s="126">
        <v>0</v>
      </c>
      <c r="AC401" s="126">
        <v>0</v>
      </c>
      <c r="AD401" s="126">
        <v>0</v>
      </c>
      <c r="AE401" s="126">
        <v>0</v>
      </c>
      <c r="AF401" s="126">
        <v>0.15</v>
      </c>
      <c r="AG401" t="s">
        <v>3249</v>
      </c>
    </row>
    <row r="402" spans="1:33" x14ac:dyDescent="0.3">
      <c r="A402">
        <v>571</v>
      </c>
      <c r="B402" t="s">
        <v>3254</v>
      </c>
      <c r="C402" t="s">
        <v>247</v>
      </c>
      <c r="D402">
        <v>5</v>
      </c>
      <c r="E402">
        <v>0</v>
      </c>
      <c r="F402">
        <v>0</v>
      </c>
      <c r="G402">
        <v>0</v>
      </c>
      <c r="H402">
        <v>0</v>
      </c>
      <c r="I402">
        <v>0</v>
      </c>
      <c r="J402" s="28">
        <v>0</v>
      </c>
      <c r="K402" s="126">
        <v>0</v>
      </c>
      <c r="L402" s="126">
        <v>0</v>
      </c>
      <c r="M402" s="126">
        <v>0</v>
      </c>
      <c r="N402" s="126">
        <v>0</v>
      </c>
      <c r="O402" s="126">
        <v>0</v>
      </c>
      <c r="P402" s="126">
        <v>0</v>
      </c>
      <c r="Q402" s="126">
        <v>0</v>
      </c>
      <c r="R402" s="126">
        <v>0</v>
      </c>
      <c r="S402" s="126">
        <v>0</v>
      </c>
      <c r="T402" s="126">
        <v>0</v>
      </c>
      <c r="U402" s="126">
        <v>0</v>
      </c>
      <c r="V402" s="126">
        <v>0</v>
      </c>
      <c r="W402" s="126">
        <v>0</v>
      </c>
      <c r="X402" s="126">
        <v>0</v>
      </c>
      <c r="Y402" s="126">
        <v>0</v>
      </c>
      <c r="Z402" s="142">
        <v>7</v>
      </c>
      <c r="AA402" s="126">
        <v>0.95</v>
      </c>
      <c r="AB402" s="126">
        <v>0</v>
      </c>
      <c r="AC402" s="126">
        <v>0</v>
      </c>
      <c r="AD402" s="126">
        <v>0</v>
      </c>
      <c r="AE402" s="126">
        <v>2.54</v>
      </c>
      <c r="AF402" s="126">
        <v>0</v>
      </c>
      <c r="AG402" t="s">
        <v>3252</v>
      </c>
    </row>
    <row r="403" spans="1:33" x14ac:dyDescent="0.3">
      <c r="A403">
        <v>572</v>
      </c>
      <c r="B403" t="s">
        <v>3254</v>
      </c>
      <c r="C403" t="s">
        <v>247</v>
      </c>
      <c r="D403">
        <v>6</v>
      </c>
      <c r="E403">
        <v>0</v>
      </c>
      <c r="F403">
        <v>0</v>
      </c>
      <c r="G403">
        <v>0</v>
      </c>
      <c r="H403">
        <v>0</v>
      </c>
      <c r="I403">
        <v>0</v>
      </c>
      <c r="J403" s="28">
        <v>0</v>
      </c>
      <c r="K403" s="126">
        <v>0</v>
      </c>
      <c r="L403" s="126">
        <v>0</v>
      </c>
      <c r="M403" s="126">
        <v>0</v>
      </c>
      <c r="N403" s="126">
        <v>0</v>
      </c>
      <c r="O403" s="126">
        <v>0</v>
      </c>
      <c r="P403" s="126">
        <v>0</v>
      </c>
      <c r="Q403" s="126">
        <v>0</v>
      </c>
      <c r="R403" s="126">
        <v>0</v>
      </c>
      <c r="S403" s="126">
        <v>0</v>
      </c>
      <c r="T403" s="126">
        <v>0</v>
      </c>
      <c r="U403" s="126">
        <v>0</v>
      </c>
      <c r="V403" s="126">
        <v>0</v>
      </c>
      <c r="W403" s="126">
        <v>0</v>
      </c>
      <c r="X403" s="126">
        <v>0</v>
      </c>
      <c r="Y403" s="126">
        <v>0</v>
      </c>
      <c r="Z403" s="142">
        <v>7</v>
      </c>
      <c r="AA403" s="126">
        <v>0.95</v>
      </c>
      <c r="AB403" s="126">
        <v>0</v>
      </c>
      <c r="AC403" s="126">
        <v>0</v>
      </c>
      <c r="AD403" s="126">
        <v>0</v>
      </c>
      <c r="AE403" s="126">
        <v>2.54</v>
      </c>
      <c r="AF403" s="126">
        <v>0</v>
      </c>
      <c r="AG403" t="s">
        <v>3252</v>
      </c>
    </row>
    <row r="404" spans="1:33" x14ac:dyDescent="0.3">
      <c r="A404">
        <v>573</v>
      </c>
      <c r="B404" t="s">
        <v>2498</v>
      </c>
      <c r="C404" t="s">
        <v>247</v>
      </c>
      <c r="D404">
        <v>0</v>
      </c>
      <c r="E404">
        <v>6</v>
      </c>
      <c r="F404">
        <v>0</v>
      </c>
      <c r="G404">
        <v>0</v>
      </c>
      <c r="H404">
        <v>0</v>
      </c>
      <c r="I404">
        <v>0</v>
      </c>
      <c r="J404" s="28">
        <v>0</v>
      </c>
      <c r="K404" s="126">
        <v>0</v>
      </c>
      <c r="L404" s="126">
        <v>0</v>
      </c>
      <c r="M404" s="126">
        <v>0</v>
      </c>
      <c r="N404" s="126">
        <v>0</v>
      </c>
      <c r="O404" s="126">
        <v>0</v>
      </c>
      <c r="P404" s="126">
        <v>0</v>
      </c>
      <c r="Q404" s="126">
        <v>0</v>
      </c>
      <c r="R404" s="126">
        <v>0</v>
      </c>
      <c r="S404" s="126">
        <v>0</v>
      </c>
      <c r="T404" s="126">
        <v>0</v>
      </c>
      <c r="U404" s="126">
        <v>0</v>
      </c>
      <c r="V404" s="126">
        <v>0</v>
      </c>
      <c r="W404" s="126">
        <v>0</v>
      </c>
      <c r="X404" s="126">
        <v>0</v>
      </c>
      <c r="Y404" s="126">
        <v>0</v>
      </c>
      <c r="Z404" s="142">
        <v>12</v>
      </c>
      <c r="AA404" s="126">
        <v>0</v>
      </c>
      <c r="AB404" s="126">
        <v>0</v>
      </c>
      <c r="AC404" s="126">
        <v>0</v>
      </c>
      <c r="AD404" s="126">
        <v>0</v>
      </c>
      <c r="AE404" s="126">
        <v>0</v>
      </c>
      <c r="AF404" s="126">
        <v>0.15</v>
      </c>
      <c r="AG404" t="s">
        <v>3249</v>
      </c>
    </row>
    <row r="405" spans="1:33" x14ac:dyDescent="0.3">
      <c r="A405">
        <v>574</v>
      </c>
      <c r="B405" t="s">
        <v>2501</v>
      </c>
      <c r="C405" t="s">
        <v>247</v>
      </c>
      <c r="D405">
        <v>33</v>
      </c>
      <c r="E405">
        <v>0</v>
      </c>
      <c r="F405">
        <v>0</v>
      </c>
      <c r="G405">
        <v>0</v>
      </c>
      <c r="H405">
        <v>0</v>
      </c>
      <c r="I405">
        <v>0</v>
      </c>
      <c r="J405" s="28">
        <v>0</v>
      </c>
      <c r="K405" s="126">
        <v>0</v>
      </c>
      <c r="L405" s="126">
        <v>0</v>
      </c>
      <c r="M405" s="126">
        <v>0</v>
      </c>
      <c r="N405" s="126">
        <v>0</v>
      </c>
      <c r="O405" s="126">
        <v>0</v>
      </c>
      <c r="P405" s="126">
        <v>0</v>
      </c>
      <c r="Q405" s="126">
        <v>0</v>
      </c>
      <c r="R405" s="126">
        <v>0</v>
      </c>
      <c r="S405" s="126">
        <v>0</v>
      </c>
      <c r="T405" s="126">
        <v>0</v>
      </c>
      <c r="U405" s="126">
        <v>0</v>
      </c>
      <c r="V405" s="126">
        <v>0</v>
      </c>
      <c r="W405" s="126">
        <v>0</v>
      </c>
      <c r="X405" s="126">
        <v>0</v>
      </c>
      <c r="Y405" s="126">
        <v>0</v>
      </c>
      <c r="Z405" s="142">
        <v>2</v>
      </c>
      <c r="AA405" s="126">
        <v>0.95</v>
      </c>
      <c r="AB405" s="126">
        <v>0</v>
      </c>
      <c r="AC405" s="126">
        <v>0</v>
      </c>
      <c r="AD405" s="126">
        <v>0</v>
      </c>
      <c r="AE405" s="126">
        <v>6.47</v>
      </c>
      <c r="AF405" s="126">
        <v>0.15</v>
      </c>
      <c r="AG405" t="s">
        <v>3253</v>
      </c>
    </row>
    <row r="406" spans="1:33" x14ac:dyDescent="0.3">
      <c r="A406">
        <v>575</v>
      </c>
      <c r="B406" t="s">
        <v>2501</v>
      </c>
      <c r="C406" t="s">
        <v>247</v>
      </c>
      <c r="D406">
        <v>40</v>
      </c>
      <c r="E406">
        <v>0</v>
      </c>
      <c r="F406">
        <v>0</v>
      </c>
      <c r="G406">
        <v>0</v>
      </c>
      <c r="H406">
        <v>0</v>
      </c>
      <c r="I406">
        <v>0</v>
      </c>
      <c r="J406" s="28">
        <v>0</v>
      </c>
      <c r="K406" s="126">
        <v>0</v>
      </c>
      <c r="L406" s="126">
        <v>0</v>
      </c>
      <c r="M406" s="126">
        <v>0</v>
      </c>
      <c r="N406" s="126">
        <v>0</v>
      </c>
      <c r="O406" s="126">
        <v>0</v>
      </c>
      <c r="P406" s="126">
        <v>0</v>
      </c>
      <c r="Q406" s="126">
        <v>0</v>
      </c>
      <c r="R406" s="126">
        <v>0</v>
      </c>
      <c r="S406" s="126">
        <v>0</v>
      </c>
      <c r="T406" s="126">
        <v>0</v>
      </c>
      <c r="U406" s="126">
        <v>0</v>
      </c>
      <c r="V406" s="126">
        <v>0</v>
      </c>
      <c r="W406" s="126">
        <v>0</v>
      </c>
      <c r="X406" s="126">
        <v>0</v>
      </c>
      <c r="Y406" s="126">
        <v>0</v>
      </c>
      <c r="Z406" s="142">
        <v>2</v>
      </c>
      <c r="AA406" s="126">
        <v>0.95</v>
      </c>
      <c r="AB406" s="126">
        <v>0</v>
      </c>
      <c r="AC406" s="126">
        <v>0</v>
      </c>
      <c r="AD406" s="126">
        <v>0</v>
      </c>
      <c r="AE406" s="126">
        <v>6.47</v>
      </c>
      <c r="AF406" s="126">
        <v>0.15</v>
      </c>
      <c r="AG406" t="s">
        <v>3253</v>
      </c>
    </row>
    <row r="407" spans="1:33" x14ac:dyDescent="0.3">
      <c r="A407">
        <v>576</v>
      </c>
      <c r="B407" t="s">
        <v>2501</v>
      </c>
      <c r="C407" t="s">
        <v>247</v>
      </c>
      <c r="D407">
        <v>0</v>
      </c>
      <c r="E407">
        <v>10</v>
      </c>
      <c r="F407">
        <v>0</v>
      </c>
      <c r="G407">
        <v>0</v>
      </c>
      <c r="H407">
        <v>0</v>
      </c>
      <c r="I407">
        <v>0</v>
      </c>
      <c r="J407" s="28">
        <v>0</v>
      </c>
      <c r="K407" s="126">
        <v>0</v>
      </c>
      <c r="L407" s="126">
        <v>0</v>
      </c>
      <c r="M407" s="126">
        <v>0</v>
      </c>
      <c r="N407" s="126">
        <v>0</v>
      </c>
      <c r="O407" s="126">
        <v>0</v>
      </c>
      <c r="P407" s="126">
        <v>0</v>
      </c>
      <c r="Q407" s="126">
        <v>0</v>
      </c>
      <c r="R407" s="126">
        <v>0</v>
      </c>
      <c r="S407" s="126">
        <v>0</v>
      </c>
      <c r="T407" s="126">
        <v>0</v>
      </c>
      <c r="U407" s="126">
        <v>0</v>
      </c>
      <c r="V407" s="126">
        <v>0</v>
      </c>
      <c r="W407" s="126">
        <v>0</v>
      </c>
      <c r="X407" s="126">
        <v>0</v>
      </c>
      <c r="Y407" s="126">
        <v>0</v>
      </c>
      <c r="Z407" s="142">
        <v>2</v>
      </c>
      <c r="AA407" s="126">
        <v>0.95</v>
      </c>
      <c r="AB407" s="126">
        <v>0</v>
      </c>
      <c r="AC407" s="126">
        <v>0</v>
      </c>
      <c r="AD407" s="126">
        <v>0</v>
      </c>
      <c r="AE407" s="126">
        <v>6.47</v>
      </c>
      <c r="AF407" s="126">
        <v>0.15</v>
      </c>
      <c r="AG407" t="s">
        <v>3253</v>
      </c>
    </row>
    <row r="408" spans="1:33" x14ac:dyDescent="0.3">
      <c r="A408">
        <v>577</v>
      </c>
      <c r="B408" t="s">
        <v>2498</v>
      </c>
      <c r="C408" t="s">
        <v>247</v>
      </c>
      <c r="D408">
        <v>0</v>
      </c>
      <c r="E408">
        <v>2</v>
      </c>
      <c r="F408">
        <v>0</v>
      </c>
      <c r="G408">
        <v>0</v>
      </c>
      <c r="H408">
        <v>0</v>
      </c>
      <c r="I408">
        <v>0</v>
      </c>
      <c r="J408" s="28">
        <v>0</v>
      </c>
      <c r="K408" s="126">
        <v>0</v>
      </c>
      <c r="L408" s="126">
        <v>0</v>
      </c>
      <c r="M408" s="126">
        <v>0</v>
      </c>
      <c r="N408" s="126">
        <v>0</v>
      </c>
      <c r="O408" s="126">
        <v>0</v>
      </c>
      <c r="P408" s="126">
        <v>0</v>
      </c>
      <c r="Q408" s="126">
        <v>0</v>
      </c>
      <c r="R408" s="126">
        <v>0</v>
      </c>
      <c r="S408" s="126">
        <v>0</v>
      </c>
      <c r="T408" s="126">
        <v>0</v>
      </c>
      <c r="U408" s="126">
        <v>0</v>
      </c>
      <c r="V408" s="126">
        <v>0</v>
      </c>
      <c r="W408" s="126">
        <v>0</v>
      </c>
      <c r="X408" s="126">
        <v>0</v>
      </c>
      <c r="Y408" s="126">
        <v>0</v>
      </c>
      <c r="Z408" s="142">
        <v>12</v>
      </c>
      <c r="AA408" s="126">
        <v>0</v>
      </c>
      <c r="AB408" s="126">
        <v>0</v>
      </c>
      <c r="AC408" s="126">
        <v>0</v>
      </c>
      <c r="AD408" s="126">
        <v>0</v>
      </c>
      <c r="AE408" s="126">
        <v>0</v>
      </c>
      <c r="AF408" s="126">
        <v>0.15</v>
      </c>
      <c r="AG408" t="s">
        <v>3249</v>
      </c>
    </row>
    <row r="409" spans="1:33" x14ac:dyDescent="0.3">
      <c r="A409">
        <v>578</v>
      </c>
      <c r="B409" t="s">
        <v>2499</v>
      </c>
      <c r="C409" t="s">
        <v>247</v>
      </c>
      <c r="D409">
        <v>11</v>
      </c>
      <c r="E409">
        <v>0</v>
      </c>
      <c r="F409">
        <v>0</v>
      </c>
      <c r="G409">
        <v>0</v>
      </c>
      <c r="H409">
        <v>0</v>
      </c>
      <c r="I409">
        <v>0</v>
      </c>
      <c r="J409" s="28">
        <v>0</v>
      </c>
      <c r="K409" s="126">
        <v>0</v>
      </c>
      <c r="L409" s="126">
        <v>0</v>
      </c>
      <c r="M409" s="126">
        <v>0</v>
      </c>
      <c r="N409" s="126">
        <v>0</v>
      </c>
      <c r="O409" s="126">
        <v>0</v>
      </c>
      <c r="P409" s="126">
        <v>0</v>
      </c>
      <c r="Q409" s="126">
        <v>0</v>
      </c>
      <c r="R409" s="126">
        <v>0</v>
      </c>
      <c r="S409" s="126">
        <v>0</v>
      </c>
      <c r="T409" s="126">
        <v>0</v>
      </c>
      <c r="U409" s="126">
        <v>0</v>
      </c>
      <c r="V409" s="126">
        <v>0</v>
      </c>
      <c r="W409" s="126">
        <v>0</v>
      </c>
      <c r="X409" s="126">
        <v>0</v>
      </c>
      <c r="Y409" s="126">
        <v>0</v>
      </c>
      <c r="Z409" s="142">
        <v>7</v>
      </c>
      <c r="AA409" s="126">
        <v>0.95</v>
      </c>
      <c r="AB409" s="126">
        <v>0</v>
      </c>
      <c r="AC409" s="126">
        <v>0</v>
      </c>
      <c r="AD409" s="126">
        <v>0</v>
      </c>
      <c r="AE409" s="126">
        <v>2.54</v>
      </c>
      <c r="AF409" s="126">
        <v>0</v>
      </c>
      <c r="AG409" t="s">
        <v>3252</v>
      </c>
    </row>
    <row r="410" spans="1:33" x14ac:dyDescent="0.3">
      <c r="A410">
        <v>579</v>
      </c>
      <c r="B410" t="s">
        <v>2499</v>
      </c>
      <c r="C410" t="s">
        <v>247</v>
      </c>
      <c r="D410">
        <v>12</v>
      </c>
      <c r="E410">
        <v>0</v>
      </c>
      <c r="F410">
        <v>0</v>
      </c>
      <c r="G410">
        <v>0</v>
      </c>
      <c r="H410">
        <v>0</v>
      </c>
      <c r="I410">
        <v>0</v>
      </c>
      <c r="J410" s="28">
        <v>0</v>
      </c>
      <c r="K410" s="126">
        <v>0</v>
      </c>
      <c r="L410" s="126">
        <v>0</v>
      </c>
      <c r="M410" s="126">
        <v>0</v>
      </c>
      <c r="N410" s="126">
        <v>0</v>
      </c>
      <c r="O410" s="126">
        <v>0</v>
      </c>
      <c r="P410" s="126">
        <v>0</v>
      </c>
      <c r="Q410" s="126">
        <v>0</v>
      </c>
      <c r="R410" s="126">
        <v>0</v>
      </c>
      <c r="S410" s="126">
        <v>0</v>
      </c>
      <c r="T410" s="126">
        <v>0</v>
      </c>
      <c r="U410" s="126">
        <v>0</v>
      </c>
      <c r="V410" s="126">
        <v>0</v>
      </c>
      <c r="W410" s="126">
        <v>0</v>
      </c>
      <c r="X410" s="126">
        <v>0</v>
      </c>
      <c r="Y410" s="126">
        <v>0</v>
      </c>
      <c r="Z410" s="142">
        <v>7</v>
      </c>
      <c r="AA410" s="126">
        <v>0.95</v>
      </c>
      <c r="AB410" s="126">
        <v>0</v>
      </c>
      <c r="AC410" s="126">
        <v>0</v>
      </c>
      <c r="AD410" s="126">
        <v>0</v>
      </c>
      <c r="AE410" s="126">
        <v>2.54</v>
      </c>
      <c r="AF410" s="126">
        <v>0.15</v>
      </c>
      <c r="AG410" t="s">
        <v>3255</v>
      </c>
    </row>
    <row r="411" spans="1:33" x14ac:dyDescent="0.3">
      <c r="A411">
        <v>580</v>
      </c>
      <c r="B411" t="s">
        <v>2502</v>
      </c>
      <c r="C411" t="s">
        <v>247</v>
      </c>
      <c r="D411">
        <v>5</v>
      </c>
      <c r="E411">
        <v>0</v>
      </c>
      <c r="F411">
        <v>0</v>
      </c>
      <c r="G411">
        <v>0</v>
      </c>
      <c r="H411">
        <v>0</v>
      </c>
      <c r="I411">
        <v>0</v>
      </c>
      <c r="J411" s="28">
        <v>0</v>
      </c>
      <c r="K411" s="126">
        <v>0</v>
      </c>
      <c r="L411" s="126">
        <v>0</v>
      </c>
      <c r="M411" s="126">
        <v>0</v>
      </c>
      <c r="N411" s="126">
        <v>0</v>
      </c>
      <c r="O411" s="126">
        <v>0</v>
      </c>
      <c r="P411" s="126">
        <v>0</v>
      </c>
      <c r="Q411" s="126">
        <v>0</v>
      </c>
      <c r="R411" s="126">
        <v>0</v>
      </c>
      <c r="S411" s="126">
        <v>0</v>
      </c>
      <c r="T411" s="126">
        <v>0</v>
      </c>
      <c r="U411" s="126">
        <v>0</v>
      </c>
      <c r="V411" s="126">
        <v>0</v>
      </c>
      <c r="W411" s="126">
        <v>0</v>
      </c>
      <c r="X411" s="126">
        <v>0</v>
      </c>
      <c r="Y411" s="126">
        <v>0</v>
      </c>
      <c r="Z411" s="142">
        <v>9</v>
      </c>
      <c r="AA411" s="126">
        <v>0</v>
      </c>
      <c r="AB411" s="126">
        <v>0</v>
      </c>
      <c r="AC411" s="126">
        <v>0</v>
      </c>
      <c r="AD411" s="126">
        <v>0</v>
      </c>
      <c r="AE411" s="126">
        <v>5</v>
      </c>
      <c r="AF411" s="126">
        <v>5.3630000000000004</v>
      </c>
      <c r="AG411" t="s">
        <v>3256</v>
      </c>
    </row>
    <row r="412" spans="1:33" x14ac:dyDescent="0.3">
      <c r="A412">
        <v>581</v>
      </c>
      <c r="B412" t="s">
        <v>2502</v>
      </c>
      <c r="C412" t="s">
        <v>247</v>
      </c>
      <c r="D412">
        <v>6</v>
      </c>
      <c r="E412">
        <v>0</v>
      </c>
      <c r="F412">
        <v>0</v>
      </c>
      <c r="G412">
        <v>0</v>
      </c>
      <c r="H412">
        <v>0</v>
      </c>
      <c r="I412">
        <v>0</v>
      </c>
      <c r="J412" s="28">
        <v>0</v>
      </c>
      <c r="K412" s="126">
        <v>0</v>
      </c>
      <c r="L412" s="126">
        <v>0</v>
      </c>
      <c r="M412" s="126">
        <v>0</v>
      </c>
      <c r="N412" s="126">
        <v>0</v>
      </c>
      <c r="O412" s="126">
        <v>0</v>
      </c>
      <c r="P412" s="126">
        <v>0</v>
      </c>
      <c r="Q412" s="126">
        <v>0</v>
      </c>
      <c r="R412" s="126">
        <v>0</v>
      </c>
      <c r="S412" s="126">
        <v>0</v>
      </c>
      <c r="T412" s="126">
        <v>0</v>
      </c>
      <c r="U412" s="126">
        <v>0</v>
      </c>
      <c r="V412" s="126">
        <v>0</v>
      </c>
      <c r="W412" s="126">
        <v>0</v>
      </c>
      <c r="X412" s="126">
        <v>0</v>
      </c>
      <c r="Y412" s="126">
        <v>0</v>
      </c>
      <c r="Z412" s="142">
        <v>9</v>
      </c>
      <c r="AA412" s="126">
        <v>0</v>
      </c>
      <c r="AB412" s="126">
        <v>0</v>
      </c>
      <c r="AC412" s="126">
        <v>0</v>
      </c>
      <c r="AD412" s="126">
        <v>0</v>
      </c>
      <c r="AE412" s="126">
        <v>5</v>
      </c>
      <c r="AF412" s="126">
        <v>5.3630000000000004</v>
      </c>
      <c r="AG412" t="s">
        <v>3256</v>
      </c>
    </row>
    <row r="413" spans="1:33" x14ac:dyDescent="0.3">
      <c r="A413">
        <v>582</v>
      </c>
      <c r="B413" t="s">
        <v>2502</v>
      </c>
      <c r="C413" t="s">
        <v>247</v>
      </c>
      <c r="D413">
        <v>17</v>
      </c>
      <c r="E413">
        <v>0</v>
      </c>
      <c r="F413">
        <v>0</v>
      </c>
      <c r="G413">
        <v>0</v>
      </c>
      <c r="H413">
        <v>0</v>
      </c>
      <c r="I413">
        <v>0</v>
      </c>
      <c r="J413" s="28">
        <v>0</v>
      </c>
      <c r="K413" s="126">
        <v>0</v>
      </c>
      <c r="L413" s="126">
        <v>0</v>
      </c>
      <c r="M413" s="126">
        <v>0</v>
      </c>
      <c r="N413" s="126">
        <v>0</v>
      </c>
      <c r="O413" s="126">
        <v>0</v>
      </c>
      <c r="P413" s="126">
        <v>0</v>
      </c>
      <c r="Q413" s="126">
        <v>0</v>
      </c>
      <c r="R413" s="126">
        <v>0</v>
      </c>
      <c r="S413" s="126">
        <v>0</v>
      </c>
      <c r="T413" s="126">
        <v>0</v>
      </c>
      <c r="U413" s="126">
        <v>0</v>
      </c>
      <c r="V413" s="126">
        <v>0</v>
      </c>
      <c r="W413" s="126">
        <v>0</v>
      </c>
      <c r="X413" s="126">
        <v>0</v>
      </c>
      <c r="Y413" s="126">
        <v>0</v>
      </c>
      <c r="Z413" s="142">
        <v>9</v>
      </c>
      <c r="AA413" s="126">
        <v>0</v>
      </c>
      <c r="AB413" s="126">
        <v>0</v>
      </c>
      <c r="AC413" s="126">
        <v>0</v>
      </c>
      <c r="AD413" s="126">
        <v>0</v>
      </c>
      <c r="AE413" s="126">
        <v>5</v>
      </c>
      <c r="AF413" s="126">
        <v>5.3630000000000004</v>
      </c>
      <c r="AG413" t="s">
        <v>3256</v>
      </c>
    </row>
    <row r="414" spans="1:33" x14ac:dyDescent="0.3">
      <c r="A414">
        <v>583</v>
      </c>
      <c r="B414" t="s">
        <v>2502</v>
      </c>
      <c r="C414" t="s">
        <v>247</v>
      </c>
      <c r="D414">
        <v>9</v>
      </c>
      <c r="E414">
        <v>0</v>
      </c>
      <c r="F414">
        <v>0</v>
      </c>
      <c r="G414">
        <v>0</v>
      </c>
      <c r="H414">
        <v>0</v>
      </c>
      <c r="I414">
        <v>0</v>
      </c>
      <c r="J414" s="28">
        <v>0</v>
      </c>
      <c r="K414" s="126">
        <v>0</v>
      </c>
      <c r="L414" s="126">
        <v>0</v>
      </c>
      <c r="M414" s="126">
        <v>0</v>
      </c>
      <c r="N414" s="126">
        <v>0</v>
      </c>
      <c r="O414" s="126">
        <v>0</v>
      </c>
      <c r="P414" s="126">
        <v>0</v>
      </c>
      <c r="Q414" s="126">
        <v>0</v>
      </c>
      <c r="R414" s="126">
        <v>0</v>
      </c>
      <c r="S414" s="126">
        <v>0</v>
      </c>
      <c r="T414" s="126">
        <v>0</v>
      </c>
      <c r="U414" s="126">
        <v>0</v>
      </c>
      <c r="V414" s="126">
        <v>0</v>
      </c>
      <c r="W414" s="126">
        <v>0</v>
      </c>
      <c r="X414" s="126">
        <v>0</v>
      </c>
      <c r="Y414" s="126">
        <v>0</v>
      </c>
      <c r="Z414" s="142">
        <v>9</v>
      </c>
      <c r="AA414" s="126">
        <v>0</v>
      </c>
      <c r="AB414" s="126">
        <v>0</v>
      </c>
      <c r="AC414" s="126">
        <v>0</v>
      </c>
      <c r="AD414" s="126">
        <v>0</v>
      </c>
      <c r="AE414" s="126">
        <v>5</v>
      </c>
      <c r="AF414" s="126">
        <v>5.3630000000000004</v>
      </c>
      <c r="AG414" t="s">
        <v>3256</v>
      </c>
    </row>
    <row r="415" spans="1:33" x14ac:dyDescent="0.3">
      <c r="A415">
        <v>584</v>
      </c>
      <c r="B415" t="s">
        <v>2502</v>
      </c>
      <c r="C415" t="s">
        <v>247</v>
      </c>
      <c r="D415">
        <v>10</v>
      </c>
      <c r="E415">
        <v>0</v>
      </c>
      <c r="F415">
        <v>0</v>
      </c>
      <c r="G415">
        <v>0</v>
      </c>
      <c r="H415">
        <v>0</v>
      </c>
      <c r="I415">
        <v>0</v>
      </c>
      <c r="J415" s="28">
        <v>0</v>
      </c>
      <c r="K415" s="126">
        <v>0</v>
      </c>
      <c r="L415" s="126">
        <v>0</v>
      </c>
      <c r="M415" s="126">
        <v>0</v>
      </c>
      <c r="N415" s="126">
        <v>0</v>
      </c>
      <c r="O415" s="126">
        <v>0</v>
      </c>
      <c r="P415" s="126">
        <v>0</v>
      </c>
      <c r="Q415" s="126">
        <v>0</v>
      </c>
      <c r="R415" s="126">
        <v>0</v>
      </c>
      <c r="S415" s="126">
        <v>0</v>
      </c>
      <c r="T415" s="126">
        <v>0</v>
      </c>
      <c r="U415" s="126">
        <v>0</v>
      </c>
      <c r="V415" s="126">
        <v>0</v>
      </c>
      <c r="W415" s="126">
        <v>0</v>
      </c>
      <c r="X415" s="126">
        <v>0</v>
      </c>
      <c r="Y415" s="126">
        <v>0</v>
      </c>
      <c r="Z415" s="142">
        <v>9</v>
      </c>
      <c r="AA415" s="126">
        <v>0</v>
      </c>
      <c r="AB415" s="126">
        <v>0</v>
      </c>
      <c r="AC415" s="126">
        <v>0</v>
      </c>
      <c r="AD415" s="126">
        <v>0</v>
      </c>
      <c r="AE415" s="126">
        <v>5</v>
      </c>
      <c r="AF415" s="126">
        <v>5.3630000000000004</v>
      </c>
      <c r="AG415" t="s">
        <v>3256</v>
      </c>
    </row>
    <row r="416" spans="1:33" x14ac:dyDescent="0.3">
      <c r="A416">
        <v>585</v>
      </c>
      <c r="B416" t="s">
        <v>2502</v>
      </c>
      <c r="C416" t="s">
        <v>247</v>
      </c>
      <c r="D416">
        <v>11</v>
      </c>
      <c r="E416">
        <v>0</v>
      </c>
      <c r="F416">
        <v>0</v>
      </c>
      <c r="G416">
        <v>0</v>
      </c>
      <c r="H416">
        <v>0</v>
      </c>
      <c r="I416">
        <v>0</v>
      </c>
      <c r="J416" s="28">
        <v>0</v>
      </c>
      <c r="K416" s="126">
        <v>0</v>
      </c>
      <c r="L416" s="126">
        <v>0</v>
      </c>
      <c r="M416" s="126">
        <v>0</v>
      </c>
      <c r="N416" s="126">
        <v>0</v>
      </c>
      <c r="O416" s="126">
        <v>0</v>
      </c>
      <c r="P416" s="126">
        <v>0</v>
      </c>
      <c r="Q416" s="126">
        <v>0</v>
      </c>
      <c r="R416" s="126">
        <v>0</v>
      </c>
      <c r="S416" s="126">
        <v>0</v>
      </c>
      <c r="T416" s="126">
        <v>0</v>
      </c>
      <c r="U416" s="126">
        <v>0</v>
      </c>
      <c r="V416" s="126">
        <v>0</v>
      </c>
      <c r="W416" s="126">
        <v>0</v>
      </c>
      <c r="X416" s="126">
        <v>0</v>
      </c>
      <c r="Y416" s="126">
        <v>0</v>
      </c>
      <c r="Z416" s="142">
        <v>9</v>
      </c>
      <c r="AA416" s="126">
        <v>0</v>
      </c>
      <c r="AB416" s="126">
        <v>0</v>
      </c>
      <c r="AC416" s="126">
        <v>0</v>
      </c>
      <c r="AD416" s="126">
        <v>0</v>
      </c>
      <c r="AE416" s="126">
        <v>5</v>
      </c>
      <c r="AF416" s="126">
        <v>5.3630000000000004</v>
      </c>
      <c r="AG416" t="s">
        <v>3256</v>
      </c>
    </row>
    <row r="417" spans="1:33" x14ac:dyDescent="0.3">
      <c r="A417">
        <v>586</v>
      </c>
      <c r="B417" t="s">
        <v>2502</v>
      </c>
      <c r="C417" t="s">
        <v>247</v>
      </c>
      <c r="D417">
        <v>12</v>
      </c>
      <c r="E417">
        <v>0</v>
      </c>
      <c r="F417">
        <v>0</v>
      </c>
      <c r="G417">
        <v>0</v>
      </c>
      <c r="H417">
        <v>0</v>
      </c>
      <c r="I417">
        <v>0</v>
      </c>
      <c r="J417" s="28">
        <v>0</v>
      </c>
      <c r="K417" s="126">
        <v>0</v>
      </c>
      <c r="L417" s="126">
        <v>0</v>
      </c>
      <c r="M417" s="126">
        <v>0</v>
      </c>
      <c r="N417" s="126">
        <v>0</v>
      </c>
      <c r="O417" s="126">
        <v>0</v>
      </c>
      <c r="P417" s="126">
        <v>0</v>
      </c>
      <c r="Q417" s="126">
        <v>0</v>
      </c>
      <c r="R417" s="126">
        <v>0</v>
      </c>
      <c r="S417" s="126">
        <v>0</v>
      </c>
      <c r="T417" s="126">
        <v>0</v>
      </c>
      <c r="U417" s="126">
        <v>0</v>
      </c>
      <c r="V417" s="126">
        <v>0</v>
      </c>
      <c r="W417" s="126">
        <v>0</v>
      </c>
      <c r="X417" s="126">
        <v>0</v>
      </c>
      <c r="Y417" s="126">
        <v>0</v>
      </c>
      <c r="Z417" s="142">
        <v>9</v>
      </c>
      <c r="AA417" s="126">
        <v>0</v>
      </c>
      <c r="AB417" s="126">
        <v>0</v>
      </c>
      <c r="AC417" s="126">
        <v>0</v>
      </c>
      <c r="AD417" s="126">
        <v>0</v>
      </c>
      <c r="AE417" s="126">
        <v>5</v>
      </c>
      <c r="AF417" s="126">
        <v>5.3630000000000004</v>
      </c>
      <c r="AG417" t="s">
        <v>3256</v>
      </c>
    </row>
    <row r="418" spans="1:33" x14ac:dyDescent="0.3">
      <c r="A418">
        <v>587</v>
      </c>
      <c r="B418" t="s">
        <v>2502</v>
      </c>
      <c r="C418" t="s">
        <v>247</v>
      </c>
      <c r="D418">
        <v>16</v>
      </c>
      <c r="E418">
        <v>0</v>
      </c>
      <c r="F418">
        <v>0</v>
      </c>
      <c r="G418">
        <v>0</v>
      </c>
      <c r="H418">
        <v>0</v>
      </c>
      <c r="I418">
        <v>0</v>
      </c>
      <c r="J418" s="28">
        <v>0</v>
      </c>
      <c r="K418" s="126">
        <v>0</v>
      </c>
      <c r="L418" s="126">
        <v>0</v>
      </c>
      <c r="M418" s="126">
        <v>0</v>
      </c>
      <c r="N418" s="126">
        <v>0</v>
      </c>
      <c r="O418" s="126">
        <v>0</v>
      </c>
      <c r="P418" s="126">
        <v>0</v>
      </c>
      <c r="Q418" s="126">
        <v>0</v>
      </c>
      <c r="R418" s="126">
        <v>0</v>
      </c>
      <c r="S418" s="126">
        <v>0</v>
      </c>
      <c r="T418" s="126">
        <v>0</v>
      </c>
      <c r="U418" s="126">
        <v>0</v>
      </c>
      <c r="V418" s="126">
        <v>0</v>
      </c>
      <c r="W418" s="126">
        <v>0</v>
      </c>
      <c r="X418" s="126">
        <v>0</v>
      </c>
      <c r="Y418" s="126">
        <v>0</v>
      </c>
      <c r="Z418" s="142">
        <v>9</v>
      </c>
      <c r="AA418" s="126">
        <v>0</v>
      </c>
      <c r="AB418" s="126">
        <v>0</v>
      </c>
      <c r="AC418" s="126">
        <v>0</v>
      </c>
      <c r="AD418" s="126">
        <v>0</v>
      </c>
      <c r="AE418" s="126">
        <v>5</v>
      </c>
      <c r="AF418" s="126">
        <v>5.3630000000000004</v>
      </c>
      <c r="AG418" t="s">
        <v>3256</v>
      </c>
    </row>
    <row r="419" spans="1:33" x14ac:dyDescent="0.3">
      <c r="A419">
        <v>588</v>
      </c>
      <c r="B419" t="s">
        <v>2502</v>
      </c>
      <c r="C419" t="s">
        <v>247</v>
      </c>
      <c r="D419">
        <v>0</v>
      </c>
      <c r="E419">
        <v>0</v>
      </c>
      <c r="F419">
        <v>0</v>
      </c>
      <c r="G419">
        <v>0</v>
      </c>
      <c r="H419">
        <v>0</v>
      </c>
      <c r="I419">
        <v>0</v>
      </c>
      <c r="J419" s="28">
        <v>0</v>
      </c>
      <c r="K419" s="126">
        <v>0</v>
      </c>
      <c r="L419" s="126">
        <v>0</v>
      </c>
      <c r="M419" s="126">
        <v>0</v>
      </c>
      <c r="N419" s="126">
        <v>0</v>
      </c>
      <c r="O419" s="126">
        <v>0</v>
      </c>
      <c r="P419" s="126">
        <v>0</v>
      </c>
      <c r="Q419" s="126">
        <v>0</v>
      </c>
      <c r="R419" s="126">
        <v>0</v>
      </c>
      <c r="S419" s="126">
        <v>0</v>
      </c>
      <c r="T419" s="126">
        <v>0</v>
      </c>
      <c r="U419" s="126">
        <v>0</v>
      </c>
      <c r="V419" s="126">
        <v>0</v>
      </c>
      <c r="W419" s="126">
        <v>0</v>
      </c>
      <c r="X419" s="126">
        <v>0</v>
      </c>
      <c r="Y419" s="126">
        <v>0</v>
      </c>
      <c r="Z419" s="142">
        <v>9</v>
      </c>
      <c r="AA419" s="126">
        <v>0</v>
      </c>
      <c r="AB419" s="126">
        <v>0</v>
      </c>
      <c r="AC419" s="126">
        <v>0</v>
      </c>
      <c r="AD419" s="126">
        <v>0</v>
      </c>
      <c r="AE419" s="126">
        <v>5</v>
      </c>
      <c r="AF419" s="126">
        <v>5.3630000000000004</v>
      </c>
      <c r="AG419" t="s">
        <v>3256</v>
      </c>
    </row>
    <row r="420" spans="1:33" x14ac:dyDescent="0.3">
      <c r="A420">
        <v>589</v>
      </c>
      <c r="B420" t="s">
        <v>2502</v>
      </c>
      <c r="C420" t="s">
        <v>247</v>
      </c>
      <c r="D420">
        <v>7</v>
      </c>
      <c r="E420">
        <v>0</v>
      </c>
      <c r="F420">
        <v>0</v>
      </c>
      <c r="G420">
        <v>0</v>
      </c>
      <c r="H420">
        <v>0</v>
      </c>
      <c r="I420">
        <v>0</v>
      </c>
      <c r="J420" s="28">
        <v>0</v>
      </c>
      <c r="K420" s="126">
        <v>0</v>
      </c>
      <c r="L420" s="126">
        <v>0</v>
      </c>
      <c r="M420" s="126">
        <v>0</v>
      </c>
      <c r="N420" s="126">
        <v>0</v>
      </c>
      <c r="O420" s="126">
        <v>0</v>
      </c>
      <c r="P420" s="126">
        <v>0</v>
      </c>
      <c r="Q420" s="126">
        <v>0</v>
      </c>
      <c r="R420" s="126">
        <v>0</v>
      </c>
      <c r="S420" s="126">
        <v>0</v>
      </c>
      <c r="T420" s="126">
        <v>0</v>
      </c>
      <c r="U420" s="126">
        <v>0</v>
      </c>
      <c r="V420" s="126">
        <v>0</v>
      </c>
      <c r="W420" s="126">
        <v>0</v>
      </c>
      <c r="X420" s="126">
        <v>0</v>
      </c>
      <c r="Y420" s="126">
        <v>0</v>
      </c>
      <c r="Z420" s="142">
        <v>9</v>
      </c>
      <c r="AA420" s="126">
        <v>0</v>
      </c>
      <c r="AB420" s="126">
        <v>0</v>
      </c>
      <c r="AC420" s="126">
        <v>0</v>
      </c>
      <c r="AD420" s="126">
        <v>0</v>
      </c>
      <c r="AE420" s="126">
        <v>5</v>
      </c>
      <c r="AF420" s="126">
        <v>0</v>
      </c>
      <c r="AG420" t="s">
        <v>3257</v>
      </c>
    </row>
    <row r="421" spans="1:33" x14ac:dyDescent="0.3">
      <c r="A421">
        <v>590</v>
      </c>
      <c r="B421" t="s">
        <v>2502</v>
      </c>
      <c r="C421" t="s">
        <v>247</v>
      </c>
      <c r="D421">
        <v>9</v>
      </c>
      <c r="E421">
        <v>0</v>
      </c>
      <c r="F421">
        <v>0</v>
      </c>
      <c r="G421">
        <v>0</v>
      </c>
      <c r="H421">
        <v>0</v>
      </c>
      <c r="I421">
        <v>0</v>
      </c>
      <c r="J421" s="28">
        <v>0</v>
      </c>
      <c r="K421" s="126">
        <v>0</v>
      </c>
      <c r="L421" s="126">
        <v>0</v>
      </c>
      <c r="M421" s="126">
        <v>0</v>
      </c>
      <c r="N421" s="126">
        <v>0</v>
      </c>
      <c r="O421" s="126">
        <v>0</v>
      </c>
      <c r="P421" s="126">
        <v>0</v>
      </c>
      <c r="Q421" s="126">
        <v>0</v>
      </c>
      <c r="R421" s="126">
        <v>0</v>
      </c>
      <c r="S421" s="126">
        <v>0</v>
      </c>
      <c r="T421" s="126">
        <v>0</v>
      </c>
      <c r="U421" s="126">
        <v>0</v>
      </c>
      <c r="V421" s="126">
        <v>0</v>
      </c>
      <c r="W421" s="126">
        <v>0</v>
      </c>
      <c r="X421" s="126">
        <v>0</v>
      </c>
      <c r="Y421" s="126">
        <v>0</v>
      </c>
      <c r="Z421" s="142">
        <v>9</v>
      </c>
      <c r="AA421" s="126">
        <v>0</v>
      </c>
      <c r="AB421" s="126">
        <v>0</v>
      </c>
      <c r="AC421" s="126">
        <v>0</v>
      </c>
      <c r="AD421" s="126">
        <v>0</v>
      </c>
      <c r="AE421" s="126">
        <v>5</v>
      </c>
      <c r="AF421" s="126">
        <v>0</v>
      </c>
      <c r="AG421" t="s">
        <v>3257</v>
      </c>
    </row>
    <row r="422" spans="1:33" x14ac:dyDescent="0.3">
      <c r="A422">
        <v>591</v>
      </c>
      <c r="B422" t="s">
        <v>2502</v>
      </c>
      <c r="C422" t="s">
        <v>247</v>
      </c>
      <c r="D422">
        <v>14</v>
      </c>
      <c r="E422">
        <v>0</v>
      </c>
      <c r="F422">
        <v>0</v>
      </c>
      <c r="G422">
        <v>0</v>
      </c>
      <c r="H422">
        <v>0</v>
      </c>
      <c r="I422">
        <v>0</v>
      </c>
      <c r="J422" s="28">
        <v>0</v>
      </c>
      <c r="K422" s="126">
        <v>0</v>
      </c>
      <c r="L422" s="126">
        <v>0</v>
      </c>
      <c r="M422" s="126">
        <v>0</v>
      </c>
      <c r="N422" s="126">
        <v>0</v>
      </c>
      <c r="O422" s="126">
        <v>0</v>
      </c>
      <c r="P422" s="126">
        <v>0</v>
      </c>
      <c r="Q422" s="126">
        <v>0</v>
      </c>
      <c r="R422" s="126">
        <v>0</v>
      </c>
      <c r="S422" s="126">
        <v>0</v>
      </c>
      <c r="T422" s="126">
        <v>0</v>
      </c>
      <c r="U422" s="126">
        <v>0</v>
      </c>
      <c r="V422" s="126">
        <v>0</v>
      </c>
      <c r="W422" s="126">
        <v>0</v>
      </c>
      <c r="X422" s="126">
        <v>0</v>
      </c>
      <c r="Y422" s="126">
        <v>0</v>
      </c>
      <c r="Z422" s="142">
        <v>9</v>
      </c>
      <c r="AA422" s="126">
        <v>0</v>
      </c>
      <c r="AB422" s="126">
        <v>0</v>
      </c>
      <c r="AC422" s="126">
        <v>0</v>
      </c>
      <c r="AD422" s="126">
        <v>0</v>
      </c>
      <c r="AE422" s="126">
        <v>5</v>
      </c>
      <c r="AF422" s="126">
        <v>5.3630000000000004</v>
      </c>
      <c r="AG422" t="s">
        <v>3256</v>
      </c>
    </row>
    <row r="423" spans="1:33" x14ac:dyDescent="0.3">
      <c r="A423">
        <v>592</v>
      </c>
      <c r="B423" t="s">
        <v>2502</v>
      </c>
      <c r="C423" t="s">
        <v>247</v>
      </c>
      <c r="D423">
        <v>15</v>
      </c>
      <c r="E423">
        <v>0</v>
      </c>
      <c r="F423">
        <v>0</v>
      </c>
      <c r="G423">
        <v>0</v>
      </c>
      <c r="H423">
        <v>0</v>
      </c>
      <c r="I423">
        <v>0</v>
      </c>
      <c r="J423" s="28">
        <v>0</v>
      </c>
      <c r="K423" s="126">
        <v>0</v>
      </c>
      <c r="L423" s="126">
        <v>0</v>
      </c>
      <c r="M423" s="126">
        <v>0</v>
      </c>
      <c r="N423" s="126">
        <v>0</v>
      </c>
      <c r="O423" s="126">
        <v>0</v>
      </c>
      <c r="P423" s="126">
        <v>0</v>
      </c>
      <c r="Q423" s="126">
        <v>0</v>
      </c>
      <c r="R423" s="126">
        <v>0</v>
      </c>
      <c r="S423" s="126">
        <v>0</v>
      </c>
      <c r="T423" s="126">
        <v>0</v>
      </c>
      <c r="U423" s="126">
        <v>0</v>
      </c>
      <c r="V423" s="126">
        <v>0</v>
      </c>
      <c r="W423" s="126">
        <v>0</v>
      </c>
      <c r="X423" s="126">
        <v>0</v>
      </c>
      <c r="Y423" s="126">
        <v>0</v>
      </c>
      <c r="Z423" s="142">
        <v>9</v>
      </c>
      <c r="AA423" s="126">
        <v>0</v>
      </c>
      <c r="AB423" s="126">
        <v>0</v>
      </c>
      <c r="AC423" s="126">
        <v>0</v>
      </c>
      <c r="AD423" s="126">
        <v>0</v>
      </c>
      <c r="AE423" s="126">
        <v>5</v>
      </c>
      <c r="AF423" s="126">
        <v>5.3630000000000004</v>
      </c>
      <c r="AG423" t="s">
        <v>3258</v>
      </c>
    </row>
    <row r="424" spans="1:33" x14ac:dyDescent="0.3">
      <c r="A424">
        <v>593</v>
      </c>
      <c r="B424" t="s">
        <v>2499</v>
      </c>
      <c r="C424" t="s">
        <v>247</v>
      </c>
      <c r="D424">
        <v>5</v>
      </c>
      <c r="E424">
        <v>0</v>
      </c>
      <c r="F424">
        <v>0</v>
      </c>
      <c r="G424">
        <v>0</v>
      </c>
      <c r="H424">
        <v>0</v>
      </c>
      <c r="I424">
        <v>0</v>
      </c>
      <c r="J424" s="28">
        <v>0</v>
      </c>
      <c r="K424" s="126">
        <v>0</v>
      </c>
      <c r="L424" s="126">
        <v>0</v>
      </c>
      <c r="M424" s="126">
        <v>0</v>
      </c>
      <c r="N424" s="126">
        <v>0</v>
      </c>
      <c r="O424" s="126">
        <v>0</v>
      </c>
      <c r="P424" s="126">
        <v>0</v>
      </c>
      <c r="Q424" s="126">
        <v>0</v>
      </c>
      <c r="R424" s="126">
        <v>0</v>
      </c>
      <c r="S424" s="126">
        <v>0</v>
      </c>
      <c r="T424" s="126">
        <v>0</v>
      </c>
      <c r="U424" s="126">
        <v>0</v>
      </c>
      <c r="V424" s="126">
        <v>0</v>
      </c>
      <c r="W424" s="126">
        <v>0</v>
      </c>
      <c r="X424" s="126">
        <v>0</v>
      </c>
      <c r="Y424" s="126">
        <v>0</v>
      </c>
      <c r="Z424" s="142">
        <v>7</v>
      </c>
      <c r="AA424" s="126">
        <v>0.95</v>
      </c>
      <c r="AB424" s="126">
        <v>0</v>
      </c>
      <c r="AC424" s="126">
        <v>0</v>
      </c>
      <c r="AD424" s="126">
        <v>0</v>
      </c>
      <c r="AE424" s="126">
        <v>2.54</v>
      </c>
      <c r="AF424" s="126">
        <v>0.15</v>
      </c>
      <c r="AG424" t="s">
        <v>3255</v>
      </c>
    </row>
    <row r="425" spans="1:33" x14ac:dyDescent="0.3">
      <c r="A425">
        <v>594</v>
      </c>
      <c r="B425" t="s">
        <v>2499</v>
      </c>
      <c r="C425" t="s">
        <v>247</v>
      </c>
      <c r="D425">
        <v>6</v>
      </c>
      <c r="E425">
        <v>0</v>
      </c>
      <c r="F425">
        <v>0</v>
      </c>
      <c r="G425">
        <v>0</v>
      </c>
      <c r="H425">
        <v>0</v>
      </c>
      <c r="I425">
        <v>0</v>
      </c>
      <c r="J425" s="28">
        <v>0</v>
      </c>
      <c r="K425" s="126">
        <v>0</v>
      </c>
      <c r="L425" s="126">
        <v>0</v>
      </c>
      <c r="M425" s="126">
        <v>0</v>
      </c>
      <c r="N425" s="126">
        <v>0</v>
      </c>
      <c r="O425" s="126">
        <v>0</v>
      </c>
      <c r="P425" s="126">
        <v>0</v>
      </c>
      <c r="Q425" s="126">
        <v>0</v>
      </c>
      <c r="R425" s="126">
        <v>0</v>
      </c>
      <c r="S425" s="126">
        <v>0</v>
      </c>
      <c r="T425" s="126">
        <v>0</v>
      </c>
      <c r="U425" s="126">
        <v>0</v>
      </c>
      <c r="V425" s="126">
        <v>0</v>
      </c>
      <c r="W425" s="126">
        <v>0</v>
      </c>
      <c r="X425" s="126">
        <v>0</v>
      </c>
      <c r="Y425" s="126">
        <v>0</v>
      </c>
      <c r="Z425" s="142">
        <v>7</v>
      </c>
      <c r="AA425" s="126">
        <v>0.95</v>
      </c>
      <c r="AB425" s="126">
        <v>0</v>
      </c>
      <c r="AC425" s="126">
        <v>0</v>
      </c>
      <c r="AD425" s="126">
        <v>0</v>
      </c>
      <c r="AE425" s="126">
        <v>2.54</v>
      </c>
      <c r="AF425" s="126">
        <v>0.15</v>
      </c>
      <c r="AG425" t="s">
        <v>3255</v>
      </c>
    </row>
    <row r="426" spans="1:33" x14ac:dyDescent="0.3">
      <c r="A426">
        <v>595</v>
      </c>
      <c r="B426" t="s">
        <v>2499</v>
      </c>
      <c r="C426" t="s">
        <v>247</v>
      </c>
      <c r="D426">
        <v>7</v>
      </c>
      <c r="E426">
        <v>0</v>
      </c>
      <c r="F426">
        <v>0</v>
      </c>
      <c r="G426">
        <v>0</v>
      </c>
      <c r="H426">
        <v>0</v>
      </c>
      <c r="I426">
        <v>0</v>
      </c>
      <c r="J426" s="28">
        <v>0</v>
      </c>
      <c r="K426" s="126">
        <v>0</v>
      </c>
      <c r="L426" s="126">
        <v>0</v>
      </c>
      <c r="M426" s="126">
        <v>0</v>
      </c>
      <c r="N426" s="126">
        <v>0</v>
      </c>
      <c r="O426" s="126">
        <v>0</v>
      </c>
      <c r="P426" s="126">
        <v>0</v>
      </c>
      <c r="Q426" s="126">
        <v>0</v>
      </c>
      <c r="R426" s="126">
        <v>0</v>
      </c>
      <c r="S426" s="126">
        <v>0</v>
      </c>
      <c r="T426" s="126">
        <v>0</v>
      </c>
      <c r="U426" s="126">
        <v>0</v>
      </c>
      <c r="V426" s="126">
        <v>0</v>
      </c>
      <c r="W426" s="126">
        <v>0</v>
      </c>
      <c r="X426" s="126">
        <v>0</v>
      </c>
      <c r="Y426" s="126">
        <v>0</v>
      </c>
      <c r="Z426" s="142">
        <v>7</v>
      </c>
      <c r="AA426" s="126">
        <v>0.95</v>
      </c>
      <c r="AB426" s="126">
        <v>0</v>
      </c>
      <c r="AC426" s="126">
        <v>0</v>
      </c>
      <c r="AD426" s="126">
        <v>0</v>
      </c>
      <c r="AE426" s="126">
        <v>2.54</v>
      </c>
      <c r="AF426" s="126">
        <v>0.15</v>
      </c>
      <c r="AG426" t="s">
        <v>3255</v>
      </c>
    </row>
    <row r="427" spans="1:33" x14ac:dyDescent="0.3">
      <c r="A427">
        <v>596</v>
      </c>
      <c r="B427" t="s">
        <v>2499</v>
      </c>
      <c r="C427" t="s">
        <v>247</v>
      </c>
      <c r="D427">
        <v>9</v>
      </c>
      <c r="E427">
        <v>0</v>
      </c>
      <c r="F427">
        <v>0</v>
      </c>
      <c r="G427">
        <v>0</v>
      </c>
      <c r="H427">
        <v>0</v>
      </c>
      <c r="I427">
        <v>0</v>
      </c>
      <c r="J427" s="28">
        <v>0</v>
      </c>
      <c r="K427" s="126">
        <v>0</v>
      </c>
      <c r="L427" s="126">
        <v>0</v>
      </c>
      <c r="M427" s="126">
        <v>0</v>
      </c>
      <c r="N427" s="126">
        <v>0</v>
      </c>
      <c r="O427" s="126">
        <v>0</v>
      </c>
      <c r="P427" s="126">
        <v>0</v>
      </c>
      <c r="Q427" s="126">
        <v>0</v>
      </c>
      <c r="R427" s="126">
        <v>0</v>
      </c>
      <c r="S427" s="126">
        <v>0</v>
      </c>
      <c r="T427" s="126">
        <v>0</v>
      </c>
      <c r="U427" s="126">
        <v>0</v>
      </c>
      <c r="V427" s="126">
        <v>0</v>
      </c>
      <c r="W427" s="126">
        <v>0</v>
      </c>
      <c r="X427" s="126">
        <v>0</v>
      </c>
      <c r="Y427" s="126">
        <v>0</v>
      </c>
      <c r="Z427" s="142">
        <v>7</v>
      </c>
      <c r="AA427" s="126">
        <v>0.95</v>
      </c>
      <c r="AB427" s="126">
        <v>0</v>
      </c>
      <c r="AC427" s="126">
        <v>0</v>
      </c>
      <c r="AD427" s="126">
        <v>0</v>
      </c>
      <c r="AE427" s="126">
        <v>2.54</v>
      </c>
      <c r="AF427" s="126">
        <v>0.15</v>
      </c>
      <c r="AG427" t="s">
        <v>3255</v>
      </c>
    </row>
    <row r="428" spans="1:33" x14ac:dyDescent="0.3">
      <c r="A428">
        <v>597</v>
      </c>
      <c r="B428" t="s">
        <v>2499</v>
      </c>
      <c r="C428" t="s">
        <v>247</v>
      </c>
      <c r="D428">
        <v>10</v>
      </c>
      <c r="E428">
        <v>0</v>
      </c>
      <c r="F428">
        <v>0</v>
      </c>
      <c r="G428">
        <v>0</v>
      </c>
      <c r="H428">
        <v>0</v>
      </c>
      <c r="I428">
        <v>0</v>
      </c>
      <c r="J428" s="28">
        <v>0</v>
      </c>
      <c r="K428" s="126">
        <v>0</v>
      </c>
      <c r="L428" s="126">
        <v>0</v>
      </c>
      <c r="M428" s="126">
        <v>0</v>
      </c>
      <c r="N428" s="126">
        <v>0</v>
      </c>
      <c r="O428" s="126">
        <v>0</v>
      </c>
      <c r="P428" s="126">
        <v>0</v>
      </c>
      <c r="Q428" s="126">
        <v>0</v>
      </c>
      <c r="R428" s="126">
        <v>0</v>
      </c>
      <c r="S428" s="126">
        <v>0</v>
      </c>
      <c r="T428" s="126">
        <v>0</v>
      </c>
      <c r="U428" s="126">
        <v>0</v>
      </c>
      <c r="V428" s="126">
        <v>0</v>
      </c>
      <c r="W428" s="126">
        <v>0</v>
      </c>
      <c r="X428" s="126">
        <v>0</v>
      </c>
      <c r="Y428" s="126">
        <v>0</v>
      </c>
      <c r="Z428" s="142">
        <v>7</v>
      </c>
      <c r="AA428" s="126">
        <v>0.95</v>
      </c>
      <c r="AB428" s="126">
        <v>0</v>
      </c>
      <c r="AC428" s="126">
        <v>0</v>
      </c>
      <c r="AD428" s="126">
        <v>0</v>
      </c>
      <c r="AE428" s="126">
        <v>2.54</v>
      </c>
      <c r="AF428" s="126">
        <v>0.15</v>
      </c>
      <c r="AG428" t="s">
        <v>3255</v>
      </c>
    </row>
    <row r="429" spans="1:33" x14ac:dyDescent="0.3">
      <c r="A429">
        <v>598</v>
      </c>
      <c r="B429" t="s">
        <v>2499</v>
      </c>
      <c r="C429" t="s">
        <v>247</v>
      </c>
      <c r="D429">
        <v>10</v>
      </c>
      <c r="E429">
        <v>0</v>
      </c>
      <c r="F429">
        <v>0</v>
      </c>
      <c r="G429">
        <v>0</v>
      </c>
      <c r="H429">
        <v>0</v>
      </c>
      <c r="I429">
        <v>0</v>
      </c>
      <c r="J429" s="28">
        <v>0</v>
      </c>
      <c r="K429" s="126">
        <v>0</v>
      </c>
      <c r="L429" s="126">
        <v>0</v>
      </c>
      <c r="M429" s="126">
        <v>0</v>
      </c>
      <c r="N429" s="126">
        <v>0</v>
      </c>
      <c r="O429" s="126">
        <v>0</v>
      </c>
      <c r="P429" s="126">
        <v>0</v>
      </c>
      <c r="Q429" s="126">
        <v>0</v>
      </c>
      <c r="R429" s="126">
        <v>0</v>
      </c>
      <c r="S429" s="126">
        <v>0</v>
      </c>
      <c r="T429" s="126">
        <v>0</v>
      </c>
      <c r="U429" s="126">
        <v>0</v>
      </c>
      <c r="V429" s="126">
        <v>0</v>
      </c>
      <c r="W429" s="126">
        <v>0</v>
      </c>
      <c r="X429" s="126">
        <v>0</v>
      </c>
      <c r="Y429" s="126">
        <v>0</v>
      </c>
      <c r="Z429" s="142">
        <v>7</v>
      </c>
      <c r="AA429" s="126">
        <v>0.95</v>
      </c>
      <c r="AB429" s="126">
        <v>0</v>
      </c>
      <c r="AC429" s="126">
        <v>0</v>
      </c>
      <c r="AD429" s="126">
        <v>0</v>
      </c>
      <c r="AE429" s="126">
        <v>2.54</v>
      </c>
      <c r="AF429" s="126">
        <v>0</v>
      </c>
      <c r="AG429" t="s">
        <v>3259</v>
      </c>
    </row>
    <row r="430" spans="1:33" x14ac:dyDescent="0.3">
      <c r="A430">
        <v>599</v>
      </c>
      <c r="B430" t="s">
        <v>2499</v>
      </c>
      <c r="C430" t="s">
        <v>247</v>
      </c>
      <c r="D430">
        <v>11</v>
      </c>
      <c r="E430">
        <v>0</v>
      </c>
      <c r="F430">
        <v>0</v>
      </c>
      <c r="G430">
        <v>0</v>
      </c>
      <c r="H430">
        <v>0</v>
      </c>
      <c r="I430">
        <v>0</v>
      </c>
      <c r="J430" s="28">
        <v>0</v>
      </c>
      <c r="K430" s="126">
        <v>0</v>
      </c>
      <c r="L430" s="126">
        <v>0</v>
      </c>
      <c r="M430" s="126">
        <v>0</v>
      </c>
      <c r="N430" s="126">
        <v>0</v>
      </c>
      <c r="O430" s="126">
        <v>0</v>
      </c>
      <c r="P430" s="126">
        <v>0</v>
      </c>
      <c r="Q430" s="126">
        <v>0</v>
      </c>
      <c r="R430" s="126">
        <v>0</v>
      </c>
      <c r="S430" s="126">
        <v>0</v>
      </c>
      <c r="T430" s="126">
        <v>0</v>
      </c>
      <c r="U430" s="126">
        <v>0</v>
      </c>
      <c r="V430" s="126">
        <v>0</v>
      </c>
      <c r="W430" s="126">
        <v>0</v>
      </c>
      <c r="X430" s="126">
        <v>0</v>
      </c>
      <c r="Y430" s="126">
        <v>0</v>
      </c>
      <c r="Z430" s="142">
        <v>7</v>
      </c>
      <c r="AA430" s="126">
        <v>0.95</v>
      </c>
      <c r="AB430" s="126">
        <v>0</v>
      </c>
      <c r="AC430" s="126">
        <v>0</v>
      </c>
      <c r="AD430" s="126">
        <v>0</v>
      </c>
      <c r="AE430" s="126">
        <v>2.54</v>
      </c>
      <c r="AF430" s="126">
        <v>0.15</v>
      </c>
      <c r="AG430" t="s">
        <v>3255</v>
      </c>
    </row>
    <row r="431" spans="1:33" x14ac:dyDescent="0.3">
      <c r="A431">
        <v>600</v>
      </c>
      <c r="B431" t="s">
        <v>3260</v>
      </c>
      <c r="C431" t="s">
        <v>247</v>
      </c>
      <c r="D431">
        <v>10</v>
      </c>
      <c r="E431">
        <v>0</v>
      </c>
      <c r="F431">
        <v>0</v>
      </c>
      <c r="G431">
        <v>0</v>
      </c>
      <c r="H431">
        <v>0</v>
      </c>
      <c r="I431">
        <v>0</v>
      </c>
      <c r="J431" s="28">
        <v>0</v>
      </c>
      <c r="K431" s="126">
        <v>0</v>
      </c>
      <c r="L431" s="126">
        <v>0</v>
      </c>
      <c r="M431" s="126">
        <v>0</v>
      </c>
      <c r="N431" s="126">
        <v>0</v>
      </c>
      <c r="O431" s="126">
        <v>0</v>
      </c>
      <c r="P431" s="126">
        <v>0</v>
      </c>
      <c r="Q431" s="126">
        <v>0</v>
      </c>
      <c r="R431" s="126">
        <v>0</v>
      </c>
      <c r="S431" s="126">
        <v>0</v>
      </c>
      <c r="T431" s="126">
        <v>0</v>
      </c>
      <c r="U431" s="126">
        <v>0</v>
      </c>
      <c r="V431" s="126">
        <v>0</v>
      </c>
      <c r="W431" s="126">
        <v>0</v>
      </c>
      <c r="X431" s="126">
        <v>0</v>
      </c>
      <c r="Y431" s="126">
        <v>0</v>
      </c>
      <c r="Z431" s="142">
        <v>7</v>
      </c>
      <c r="AA431" s="126">
        <v>0.95</v>
      </c>
      <c r="AB431" s="126">
        <v>0</v>
      </c>
      <c r="AC431" s="126">
        <v>0</v>
      </c>
      <c r="AD431" s="126">
        <v>0</v>
      </c>
      <c r="AE431" s="126">
        <v>2.54</v>
      </c>
      <c r="AF431" s="126">
        <v>0.15</v>
      </c>
      <c r="AG431" t="s">
        <v>3261</v>
      </c>
    </row>
    <row r="432" spans="1:33" x14ac:dyDescent="0.3">
      <c r="A432">
        <v>601</v>
      </c>
      <c r="B432" t="s">
        <v>2501</v>
      </c>
      <c r="C432" t="s">
        <v>247</v>
      </c>
      <c r="D432">
        <v>0</v>
      </c>
      <c r="E432">
        <v>11</v>
      </c>
      <c r="F432">
        <v>0</v>
      </c>
      <c r="G432">
        <v>0</v>
      </c>
      <c r="H432">
        <v>0</v>
      </c>
      <c r="I432">
        <v>0</v>
      </c>
      <c r="J432" s="28">
        <v>0</v>
      </c>
      <c r="K432" s="126">
        <v>0</v>
      </c>
      <c r="L432" s="126">
        <v>0</v>
      </c>
      <c r="M432" s="126">
        <v>0</v>
      </c>
      <c r="N432" s="126">
        <v>0</v>
      </c>
      <c r="O432" s="126">
        <v>0</v>
      </c>
      <c r="P432" s="126">
        <v>0</v>
      </c>
      <c r="Q432" s="126">
        <v>0</v>
      </c>
      <c r="R432" s="126">
        <v>0</v>
      </c>
      <c r="S432" s="126">
        <v>0</v>
      </c>
      <c r="T432" s="126">
        <v>0</v>
      </c>
      <c r="U432" s="126">
        <v>0</v>
      </c>
      <c r="V432" s="126">
        <v>0</v>
      </c>
      <c r="W432" s="126">
        <v>0</v>
      </c>
      <c r="X432" s="126">
        <v>0</v>
      </c>
      <c r="Y432" s="126">
        <v>0</v>
      </c>
      <c r="Z432" s="142">
        <v>2</v>
      </c>
      <c r="AA432" s="126">
        <v>0.95</v>
      </c>
      <c r="AB432" s="126">
        <v>0</v>
      </c>
      <c r="AC432" s="126">
        <v>0</v>
      </c>
      <c r="AD432" s="126">
        <v>0</v>
      </c>
      <c r="AE432" s="126">
        <v>6.47</v>
      </c>
      <c r="AF432" s="126">
        <v>0.15</v>
      </c>
      <c r="AG432" t="s">
        <v>3253</v>
      </c>
    </row>
    <row r="433" spans="1:33" x14ac:dyDescent="0.3">
      <c r="A433">
        <v>602</v>
      </c>
      <c r="B433" t="s">
        <v>3262</v>
      </c>
      <c r="C433" t="s">
        <v>247</v>
      </c>
      <c r="D433">
        <v>75</v>
      </c>
      <c r="E433">
        <v>0</v>
      </c>
      <c r="F433">
        <v>0</v>
      </c>
      <c r="G433">
        <v>0</v>
      </c>
      <c r="H433">
        <v>0</v>
      </c>
      <c r="I433">
        <v>0</v>
      </c>
      <c r="J433" s="28">
        <v>0</v>
      </c>
      <c r="K433" s="126">
        <v>0</v>
      </c>
      <c r="L433" s="126">
        <v>0</v>
      </c>
      <c r="M433" s="126">
        <v>0</v>
      </c>
      <c r="N433" s="126">
        <v>0</v>
      </c>
      <c r="O433" s="126">
        <v>0</v>
      </c>
      <c r="P433" s="126">
        <v>0</v>
      </c>
      <c r="Q433" s="126">
        <v>0</v>
      </c>
      <c r="R433" s="126">
        <v>0</v>
      </c>
      <c r="S433" s="126">
        <v>0</v>
      </c>
      <c r="T433" s="126">
        <v>0</v>
      </c>
      <c r="U433" s="126">
        <v>0</v>
      </c>
      <c r="V433" s="126">
        <v>0</v>
      </c>
      <c r="W433" s="126">
        <v>0</v>
      </c>
      <c r="X433" s="126">
        <v>0</v>
      </c>
      <c r="Y433" s="126">
        <v>0</v>
      </c>
      <c r="Z433" s="142">
        <v>0</v>
      </c>
      <c r="AA433" s="126">
        <v>0</v>
      </c>
      <c r="AB433" s="126">
        <v>0</v>
      </c>
      <c r="AC433" s="126">
        <v>0</v>
      </c>
      <c r="AD433" s="126">
        <v>0.02</v>
      </c>
      <c r="AE433" s="126">
        <v>0</v>
      </c>
      <c r="AF433" s="126">
        <v>0</v>
      </c>
      <c r="AG433" t="s">
        <v>2490</v>
      </c>
    </row>
    <row r="434" spans="1:33" x14ac:dyDescent="0.3">
      <c r="A434">
        <v>603</v>
      </c>
      <c r="B434" t="s">
        <v>3262</v>
      </c>
      <c r="C434" t="s">
        <v>247</v>
      </c>
      <c r="D434">
        <v>100</v>
      </c>
      <c r="E434">
        <v>0</v>
      </c>
      <c r="F434">
        <v>0</v>
      </c>
      <c r="G434">
        <v>0</v>
      </c>
      <c r="H434">
        <v>0</v>
      </c>
      <c r="I434">
        <v>0</v>
      </c>
      <c r="J434" s="28">
        <v>0</v>
      </c>
      <c r="K434" s="126">
        <v>0</v>
      </c>
      <c r="L434" s="126">
        <v>0</v>
      </c>
      <c r="M434" s="126">
        <v>0</v>
      </c>
      <c r="N434" s="126">
        <v>0</v>
      </c>
      <c r="O434" s="126">
        <v>0</v>
      </c>
      <c r="P434" s="126">
        <v>0</v>
      </c>
      <c r="Q434" s="126">
        <v>0</v>
      </c>
      <c r="R434" s="126">
        <v>0</v>
      </c>
      <c r="S434" s="126">
        <v>0</v>
      </c>
      <c r="T434" s="126">
        <v>0</v>
      </c>
      <c r="U434" s="126">
        <v>0</v>
      </c>
      <c r="V434" s="126">
        <v>0</v>
      </c>
      <c r="W434" s="126">
        <v>0</v>
      </c>
      <c r="X434" s="126">
        <v>0</v>
      </c>
      <c r="Y434" s="126">
        <v>0</v>
      </c>
      <c r="Z434" s="142">
        <v>0</v>
      </c>
      <c r="AA434" s="126">
        <v>0</v>
      </c>
      <c r="AB434" s="126">
        <v>0</v>
      </c>
      <c r="AC434" s="126">
        <v>0</v>
      </c>
      <c r="AD434" s="126">
        <v>0.02</v>
      </c>
      <c r="AE434" s="126">
        <v>0</v>
      </c>
      <c r="AF434" s="126">
        <v>0</v>
      </c>
      <c r="AG434" t="s">
        <v>2490</v>
      </c>
    </row>
    <row r="435" spans="1:33" x14ac:dyDescent="0.3">
      <c r="A435">
        <v>604</v>
      </c>
      <c r="B435" t="s">
        <v>2503</v>
      </c>
      <c r="C435" t="s">
        <v>247</v>
      </c>
      <c r="D435">
        <v>9</v>
      </c>
      <c r="E435">
        <v>0</v>
      </c>
      <c r="F435">
        <v>0</v>
      </c>
      <c r="G435">
        <v>0</v>
      </c>
      <c r="H435">
        <v>0</v>
      </c>
      <c r="I435">
        <v>0</v>
      </c>
      <c r="J435" s="28">
        <v>0</v>
      </c>
      <c r="K435" s="126">
        <v>0</v>
      </c>
      <c r="L435" s="126">
        <v>0</v>
      </c>
      <c r="M435" s="126">
        <v>0</v>
      </c>
      <c r="N435" s="126">
        <v>0</v>
      </c>
      <c r="O435" s="126">
        <v>0</v>
      </c>
      <c r="P435" s="126">
        <v>0</v>
      </c>
      <c r="Q435" s="126">
        <v>0</v>
      </c>
      <c r="R435" s="126">
        <v>0</v>
      </c>
      <c r="S435" s="126">
        <v>0</v>
      </c>
      <c r="T435" s="126">
        <v>0</v>
      </c>
      <c r="U435" s="126">
        <v>0</v>
      </c>
      <c r="V435" s="126">
        <v>0</v>
      </c>
      <c r="W435" s="126">
        <v>0</v>
      </c>
      <c r="X435" s="126">
        <v>0</v>
      </c>
      <c r="Y435" s="126">
        <v>0</v>
      </c>
      <c r="Z435" s="142">
        <v>0</v>
      </c>
      <c r="AA435" s="126">
        <v>0</v>
      </c>
      <c r="AB435" s="126">
        <v>0</v>
      </c>
      <c r="AC435" s="126">
        <v>0</v>
      </c>
      <c r="AD435" s="126">
        <v>0</v>
      </c>
      <c r="AE435" s="126">
        <v>0</v>
      </c>
      <c r="AF435" s="126">
        <v>0</v>
      </c>
      <c r="AG435" t="s">
        <v>3263</v>
      </c>
    </row>
    <row r="436" spans="1:33" x14ac:dyDescent="0.3">
      <c r="A436">
        <v>605</v>
      </c>
      <c r="B436" t="s">
        <v>2503</v>
      </c>
      <c r="C436" t="s">
        <v>247</v>
      </c>
      <c r="D436">
        <v>6</v>
      </c>
      <c r="E436">
        <v>0</v>
      </c>
      <c r="F436">
        <v>0</v>
      </c>
      <c r="G436">
        <v>0</v>
      </c>
      <c r="H436">
        <v>0</v>
      </c>
      <c r="I436">
        <v>0</v>
      </c>
      <c r="J436" s="28">
        <v>0</v>
      </c>
      <c r="K436" s="126">
        <v>0</v>
      </c>
      <c r="L436" s="126">
        <v>0</v>
      </c>
      <c r="M436" s="126">
        <v>0</v>
      </c>
      <c r="N436" s="126">
        <v>0</v>
      </c>
      <c r="O436" s="126">
        <v>0</v>
      </c>
      <c r="P436" s="126">
        <v>0</v>
      </c>
      <c r="Q436" s="126">
        <v>0</v>
      </c>
      <c r="R436" s="126">
        <v>0</v>
      </c>
      <c r="S436" s="126">
        <v>0</v>
      </c>
      <c r="T436" s="126">
        <v>0</v>
      </c>
      <c r="U436" s="126">
        <v>0</v>
      </c>
      <c r="V436" s="126">
        <v>0</v>
      </c>
      <c r="W436" s="126">
        <v>0</v>
      </c>
      <c r="X436" s="126">
        <v>0</v>
      </c>
      <c r="Y436" s="126">
        <v>0</v>
      </c>
      <c r="Z436" s="142">
        <v>0</v>
      </c>
      <c r="AA436" s="126">
        <v>0</v>
      </c>
      <c r="AB436" s="126">
        <v>0</v>
      </c>
      <c r="AC436" s="126">
        <v>0</v>
      </c>
      <c r="AD436" s="126">
        <v>0</v>
      </c>
      <c r="AE436" s="126">
        <v>0</v>
      </c>
      <c r="AF436" s="126">
        <v>0</v>
      </c>
      <c r="AG436" t="s">
        <v>3264</v>
      </c>
    </row>
    <row r="437" spans="1:33" x14ac:dyDescent="0.3">
      <c r="A437">
        <v>606</v>
      </c>
      <c r="B437" t="s">
        <v>2504</v>
      </c>
      <c r="C437" t="s">
        <v>247</v>
      </c>
      <c r="D437">
        <v>0</v>
      </c>
      <c r="E437">
        <v>1</v>
      </c>
      <c r="F437">
        <v>0</v>
      </c>
      <c r="G437">
        <v>0</v>
      </c>
      <c r="H437">
        <v>0</v>
      </c>
      <c r="I437">
        <v>0</v>
      </c>
      <c r="J437" s="28">
        <v>0</v>
      </c>
      <c r="K437" s="126">
        <v>0</v>
      </c>
      <c r="L437" s="126">
        <v>0</v>
      </c>
      <c r="M437" s="126">
        <v>0</v>
      </c>
      <c r="N437" s="126">
        <v>0</v>
      </c>
      <c r="O437" s="126">
        <v>0</v>
      </c>
      <c r="P437" s="126">
        <v>0</v>
      </c>
      <c r="Q437" s="126">
        <v>0</v>
      </c>
      <c r="R437" s="126">
        <v>0</v>
      </c>
      <c r="S437" s="126">
        <v>0</v>
      </c>
      <c r="T437" s="126">
        <v>0</v>
      </c>
      <c r="U437" s="126">
        <v>0</v>
      </c>
      <c r="V437" s="126">
        <v>0</v>
      </c>
      <c r="W437" s="126">
        <v>0</v>
      </c>
      <c r="X437" s="126">
        <v>0</v>
      </c>
      <c r="Y437" s="126">
        <v>0</v>
      </c>
      <c r="Z437" s="142">
        <v>13</v>
      </c>
      <c r="AA437" s="126">
        <v>0</v>
      </c>
      <c r="AB437" s="126">
        <v>0</v>
      </c>
      <c r="AC437" s="126">
        <v>0</v>
      </c>
      <c r="AD437" s="126">
        <v>0</v>
      </c>
      <c r="AE437" s="126">
        <v>0</v>
      </c>
      <c r="AF437" s="126">
        <v>0</v>
      </c>
      <c r="AG437" t="s">
        <v>3265</v>
      </c>
    </row>
    <row r="438" spans="1:33" x14ac:dyDescent="0.3">
      <c r="A438">
        <v>607</v>
      </c>
      <c r="B438" t="s">
        <v>2505</v>
      </c>
      <c r="C438" t="s">
        <v>247</v>
      </c>
      <c r="D438">
        <v>0</v>
      </c>
      <c r="E438">
        <v>44</v>
      </c>
      <c r="F438">
        <v>0</v>
      </c>
      <c r="G438">
        <v>0</v>
      </c>
      <c r="H438">
        <v>0</v>
      </c>
      <c r="I438">
        <v>0</v>
      </c>
      <c r="J438" s="28">
        <v>0</v>
      </c>
      <c r="K438" s="126">
        <v>0</v>
      </c>
      <c r="L438" s="126">
        <v>0</v>
      </c>
      <c r="M438" s="126">
        <v>0</v>
      </c>
      <c r="N438" s="126">
        <v>0</v>
      </c>
      <c r="O438" s="126">
        <v>0</v>
      </c>
      <c r="P438" s="126">
        <v>0</v>
      </c>
      <c r="Q438" s="126">
        <v>0</v>
      </c>
      <c r="R438" s="126">
        <v>0</v>
      </c>
      <c r="S438" s="126">
        <v>0</v>
      </c>
      <c r="T438" s="126">
        <v>0</v>
      </c>
      <c r="U438" s="126">
        <v>0</v>
      </c>
      <c r="V438" s="126">
        <v>0</v>
      </c>
      <c r="W438" s="126">
        <v>0</v>
      </c>
      <c r="X438" s="126">
        <v>0</v>
      </c>
      <c r="Y438" s="126">
        <v>0</v>
      </c>
      <c r="Z438" s="142">
        <v>0</v>
      </c>
      <c r="AA438" s="126">
        <v>0</v>
      </c>
      <c r="AB438" s="126">
        <v>0</v>
      </c>
      <c r="AC438" s="126">
        <v>0</v>
      </c>
      <c r="AD438" s="126">
        <v>0</v>
      </c>
      <c r="AE438" s="126">
        <v>0</v>
      </c>
      <c r="AF438" s="126">
        <v>0</v>
      </c>
      <c r="AG438" t="s">
        <v>3266</v>
      </c>
    </row>
    <row r="439" spans="1:33" x14ac:dyDescent="0.3">
      <c r="A439">
        <v>608</v>
      </c>
      <c r="B439" t="s">
        <v>2506</v>
      </c>
      <c r="C439" t="s">
        <v>247</v>
      </c>
      <c r="D439">
        <v>15</v>
      </c>
      <c r="E439">
        <v>0</v>
      </c>
      <c r="F439">
        <v>0</v>
      </c>
      <c r="G439">
        <v>0</v>
      </c>
      <c r="H439">
        <v>0</v>
      </c>
      <c r="I439">
        <v>0</v>
      </c>
      <c r="J439" s="28">
        <v>0</v>
      </c>
      <c r="K439" s="126">
        <v>0</v>
      </c>
      <c r="L439" s="126">
        <v>0</v>
      </c>
      <c r="M439" s="126">
        <v>0</v>
      </c>
      <c r="N439" s="126">
        <v>0</v>
      </c>
      <c r="O439" s="126">
        <v>0</v>
      </c>
      <c r="P439" s="126">
        <v>0</v>
      </c>
      <c r="Q439" s="126">
        <v>0</v>
      </c>
      <c r="R439" s="126">
        <v>0</v>
      </c>
      <c r="S439" s="126">
        <v>0.25</v>
      </c>
      <c r="T439" s="126">
        <v>15</v>
      </c>
      <c r="U439" s="126">
        <v>0</v>
      </c>
      <c r="V439" s="126">
        <v>0</v>
      </c>
      <c r="W439" s="126">
        <v>0</v>
      </c>
      <c r="X439" s="126">
        <v>0</v>
      </c>
      <c r="Y439" s="126">
        <v>0</v>
      </c>
      <c r="Z439" s="142">
        <v>0</v>
      </c>
      <c r="AA439" s="126">
        <v>0</v>
      </c>
      <c r="AB439" s="126">
        <v>0</v>
      </c>
      <c r="AC439" s="126">
        <v>0</v>
      </c>
      <c r="AD439" s="126">
        <v>0</v>
      </c>
      <c r="AE439" s="126">
        <v>6.08</v>
      </c>
      <c r="AF439" s="126">
        <v>31.2</v>
      </c>
      <c r="AG439" t="s">
        <v>3267</v>
      </c>
    </row>
    <row r="440" spans="1:33" x14ac:dyDescent="0.3">
      <c r="A440">
        <v>609</v>
      </c>
      <c r="B440" t="s">
        <v>3262</v>
      </c>
      <c r="C440" t="s">
        <v>247</v>
      </c>
      <c r="D440">
        <v>25</v>
      </c>
      <c r="E440">
        <v>0</v>
      </c>
      <c r="F440">
        <v>0</v>
      </c>
      <c r="G440">
        <v>0</v>
      </c>
      <c r="H440">
        <v>0</v>
      </c>
      <c r="I440">
        <v>0</v>
      </c>
      <c r="J440" s="28">
        <v>0</v>
      </c>
      <c r="K440" s="126">
        <v>0</v>
      </c>
      <c r="L440" s="126">
        <v>0</v>
      </c>
      <c r="M440" s="126">
        <v>0</v>
      </c>
      <c r="N440" s="126">
        <v>0</v>
      </c>
      <c r="O440" s="126">
        <v>0</v>
      </c>
      <c r="P440" s="126">
        <v>0</v>
      </c>
      <c r="Q440" s="126">
        <v>0</v>
      </c>
      <c r="R440" s="126">
        <v>0</v>
      </c>
      <c r="S440" s="126">
        <v>0</v>
      </c>
      <c r="T440" s="126">
        <v>0</v>
      </c>
      <c r="U440" s="126">
        <v>0</v>
      </c>
      <c r="V440" s="126">
        <v>0</v>
      </c>
      <c r="W440" s="126">
        <v>0</v>
      </c>
      <c r="X440" s="126">
        <v>0</v>
      </c>
      <c r="Y440" s="126">
        <v>0</v>
      </c>
      <c r="Z440" s="142">
        <v>0</v>
      </c>
      <c r="AA440" s="126">
        <v>0</v>
      </c>
      <c r="AB440" s="126">
        <v>0</v>
      </c>
      <c r="AC440" s="126">
        <v>0</v>
      </c>
      <c r="AD440" s="126">
        <v>0.2</v>
      </c>
      <c r="AE440" s="126">
        <v>0</v>
      </c>
      <c r="AF440" s="126">
        <v>0</v>
      </c>
      <c r="AG440" t="s">
        <v>2490</v>
      </c>
    </row>
    <row r="441" spans="1:33" x14ac:dyDescent="0.3">
      <c r="A441">
        <v>610</v>
      </c>
      <c r="B441" t="s">
        <v>3262</v>
      </c>
      <c r="C441" t="s">
        <v>247</v>
      </c>
      <c r="D441">
        <v>124</v>
      </c>
      <c r="E441">
        <v>0</v>
      </c>
      <c r="F441">
        <v>0</v>
      </c>
      <c r="G441">
        <v>0</v>
      </c>
      <c r="H441">
        <v>0</v>
      </c>
      <c r="I441">
        <v>0</v>
      </c>
      <c r="J441" s="28">
        <v>0</v>
      </c>
      <c r="K441" s="126">
        <v>0</v>
      </c>
      <c r="L441" s="126">
        <v>0</v>
      </c>
      <c r="M441" s="126">
        <v>0</v>
      </c>
      <c r="N441" s="126">
        <v>0</v>
      </c>
      <c r="O441" s="126">
        <v>0</v>
      </c>
      <c r="P441" s="126">
        <v>0</v>
      </c>
      <c r="Q441" s="126">
        <v>0</v>
      </c>
      <c r="R441" s="126">
        <v>0</v>
      </c>
      <c r="S441" s="126">
        <v>0</v>
      </c>
      <c r="T441" s="126">
        <v>0</v>
      </c>
      <c r="U441" s="126">
        <v>0</v>
      </c>
      <c r="V441" s="126">
        <v>0</v>
      </c>
      <c r="W441" s="126">
        <v>0</v>
      </c>
      <c r="X441" s="126">
        <v>0</v>
      </c>
      <c r="Y441" s="126">
        <v>0</v>
      </c>
      <c r="Z441" s="142">
        <v>0</v>
      </c>
      <c r="AA441" s="126">
        <v>0</v>
      </c>
      <c r="AB441" s="126">
        <v>0</v>
      </c>
      <c r="AC441" s="126">
        <v>0</v>
      </c>
      <c r="AD441" s="126">
        <v>0.02</v>
      </c>
      <c r="AE441" s="126">
        <v>0</v>
      </c>
      <c r="AF441" s="126">
        <v>0</v>
      </c>
      <c r="AG441" t="s">
        <v>2490</v>
      </c>
    </row>
    <row r="442" spans="1:33" x14ac:dyDescent="0.3">
      <c r="A442">
        <v>611</v>
      </c>
      <c r="B442" t="s">
        <v>3268</v>
      </c>
      <c r="C442" t="s">
        <v>247</v>
      </c>
      <c r="D442">
        <v>9</v>
      </c>
      <c r="E442">
        <v>0</v>
      </c>
      <c r="F442">
        <v>0</v>
      </c>
      <c r="G442">
        <v>0</v>
      </c>
      <c r="H442">
        <v>0</v>
      </c>
      <c r="I442">
        <v>0</v>
      </c>
      <c r="J442" s="28">
        <v>0</v>
      </c>
      <c r="K442" s="126">
        <v>0</v>
      </c>
      <c r="L442" s="126">
        <v>0</v>
      </c>
      <c r="M442" s="126">
        <v>0</v>
      </c>
      <c r="N442" s="126">
        <v>0</v>
      </c>
      <c r="O442" s="126">
        <v>0</v>
      </c>
      <c r="P442" s="126">
        <v>0</v>
      </c>
      <c r="Q442" s="126">
        <v>0</v>
      </c>
      <c r="R442" s="126">
        <v>0</v>
      </c>
      <c r="S442" s="126">
        <v>0</v>
      </c>
      <c r="T442" s="126">
        <v>0</v>
      </c>
      <c r="U442" s="126">
        <v>0</v>
      </c>
      <c r="V442" s="126">
        <v>0</v>
      </c>
      <c r="W442" s="126">
        <v>0</v>
      </c>
      <c r="X442" s="126">
        <v>0</v>
      </c>
      <c r="Y442" s="126">
        <v>0</v>
      </c>
      <c r="Z442" s="142">
        <v>0</v>
      </c>
      <c r="AA442" s="126">
        <v>0</v>
      </c>
      <c r="AB442" s="126">
        <v>0</v>
      </c>
      <c r="AC442" s="126">
        <v>0</v>
      </c>
      <c r="AD442" s="126">
        <v>0.01</v>
      </c>
      <c r="AE442" s="126">
        <v>0</v>
      </c>
      <c r="AF442" s="126">
        <v>0</v>
      </c>
      <c r="AG442" t="s">
        <v>337</v>
      </c>
    </row>
    <row r="443" spans="1:33" x14ac:dyDescent="0.3">
      <c r="A443">
        <v>612</v>
      </c>
      <c r="B443" t="s">
        <v>2507</v>
      </c>
      <c r="C443" t="s">
        <v>247</v>
      </c>
      <c r="D443">
        <v>32</v>
      </c>
      <c r="E443">
        <v>0</v>
      </c>
      <c r="F443">
        <v>0</v>
      </c>
      <c r="G443">
        <v>0</v>
      </c>
      <c r="H443">
        <v>0</v>
      </c>
      <c r="I443">
        <v>0</v>
      </c>
      <c r="J443" s="28">
        <v>0</v>
      </c>
      <c r="K443" s="126">
        <v>0</v>
      </c>
      <c r="L443" s="126">
        <v>0</v>
      </c>
      <c r="M443" s="126">
        <v>0</v>
      </c>
      <c r="N443" s="126">
        <v>0</v>
      </c>
      <c r="O443" s="126">
        <v>0</v>
      </c>
      <c r="P443" s="126">
        <v>0</v>
      </c>
      <c r="Q443" s="126">
        <v>0</v>
      </c>
      <c r="R443" s="126">
        <v>0</v>
      </c>
      <c r="S443" s="126">
        <v>0.15</v>
      </c>
      <c r="T443" s="126">
        <v>15</v>
      </c>
      <c r="U443" s="126">
        <v>0</v>
      </c>
      <c r="V443" s="126">
        <v>0</v>
      </c>
      <c r="W443" s="126">
        <v>0</v>
      </c>
      <c r="X443" s="126">
        <v>0</v>
      </c>
      <c r="Y443" s="126">
        <v>0</v>
      </c>
      <c r="Z443" s="142">
        <v>0</v>
      </c>
      <c r="AA443" s="126">
        <v>0</v>
      </c>
      <c r="AB443" s="126">
        <v>0</v>
      </c>
      <c r="AC443" s="126">
        <v>0</v>
      </c>
      <c r="AD443" s="126">
        <v>0</v>
      </c>
      <c r="AE443" s="126">
        <v>3.6480000000000001</v>
      </c>
      <c r="AF443" s="126">
        <v>45.5</v>
      </c>
      <c r="AG443" t="s">
        <v>3269</v>
      </c>
    </row>
    <row r="444" spans="1:33" x14ac:dyDescent="0.3">
      <c r="A444">
        <v>613</v>
      </c>
      <c r="B444" t="s">
        <v>2508</v>
      </c>
      <c r="C444" t="s">
        <v>247</v>
      </c>
      <c r="D444">
        <v>20</v>
      </c>
      <c r="E444">
        <v>0</v>
      </c>
      <c r="F444">
        <v>0</v>
      </c>
      <c r="G444">
        <v>0</v>
      </c>
      <c r="H444">
        <v>0</v>
      </c>
      <c r="I444">
        <v>0</v>
      </c>
      <c r="J444" s="28">
        <v>0</v>
      </c>
      <c r="K444" s="126">
        <v>0</v>
      </c>
      <c r="L444" s="126">
        <v>0</v>
      </c>
      <c r="M444" s="126">
        <v>0</v>
      </c>
      <c r="N444" s="126">
        <v>0</v>
      </c>
      <c r="O444" s="126">
        <v>0</v>
      </c>
      <c r="P444" s="126">
        <v>0</v>
      </c>
      <c r="Q444" s="126">
        <v>0</v>
      </c>
      <c r="R444" s="126">
        <v>0</v>
      </c>
      <c r="S444" s="126">
        <v>0.7</v>
      </c>
      <c r="T444" s="126">
        <v>50</v>
      </c>
      <c r="U444" s="126">
        <v>0</v>
      </c>
      <c r="V444" s="126">
        <v>0</v>
      </c>
      <c r="W444" s="126">
        <v>0</v>
      </c>
      <c r="X444" s="126">
        <v>0</v>
      </c>
      <c r="Y444" s="126">
        <v>0</v>
      </c>
      <c r="Z444" s="142">
        <v>0</v>
      </c>
      <c r="AA444" s="126">
        <v>0</v>
      </c>
      <c r="AB444" s="126">
        <v>0</v>
      </c>
      <c r="AC444" s="126">
        <v>0</v>
      </c>
      <c r="AD444" s="126">
        <v>0</v>
      </c>
      <c r="AE444" s="126">
        <v>7.024</v>
      </c>
      <c r="AF444" s="126">
        <v>32.5</v>
      </c>
      <c r="AG444" t="s">
        <v>3270</v>
      </c>
    </row>
    <row r="445" spans="1:33" x14ac:dyDescent="0.3">
      <c r="A445">
        <v>614</v>
      </c>
      <c r="B445" t="s">
        <v>2509</v>
      </c>
      <c r="C445" t="s">
        <v>247</v>
      </c>
      <c r="D445">
        <v>15</v>
      </c>
      <c r="E445">
        <v>0</v>
      </c>
      <c r="F445">
        <v>0</v>
      </c>
      <c r="G445">
        <v>0</v>
      </c>
      <c r="H445">
        <v>0</v>
      </c>
      <c r="I445">
        <v>0</v>
      </c>
      <c r="J445" s="28">
        <v>0</v>
      </c>
      <c r="K445" s="126">
        <v>0</v>
      </c>
      <c r="L445" s="126">
        <v>0</v>
      </c>
      <c r="M445" s="126">
        <v>0</v>
      </c>
      <c r="N445" s="126">
        <v>0</v>
      </c>
      <c r="O445" s="126">
        <v>0</v>
      </c>
      <c r="P445" s="126">
        <v>0</v>
      </c>
      <c r="Q445" s="126">
        <v>0</v>
      </c>
      <c r="R445" s="126">
        <v>0</v>
      </c>
      <c r="S445" s="126">
        <v>0.25</v>
      </c>
      <c r="T445" s="126">
        <v>13</v>
      </c>
      <c r="U445" s="126">
        <v>0</v>
      </c>
      <c r="V445" s="126">
        <v>0</v>
      </c>
      <c r="W445" s="126">
        <v>0</v>
      </c>
      <c r="X445" s="126">
        <v>0</v>
      </c>
      <c r="Y445" s="126">
        <v>0</v>
      </c>
      <c r="Z445" s="142">
        <v>0</v>
      </c>
      <c r="AA445" s="126">
        <v>0</v>
      </c>
      <c r="AB445" s="126">
        <v>0</v>
      </c>
      <c r="AC445" s="126">
        <v>0</v>
      </c>
      <c r="AD445" s="126">
        <v>0</v>
      </c>
      <c r="AE445" s="126">
        <v>0</v>
      </c>
      <c r="AF445" s="126">
        <v>26</v>
      </c>
      <c r="AG445" t="s">
        <v>3271</v>
      </c>
    </row>
    <row r="446" spans="1:33" x14ac:dyDescent="0.3">
      <c r="A446">
        <v>615</v>
      </c>
      <c r="B446" t="s">
        <v>2510</v>
      </c>
      <c r="C446" t="s">
        <v>247</v>
      </c>
      <c r="D446">
        <v>51</v>
      </c>
      <c r="E446">
        <v>0</v>
      </c>
      <c r="F446">
        <v>0</v>
      </c>
      <c r="G446">
        <v>0</v>
      </c>
      <c r="H446">
        <v>0</v>
      </c>
      <c r="I446">
        <v>0</v>
      </c>
      <c r="J446" s="28">
        <v>0</v>
      </c>
      <c r="K446" s="126">
        <v>0</v>
      </c>
      <c r="L446" s="126">
        <v>0</v>
      </c>
      <c r="M446" s="126">
        <v>0</v>
      </c>
      <c r="N446" s="126">
        <v>0.30499999999999999</v>
      </c>
      <c r="O446" s="126">
        <v>0</v>
      </c>
      <c r="P446" s="126">
        <v>0</v>
      </c>
      <c r="Q446" s="126">
        <v>0</v>
      </c>
      <c r="R446" s="126">
        <v>0</v>
      </c>
      <c r="S446" s="126">
        <v>0</v>
      </c>
      <c r="T446" s="126">
        <v>0</v>
      </c>
      <c r="U446" s="126">
        <v>0</v>
      </c>
      <c r="V446" s="126">
        <v>0</v>
      </c>
      <c r="W446" s="126">
        <v>0</v>
      </c>
      <c r="X446" s="126">
        <v>0</v>
      </c>
      <c r="Y446" s="126">
        <v>0</v>
      </c>
      <c r="Z446" s="142">
        <v>9</v>
      </c>
      <c r="AA446" s="126">
        <v>0</v>
      </c>
      <c r="AB446" s="126">
        <v>0</v>
      </c>
      <c r="AC446" s="126">
        <v>0</v>
      </c>
      <c r="AD446" s="126">
        <v>0</v>
      </c>
      <c r="AE446" s="126">
        <v>5</v>
      </c>
      <c r="AF446" s="126">
        <v>2.6</v>
      </c>
      <c r="AG446" t="s">
        <v>3272</v>
      </c>
    </row>
    <row r="447" spans="1:33" x14ac:dyDescent="0.3">
      <c r="A447">
        <v>616</v>
      </c>
      <c r="B447" t="s">
        <v>3273</v>
      </c>
      <c r="C447" t="s">
        <v>247</v>
      </c>
      <c r="D447">
        <v>17</v>
      </c>
      <c r="E447">
        <v>0</v>
      </c>
      <c r="F447">
        <v>0</v>
      </c>
      <c r="G447">
        <v>0</v>
      </c>
      <c r="H447">
        <v>0</v>
      </c>
      <c r="I447">
        <v>0</v>
      </c>
      <c r="J447" s="28">
        <v>0</v>
      </c>
      <c r="K447" s="126">
        <v>0</v>
      </c>
      <c r="L447" s="126">
        <v>0</v>
      </c>
      <c r="M447" s="126">
        <v>0</v>
      </c>
      <c r="N447" s="126">
        <v>0</v>
      </c>
      <c r="O447" s="126">
        <v>0</v>
      </c>
      <c r="P447" s="126">
        <v>0</v>
      </c>
      <c r="Q447" s="126">
        <v>0</v>
      </c>
      <c r="R447" s="126">
        <v>0</v>
      </c>
      <c r="S447" s="126">
        <v>0.85</v>
      </c>
      <c r="T447" s="126">
        <v>50</v>
      </c>
      <c r="U447" s="126">
        <v>0</v>
      </c>
      <c r="V447" s="126">
        <v>0</v>
      </c>
      <c r="W447" s="126">
        <v>0</v>
      </c>
      <c r="X447" s="126">
        <v>0</v>
      </c>
      <c r="Y447" s="126">
        <v>0</v>
      </c>
      <c r="Z447" s="142">
        <v>0</v>
      </c>
      <c r="AA447" s="126">
        <v>0</v>
      </c>
      <c r="AB447" s="126">
        <v>0</v>
      </c>
      <c r="AC447" s="126">
        <v>0</v>
      </c>
      <c r="AD447" s="126">
        <v>0</v>
      </c>
      <c r="AE447" s="126">
        <v>0</v>
      </c>
      <c r="AF447" s="126">
        <v>12.188000000000001</v>
      </c>
      <c r="AG447" t="s">
        <v>3274</v>
      </c>
    </row>
    <row r="448" spans="1:33" x14ac:dyDescent="0.3">
      <c r="A448">
        <v>617</v>
      </c>
      <c r="B448" t="s">
        <v>3275</v>
      </c>
      <c r="C448" t="s">
        <v>247</v>
      </c>
      <c r="D448">
        <v>17</v>
      </c>
      <c r="E448">
        <v>0</v>
      </c>
      <c r="F448">
        <v>0</v>
      </c>
      <c r="G448">
        <v>0</v>
      </c>
      <c r="H448">
        <v>0</v>
      </c>
      <c r="I448">
        <v>0</v>
      </c>
      <c r="J448" s="28">
        <v>0</v>
      </c>
      <c r="K448" s="126">
        <v>0</v>
      </c>
      <c r="L448" s="126">
        <v>0</v>
      </c>
      <c r="M448" s="126">
        <v>0</v>
      </c>
      <c r="N448" s="126">
        <v>0</v>
      </c>
      <c r="O448" s="126">
        <v>0</v>
      </c>
      <c r="P448" s="126">
        <v>0</v>
      </c>
      <c r="Q448" s="126">
        <v>0</v>
      </c>
      <c r="R448" s="126">
        <v>0</v>
      </c>
      <c r="S448" s="126">
        <v>0.25</v>
      </c>
      <c r="T448" s="126">
        <v>5</v>
      </c>
      <c r="U448" s="126">
        <v>0</v>
      </c>
      <c r="V448" s="126">
        <v>0</v>
      </c>
      <c r="W448" s="126">
        <v>0</v>
      </c>
      <c r="X448" s="126">
        <v>0</v>
      </c>
      <c r="Y448" s="126">
        <v>0</v>
      </c>
      <c r="Z448" s="142">
        <v>5</v>
      </c>
      <c r="AA448" s="126">
        <v>0</v>
      </c>
      <c r="AB448" s="126">
        <v>0</v>
      </c>
      <c r="AC448" s="126">
        <v>0</v>
      </c>
      <c r="AD448" s="126">
        <v>0</v>
      </c>
      <c r="AE448" s="126">
        <v>0</v>
      </c>
      <c r="AF448" s="126">
        <v>10.4</v>
      </c>
      <c r="AG448" t="s">
        <v>3276</v>
      </c>
    </row>
    <row r="449" spans="1:33" x14ac:dyDescent="0.3">
      <c r="A449">
        <v>618</v>
      </c>
      <c r="B449" t="s">
        <v>3262</v>
      </c>
      <c r="C449" t="s">
        <v>247</v>
      </c>
      <c r="D449">
        <v>50</v>
      </c>
      <c r="E449">
        <v>0</v>
      </c>
      <c r="F449">
        <v>0</v>
      </c>
      <c r="G449">
        <v>0</v>
      </c>
      <c r="H449">
        <v>0</v>
      </c>
      <c r="I449">
        <v>0</v>
      </c>
      <c r="J449" s="28">
        <v>0</v>
      </c>
      <c r="K449" s="126">
        <v>0</v>
      </c>
      <c r="L449" s="126">
        <v>0</v>
      </c>
      <c r="M449" s="126">
        <v>0</v>
      </c>
      <c r="N449" s="126">
        <v>0</v>
      </c>
      <c r="O449" s="126">
        <v>0</v>
      </c>
      <c r="P449" s="126">
        <v>0</v>
      </c>
      <c r="Q449" s="126">
        <v>0</v>
      </c>
      <c r="R449" s="126">
        <v>0</v>
      </c>
      <c r="S449" s="126">
        <v>0</v>
      </c>
      <c r="T449" s="126">
        <v>0</v>
      </c>
      <c r="U449" s="126">
        <v>0</v>
      </c>
      <c r="V449" s="126">
        <v>0</v>
      </c>
      <c r="W449" s="126">
        <v>0</v>
      </c>
      <c r="X449" s="126">
        <v>0</v>
      </c>
      <c r="Y449" s="126">
        <v>0</v>
      </c>
      <c r="Z449" s="142">
        <v>0</v>
      </c>
      <c r="AA449" s="126">
        <v>0</v>
      </c>
      <c r="AB449" s="126">
        <v>0</v>
      </c>
      <c r="AC449" s="126">
        <v>0</v>
      </c>
      <c r="AD449" s="126">
        <v>0.02</v>
      </c>
      <c r="AE449" s="126">
        <v>0</v>
      </c>
      <c r="AF449" s="126">
        <v>0</v>
      </c>
      <c r="AG449" t="s">
        <v>2490</v>
      </c>
    </row>
    <row r="450" spans="1:33" x14ac:dyDescent="0.3">
      <c r="A450">
        <v>619</v>
      </c>
      <c r="B450" t="s">
        <v>3268</v>
      </c>
      <c r="C450" t="s">
        <v>247</v>
      </c>
      <c r="D450">
        <v>10</v>
      </c>
      <c r="E450">
        <v>0</v>
      </c>
      <c r="F450">
        <v>0</v>
      </c>
      <c r="G450">
        <v>0</v>
      </c>
      <c r="H450">
        <v>0</v>
      </c>
      <c r="I450">
        <v>0</v>
      </c>
      <c r="J450" s="28">
        <v>0</v>
      </c>
      <c r="K450" s="126">
        <v>0</v>
      </c>
      <c r="L450" s="126">
        <v>0</v>
      </c>
      <c r="M450" s="126">
        <v>0</v>
      </c>
      <c r="N450" s="126">
        <v>0</v>
      </c>
      <c r="O450" s="126">
        <v>0</v>
      </c>
      <c r="P450" s="126">
        <v>0</v>
      </c>
      <c r="Q450" s="126">
        <v>0</v>
      </c>
      <c r="R450" s="126">
        <v>0</v>
      </c>
      <c r="S450" s="126">
        <v>0</v>
      </c>
      <c r="T450" s="126">
        <v>0</v>
      </c>
      <c r="U450" s="126">
        <v>0</v>
      </c>
      <c r="V450" s="126">
        <v>0</v>
      </c>
      <c r="W450" s="126">
        <v>0</v>
      </c>
      <c r="X450" s="126">
        <v>0</v>
      </c>
      <c r="Y450" s="126">
        <v>0</v>
      </c>
      <c r="Z450" s="142">
        <v>0</v>
      </c>
      <c r="AA450" s="126">
        <v>0</v>
      </c>
      <c r="AB450" s="126">
        <v>0</v>
      </c>
      <c r="AC450" s="126">
        <v>0</v>
      </c>
      <c r="AD450" s="126">
        <v>0.01</v>
      </c>
      <c r="AE450" s="126">
        <v>0</v>
      </c>
      <c r="AF450" s="126">
        <v>0</v>
      </c>
      <c r="AG450" t="s">
        <v>337</v>
      </c>
    </row>
    <row r="451" spans="1:33" x14ac:dyDescent="0.3">
      <c r="A451">
        <v>620</v>
      </c>
      <c r="B451" t="s">
        <v>2511</v>
      </c>
      <c r="C451" t="s">
        <v>247</v>
      </c>
      <c r="D451">
        <v>44</v>
      </c>
      <c r="E451">
        <v>0</v>
      </c>
      <c r="F451">
        <v>0</v>
      </c>
      <c r="G451">
        <v>0</v>
      </c>
      <c r="H451">
        <v>0</v>
      </c>
      <c r="I451">
        <v>0</v>
      </c>
      <c r="J451" s="28">
        <v>0</v>
      </c>
      <c r="K451" s="126">
        <v>0</v>
      </c>
      <c r="L451" s="126">
        <v>0</v>
      </c>
      <c r="M451" s="126">
        <v>0</v>
      </c>
      <c r="N451" s="126">
        <v>0</v>
      </c>
      <c r="O451" s="126">
        <v>0</v>
      </c>
      <c r="P451" s="126">
        <v>0</v>
      </c>
      <c r="Q451" s="126">
        <v>0</v>
      </c>
      <c r="R451" s="126">
        <v>0</v>
      </c>
      <c r="S451" s="126">
        <v>0.25</v>
      </c>
      <c r="T451" s="126">
        <v>13</v>
      </c>
      <c r="U451" s="126">
        <v>0</v>
      </c>
      <c r="V451" s="126">
        <v>0</v>
      </c>
      <c r="W451" s="126">
        <v>0</v>
      </c>
      <c r="X451" s="126">
        <v>0</v>
      </c>
      <c r="Y451" s="126">
        <v>0</v>
      </c>
      <c r="Z451" s="142">
        <v>0</v>
      </c>
      <c r="AA451" s="126">
        <v>0</v>
      </c>
      <c r="AB451" s="126">
        <v>0</v>
      </c>
      <c r="AC451" s="126">
        <v>0</v>
      </c>
      <c r="AD451" s="126">
        <v>0</v>
      </c>
      <c r="AE451" s="126">
        <v>6.08</v>
      </c>
      <c r="AF451" s="126">
        <v>26</v>
      </c>
      <c r="AG451" t="s">
        <v>3277</v>
      </c>
    </row>
    <row r="452" spans="1:33" x14ac:dyDescent="0.3">
      <c r="A452">
        <v>621</v>
      </c>
      <c r="B452" t="s">
        <v>3268</v>
      </c>
      <c r="C452" t="s">
        <v>247</v>
      </c>
      <c r="D452">
        <v>7</v>
      </c>
      <c r="E452">
        <v>0</v>
      </c>
      <c r="F452">
        <v>0</v>
      </c>
      <c r="G452">
        <v>0</v>
      </c>
      <c r="H452">
        <v>0</v>
      </c>
      <c r="I452">
        <v>0</v>
      </c>
      <c r="J452" s="28">
        <v>0</v>
      </c>
      <c r="K452" s="126">
        <v>0</v>
      </c>
      <c r="L452" s="126">
        <v>0</v>
      </c>
      <c r="M452" s="126">
        <v>0</v>
      </c>
      <c r="N452" s="126">
        <v>0</v>
      </c>
      <c r="O452" s="126">
        <v>0</v>
      </c>
      <c r="P452" s="126">
        <v>0</v>
      </c>
      <c r="Q452" s="126">
        <v>0</v>
      </c>
      <c r="R452" s="126">
        <v>0</v>
      </c>
      <c r="S452" s="126">
        <v>0</v>
      </c>
      <c r="T452" s="126">
        <v>0</v>
      </c>
      <c r="U452" s="126">
        <v>0</v>
      </c>
      <c r="V452" s="126">
        <v>0</v>
      </c>
      <c r="W452" s="126">
        <v>0</v>
      </c>
      <c r="X452" s="126">
        <v>0</v>
      </c>
      <c r="Y452" s="126">
        <v>0</v>
      </c>
      <c r="Z452" s="142">
        <v>0</v>
      </c>
      <c r="AA452" s="126">
        <v>0</v>
      </c>
      <c r="AB452" s="126">
        <v>0</v>
      </c>
      <c r="AC452" s="126">
        <v>0</v>
      </c>
      <c r="AD452" s="126">
        <v>0.01</v>
      </c>
      <c r="AE452" s="126">
        <v>0</v>
      </c>
      <c r="AF452" s="126">
        <v>0</v>
      </c>
      <c r="AG452" t="s">
        <v>337</v>
      </c>
    </row>
    <row r="453" spans="1:33" x14ac:dyDescent="0.3">
      <c r="A453">
        <v>622</v>
      </c>
      <c r="B453" t="s">
        <v>3268</v>
      </c>
      <c r="C453" t="s">
        <v>247</v>
      </c>
      <c r="D453">
        <v>5</v>
      </c>
      <c r="E453">
        <v>0</v>
      </c>
      <c r="F453">
        <v>0</v>
      </c>
      <c r="G453">
        <v>0</v>
      </c>
      <c r="H453">
        <v>0</v>
      </c>
      <c r="I453">
        <v>0</v>
      </c>
      <c r="J453" s="28">
        <v>0</v>
      </c>
      <c r="K453" s="126">
        <v>0</v>
      </c>
      <c r="L453" s="126">
        <v>0</v>
      </c>
      <c r="M453" s="126">
        <v>0</v>
      </c>
      <c r="N453" s="126">
        <v>0</v>
      </c>
      <c r="O453" s="126">
        <v>0</v>
      </c>
      <c r="P453" s="126">
        <v>0</v>
      </c>
      <c r="Q453" s="126">
        <v>0</v>
      </c>
      <c r="R453" s="126">
        <v>0</v>
      </c>
      <c r="S453" s="126">
        <v>0</v>
      </c>
      <c r="T453" s="126">
        <v>0</v>
      </c>
      <c r="U453" s="126">
        <v>0</v>
      </c>
      <c r="V453" s="126">
        <v>0</v>
      </c>
      <c r="W453" s="126">
        <v>0</v>
      </c>
      <c r="X453" s="126">
        <v>0</v>
      </c>
      <c r="Y453" s="126">
        <v>0</v>
      </c>
      <c r="Z453" s="142">
        <v>0</v>
      </c>
      <c r="AA453" s="126">
        <v>0</v>
      </c>
      <c r="AB453" s="126">
        <v>0</v>
      </c>
      <c r="AC453" s="126">
        <v>0</v>
      </c>
      <c r="AD453" s="126">
        <v>0.01</v>
      </c>
      <c r="AE453" s="126">
        <v>0</v>
      </c>
      <c r="AF453" s="126">
        <v>0</v>
      </c>
      <c r="AG453" t="s">
        <v>337</v>
      </c>
    </row>
    <row r="454" spans="1:33" x14ac:dyDescent="0.3">
      <c r="A454">
        <v>623</v>
      </c>
      <c r="B454" t="s">
        <v>2501</v>
      </c>
      <c r="C454" t="s">
        <v>247</v>
      </c>
      <c r="D454">
        <v>25</v>
      </c>
      <c r="E454">
        <v>0</v>
      </c>
      <c r="F454">
        <v>0</v>
      </c>
      <c r="G454">
        <v>0</v>
      </c>
      <c r="H454">
        <v>0</v>
      </c>
      <c r="I454">
        <v>0</v>
      </c>
      <c r="J454" s="28">
        <v>0</v>
      </c>
      <c r="K454" s="126">
        <v>0</v>
      </c>
      <c r="L454" s="126">
        <v>0</v>
      </c>
      <c r="M454" s="126">
        <v>0</v>
      </c>
      <c r="N454" s="126">
        <v>0</v>
      </c>
      <c r="O454" s="126">
        <v>0</v>
      </c>
      <c r="P454" s="126">
        <v>0</v>
      </c>
      <c r="Q454" s="126">
        <v>0</v>
      </c>
      <c r="R454" s="126">
        <v>0</v>
      </c>
      <c r="S454" s="126">
        <v>0</v>
      </c>
      <c r="T454" s="126">
        <v>0</v>
      </c>
      <c r="U454" s="126">
        <v>-600</v>
      </c>
      <c r="V454" s="126">
        <v>0</v>
      </c>
      <c r="W454" s="126">
        <v>0</v>
      </c>
      <c r="X454" s="126">
        <v>0</v>
      </c>
      <c r="Y454" s="126">
        <v>0</v>
      </c>
      <c r="Z454" s="142">
        <v>2</v>
      </c>
      <c r="AA454" s="126">
        <v>0.15</v>
      </c>
      <c r="AB454" s="126">
        <v>0.15</v>
      </c>
      <c r="AC454" s="126">
        <v>0</v>
      </c>
      <c r="AD454" s="126">
        <v>0</v>
      </c>
      <c r="AE454" s="126">
        <v>16.47</v>
      </c>
      <c r="AF454" s="126">
        <v>0.15</v>
      </c>
      <c r="AG454" t="s">
        <v>3278</v>
      </c>
    </row>
    <row r="455" spans="1:33" x14ac:dyDescent="0.3">
      <c r="A455">
        <v>624</v>
      </c>
      <c r="B455" t="s">
        <v>2501</v>
      </c>
      <c r="C455" t="s">
        <v>247</v>
      </c>
      <c r="D455">
        <v>0</v>
      </c>
      <c r="E455">
        <v>9</v>
      </c>
      <c r="F455">
        <v>0</v>
      </c>
      <c r="G455">
        <v>0</v>
      </c>
      <c r="H455">
        <v>0</v>
      </c>
      <c r="I455">
        <v>0</v>
      </c>
      <c r="J455" s="28">
        <v>0</v>
      </c>
      <c r="K455" s="126">
        <v>0</v>
      </c>
      <c r="L455" s="126">
        <v>0</v>
      </c>
      <c r="M455" s="126">
        <v>0</v>
      </c>
      <c r="N455" s="126">
        <v>0</v>
      </c>
      <c r="O455" s="126">
        <v>0</v>
      </c>
      <c r="P455" s="126">
        <v>0</v>
      </c>
      <c r="Q455" s="126">
        <v>0</v>
      </c>
      <c r="R455" s="126">
        <v>0</v>
      </c>
      <c r="S455" s="126">
        <v>0</v>
      </c>
      <c r="T455" s="126">
        <v>0</v>
      </c>
      <c r="U455" s="126">
        <v>0</v>
      </c>
      <c r="V455" s="126">
        <v>0</v>
      </c>
      <c r="W455" s="126">
        <v>0</v>
      </c>
      <c r="X455" s="126">
        <v>0</v>
      </c>
      <c r="Y455" s="126">
        <v>0</v>
      </c>
      <c r="Z455" s="142">
        <v>2</v>
      </c>
      <c r="AA455" s="126">
        <v>0.95</v>
      </c>
      <c r="AB455" s="126">
        <v>0</v>
      </c>
      <c r="AC455" s="126">
        <v>0</v>
      </c>
      <c r="AD455" s="126">
        <v>0</v>
      </c>
      <c r="AE455" s="126">
        <v>6.47</v>
      </c>
      <c r="AF455" s="126">
        <v>0.15</v>
      </c>
      <c r="AG455" t="s">
        <v>3253</v>
      </c>
    </row>
    <row r="456" spans="1:33" x14ac:dyDescent="0.3">
      <c r="A456">
        <v>625</v>
      </c>
      <c r="B456" t="s">
        <v>2501</v>
      </c>
      <c r="C456" t="s">
        <v>247</v>
      </c>
      <c r="D456">
        <v>35</v>
      </c>
      <c r="E456">
        <v>0</v>
      </c>
      <c r="F456">
        <v>0</v>
      </c>
      <c r="G456">
        <v>0</v>
      </c>
      <c r="H456">
        <v>0</v>
      </c>
      <c r="I456">
        <v>0</v>
      </c>
      <c r="J456" s="28">
        <v>0</v>
      </c>
      <c r="K456" s="126">
        <v>0</v>
      </c>
      <c r="L456" s="126">
        <v>0</v>
      </c>
      <c r="M456" s="126">
        <v>0</v>
      </c>
      <c r="N456" s="126">
        <v>0</v>
      </c>
      <c r="O456" s="126">
        <v>0</v>
      </c>
      <c r="P456" s="126">
        <v>0</v>
      </c>
      <c r="Q456" s="126">
        <v>0</v>
      </c>
      <c r="R456" s="126">
        <v>0</v>
      </c>
      <c r="S456" s="126">
        <v>0</v>
      </c>
      <c r="T456" s="126">
        <v>0</v>
      </c>
      <c r="U456" s="126">
        <v>0</v>
      </c>
      <c r="V456" s="126">
        <v>0</v>
      </c>
      <c r="W456" s="126">
        <v>0</v>
      </c>
      <c r="X456" s="126">
        <v>0</v>
      </c>
      <c r="Y456" s="126">
        <v>0</v>
      </c>
      <c r="Z456" s="142">
        <v>2</v>
      </c>
      <c r="AA456" s="126">
        <v>0.95</v>
      </c>
      <c r="AB456" s="126">
        <v>0</v>
      </c>
      <c r="AC456" s="126">
        <v>0</v>
      </c>
      <c r="AD456" s="126">
        <v>0</v>
      </c>
      <c r="AE456" s="126">
        <v>6.47</v>
      </c>
      <c r="AF456" s="126">
        <v>0.15</v>
      </c>
      <c r="AG456" t="s">
        <v>3253</v>
      </c>
    </row>
    <row r="457" spans="1:33" x14ac:dyDescent="0.3">
      <c r="A457">
        <v>626</v>
      </c>
      <c r="B457" t="s">
        <v>2501</v>
      </c>
      <c r="C457" t="s">
        <v>247</v>
      </c>
      <c r="D457">
        <v>0</v>
      </c>
      <c r="E457">
        <v>51</v>
      </c>
      <c r="F457">
        <v>0</v>
      </c>
      <c r="G457">
        <v>0</v>
      </c>
      <c r="H457">
        <v>0</v>
      </c>
      <c r="I457">
        <v>0</v>
      </c>
      <c r="J457" s="28">
        <v>0</v>
      </c>
      <c r="K457" s="126">
        <v>0</v>
      </c>
      <c r="L457" s="126">
        <v>0</v>
      </c>
      <c r="M457" s="126">
        <v>0</v>
      </c>
      <c r="N457" s="126">
        <v>0</v>
      </c>
      <c r="O457" s="126">
        <v>0</v>
      </c>
      <c r="P457" s="126">
        <v>0</v>
      </c>
      <c r="Q457" s="126">
        <v>0</v>
      </c>
      <c r="R457" s="126">
        <v>0</v>
      </c>
      <c r="S457" s="126">
        <v>0</v>
      </c>
      <c r="T457" s="126">
        <v>0</v>
      </c>
      <c r="U457" s="126">
        <v>-50</v>
      </c>
      <c r="V457" s="126">
        <v>0</v>
      </c>
      <c r="W457" s="126">
        <v>0</v>
      </c>
      <c r="X457" s="126">
        <v>0</v>
      </c>
      <c r="Y457" s="126">
        <v>0</v>
      </c>
      <c r="Z457" s="142">
        <v>2</v>
      </c>
      <c r="AA457" s="126">
        <v>0.95</v>
      </c>
      <c r="AB457" s="126">
        <v>0.9</v>
      </c>
      <c r="AC457" s="126">
        <v>0</v>
      </c>
      <c r="AD457" s="126">
        <v>0</v>
      </c>
      <c r="AE457" s="126">
        <v>16.47</v>
      </c>
      <c r="AF457" s="126">
        <v>0.15</v>
      </c>
      <c r="AG457" t="s">
        <v>3278</v>
      </c>
    </row>
    <row r="458" spans="1:33" x14ac:dyDescent="0.3">
      <c r="A458">
        <v>627</v>
      </c>
      <c r="B458" t="s">
        <v>2501</v>
      </c>
      <c r="C458" t="s">
        <v>247</v>
      </c>
      <c r="D458">
        <v>50</v>
      </c>
      <c r="E458">
        <v>0</v>
      </c>
      <c r="F458">
        <v>0</v>
      </c>
      <c r="G458">
        <v>0</v>
      </c>
      <c r="H458">
        <v>0</v>
      </c>
      <c r="I458">
        <v>0</v>
      </c>
      <c r="J458" s="28">
        <v>0</v>
      </c>
      <c r="K458" s="126">
        <v>0</v>
      </c>
      <c r="L458" s="126">
        <v>0</v>
      </c>
      <c r="M458" s="126">
        <v>0</v>
      </c>
      <c r="N458" s="126">
        <v>0</v>
      </c>
      <c r="O458" s="126">
        <v>0</v>
      </c>
      <c r="P458" s="126">
        <v>0</v>
      </c>
      <c r="Q458" s="126">
        <v>0</v>
      </c>
      <c r="R458" s="126">
        <v>0</v>
      </c>
      <c r="S458" s="126">
        <v>0</v>
      </c>
      <c r="T458" s="126">
        <v>0</v>
      </c>
      <c r="U458" s="126">
        <v>-50</v>
      </c>
      <c r="V458" s="126">
        <v>0</v>
      </c>
      <c r="W458" s="126">
        <v>0</v>
      </c>
      <c r="X458" s="126">
        <v>0</v>
      </c>
      <c r="Y458" s="126">
        <v>0</v>
      </c>
      <c r="Z458" s="142">
        <v>2</v>
      </c>
      <c r="AA458" s="126">
        <v>0.95</v>
      </c>
      <c r="AB458" s="126">
        <v>0.9</v>
      </c>
      <c r="AC458" s="126">
        <v>0</v>
      </c>
      <c r="AD458" s="126">
        <v>0</v>
      </c>
      <c r="AE458" s="126">
        <v>16.47</v>
      </c>
      <c r="AF458" s="126">
        <v>0.15</v>
      </c>
      <c r="AG458" t="s">
        <v>3278</v>
      </c>
    </row>
    <row r="459" spans="1:33" x14ac:dyDescent="0.3">
      <c r="A459">
        <v>628</v>
      </c>
      <c r="B459" t="s">
        <v>2501</v>
      </c>
      <c r="C459" t="s">
        <v>247</v>
      </c>
      <c r="D459">
        <v>0</v>
      </c>
      <c r="E459">
        <v>42</v>
      </c>
      <c r="F459">
        <v>0</v>
      </c>
      <c r="G459">
        <v>0</v>
      </c>
      <c r="H459">
        <v>0</v>
      </c>
      <c r="I459">
        <v>0</v>
      </c>
      <c r="J459" s="28">
        <v>0</v>
      </c>
      <c r="K459" s="126">
        <v>0</v>
      </c>
      <c r="L459" s="126">
        <v>0</v>
      </c>
      <c r="M459" s="126">
        <v>0</v>
      </c>
      <c r="N459" s="126">
        <v>0</v>
      </c>
      <c r="O459" s="126">
        <v>0</v>
      </c>
      <c r="P459" s="126">
        <v>0</v>
      </c>
      <c r="Q459" s="126">
        <v>0</v>
      </c>
      <c r="R459" s="126">
        <v>0</v>
      </c>
      <c r="S459" s="126">
        <v>0</v>
      </c>
      <c r="T459" s="126">
        <v>0</v>
      </c>
      <c r="U459" s="126">
        <v>-50</v>
      </c>
      <c r="V459" s="126">
        <v>0</v>
      </c>
      <c r="W459" s="126">
        <v>0</v>
      </c>
      <c r="X459" s="126">
        <v>0</v>
      </c>
      <c r="Y459" s="126">
        <v>0</v>
      </c>
      <c r="Z459" s="142">
        <v>2</v>
      </c>
      <c r="AA459" s="126">
        <v>0.95</v>
      </c>
      <c r="AB459" s="126">
        <v>0.9</v>
      </c>
      <c r="AC459" s="126">
        <v>0</v>
      </c>
      <c r="AD459" s="126">
        <v>0</v>
      </c>
      <c r="AE459" s="126">
        <v>16.47</v>
      </c>
      <c r="AF459" s="126">
        <v>0.15</v>
      </c>
      <c r="AG459" t="s">
        <v>3278</v>
      </c>
    </row>
    <row r="460" spans="1:33" x14ac:dyDescent="0.3">
      <c r="A460">
        <v>629</v>
      </c>
      <c r="B460" t="s">
        <v>2512</v>
      </c>
      <c r="C460" t="s">
        <v>247</v>
      </c>
      <c r="D460">
        <v>0</v>
      </c>
      <c r="E460">
        <v>44</v>
      </c>
      <c r="F460">
        <v>0</v>
      </c>
      <c r="G460">
        <v>0</v>
      </c>
      <c r="H460">
        <v>0</v>
      </c>
      <c r="I460">
        <v>0</v>
      </c>
      <c r="J460" s="28">
        <v>0</v>
      </c>
      <c r="K460" s="126">
        <v>0</v>
      </c>
      <c r="L460" s="126">
        <v>0</v>
      </c>
      <c r="M460" s="126">
        <v>0</v>
      </c>
      <c r="N460" s="126">
        <v>0</v>
      </c>
      <c r="O460" s="126">
        <v>0</v>
      </c>
      <c r="P460" s="126">
        <v>0</v>
      </c>
      <c r="Q460" s="126">
        <v>0</v>
      </c>
      <c r="R460" s="126">
        <v>0</v>
      </c>
      <c r="S460" s="126">
        <v>0</v>
      </c>
      <c r="T460" s="126">
        <v>0</v>
      </c>
      <c r="U460" s="126">
        <v>-50</v>
      </c>
      <c r="V460" s="126">
        <v>0</v>
      </c>
      <c r="W460" s="126">
        <v>0</v>
      </c>
      <c r="X460" s="126">
        <v>0</v>
      </c>
      <c r="Y460" s="126">
        <v>0</v>
      </c>
      <c r="Z460" s="142">
        <v>11</v>
      </c>
      <c r="AA460" s="126">
        <v>0.95</v>
      </c>
      <c r="AB460" s="126">
        <v>0</v>
      </c>
      <c r="AC460" s="126">
        <v>0</v>
      </c>
      <c r="AD460" s="126">
        <v>0</v>
      </c>
      <c r="AE460" s="126">
        <v>0</v>
      </c>
      <c r="AF460" s="126">
        <v>0</v>
      </c>
      <c r="AG460" t="s">
        <v>1488</v>
      </c>
    </row>
    <row r="461" spans="1:33" x14ac:dyDescent="0.3">
      <c r="A461">
        <v>630</v>
      </c>
      <c r="B461" t="s">
        <v>3279</v>
      </c>
      <c r="C461" t="s">
        <v>247</v>
      </c>
      <c r="D461">
        <v>0</v>
      </c>
      <c r="E461">
        <v>1</v>
      </c>
      <c r="F461">
        <v>0</v>
      </c>
      <c r="G461">
        <v>0</v>
      </c>
      <c r="H461">
        <v>0</v>
      </c>
      <c r="I461">
        <v>0</v>
      </c>
      <c r="J461" s="28">
        <v>0</v>
      </c>
      <c r="K461" s="126">
        <v>0</v>
      </c>
      <c r="L461" s="126">
        <v>0</v>
      </c>
      <c r="M461" s="126">
        <v>0</v>
      </c>
      <c r="N461" s="126">
        <v>0</v>
      </c>
      <c r="O461" s="126">
        <v>0</v>
      </c>
      <c r="P461" s="126">
        <v>0</v>
      </c>
      <c r="Q461" s="126">
        <v>0</v>
      </c>
      <c r="R461" s="126">
        <v>0</v>
      </c>
      <c r="S461" s="126">
        <v>0</v>
      </c>
      <c r="T461" s="126">
        <v>0</v>
      </c>
      <c r="U461" s="126">
        <v>0</v>
      </c>
      <c r="V461" s="126">
        <v>0</v>
      </c>
      <c r="W461" s="126">
        <v>0</v>
      </c>
      <c r="X461" s="126">
        <v>0</v>
      </c>
      <c r="Y461" s="126">
        <v>0</v>
      </c>
      <c r="Z461" s="142">
        <v>13</v>
      </c>
      <c r="AA461" s="126">
        <v>0</v>
      </c>
      <c r="AB461" s="126">
        <v>0</v>
      </c>
      <c r="AC461" s="126">
        <v>0</v>
      </c>
      <c r="AD461" s="126">
        <v>0</v>
      </c>
      <c r="AE461" s="126">
        <v>0</v>
      </c>
      <c r="AF461" s="126">
        <v>0</v>
      </c>
      <c r="AG461" t="s">
        <v>1490</v>
      </c>
    </row>
    <row r="462" spans="1:33" x14ac:dyDescent="0.3">
      <c r="A462">
        <v>631</v>
      </c>
      <c r="B462" t="s">
        <v>3280</v>
      </c>
      <c r="C462" t="s">
        <v>247</v>
      </c>
      <c r="D462">
        <v>0</v>
      </c>
      <c r="E462">
        <v>41</v>
      </c>
      <c r="F462">
        <v>0</v>
      </c>
      <c r="G462">
        <v>0</v>
      </c>
      <c r="H462">
        <v>0</v>
      </c>
      <c r="I462">
        <v>0</v>
      </c>
      <c r="J462" s="28">
        <v>0</v>
      </c>
      <c r="K462" s="126">
        <v>0</v>
      </c>
      <c r="L462" s="126">
        <v>0</v>
      </c>
      <c r="M462" s="126">
        <v>0</v>
      </c>
      <c r="N462" s="126">
        <v>0</v>
      </c>
      <c r="O462" s="126">
        <v>0</v>
      </c>
      <c r="P462" s="126">
        <v>0</v>
      </c>
      <c r="Q462" s="126">
        <v>0</v>
      </c>
      <c r="R462" s="126">
        <v>0</v>
      </c>
      <c r="S462" s="126">
        <v>0</v>
      </c>
      <c r="T462" s="126">
        <v>0</v>
      </c>
      <c r="U462" s="126">
        <v>-50</v>
      </c>
      <c r="V462" s="126">
        <v>0</v>
      </c>
      <c r="W462" s="126">
        <v>0</v>
      </c>
      <c r="X462" s="126">
        <v>0</v>
      </c>
      <c r="Y462" s="126">
        <v>0</v>
      </c>
      <c r="Z462" s="142">
        <v>11</v>
      </c>
      <c r="AA462" s="126">
        <v>0.95</v>
      </c>
      <c r="AB462" s="126">
        <v>0</v>
      </c>
      <c r="AC462" s="126">
        <v>0</v>
      </c>
      <c r="AD462" s="126">
        <v>0</v>
      </c>
      <c r="AE462" s="126">
        <v>0</v>
      </c>
      <c r="AF462" s="126">
        <v>0</v>
      </c>
      <c r="AG462" t="s">
        <v>1488</v>
      </c>
    </row>
    <row r="463" spans="1:33" x14ac:dyDescent="0.3">
      <c r="A463">
        <v>632</v>
      </c>
      <c r="B463" t="s">
        <v>2513</v>
      </c>
      <c r="C463" t="s">
        <v>247</v>
      </c>
      <c r="D463">
        <v>0</v>
      </c>
      <c r="E463">
        <v>76</v>
      </c>
      <c r="F463">
        <v>0</v>
      </c>
      <c r="G463">
        <v>0</v>
      </c>
      <c r="H463">
        <v>0</v>
      </c>
      <c r="I463">
        <v>0</v>
      </c>
      <c r="J463" s="28">
        <v>0</v>
      </c>
      <c r="K463" s="126">
        <v>0</v>
      </c>
      <c r="L463" s="126">
        <v>0</v>
      </c>
      <c r="M463" s="126">
        <v>0</v>
      </c>
      <c r="N463" s="126">
        <v>0</v>
      </c>
      <c r="O463" s="126">
        <v>0</v>
      </c>
      <c r="P463" s="126">
        <v>0</v>
      </c>
      <c r="Q463" s="126">
        <v>0</v>
      </c>
      <c r="R463" s="126">
        <v>0</v>
      </c>
      <c r="S463" s="126">
        <v>0</v>
      </c>
      <c r="T463" s="126">
        <v>0</v>
      </c>
      <c r="U463" s="126">
        <v>-50</v>
      </c>
      <c r="V463" s="126">
        <v>0</v>
      </c>
      <c r="W463" s="126">
        <v>0</v>
      </c>
      <c r="X463" s="126">
        <v>0</v>
      </c>
      <c r="Y463" s="126">
        <v>0</v>
      </c>
      <c r="Z463" s="142">
        <v>10</v>
      </c>
      <c r="AA463" s="126">
        <v>0.95</v>
      </c>
      <c r="AB463" s="126">
        <v>0</v>
      </c>
      <c r="AC463" s="126">
        <v>0</v>
      </c>
      <c r="AD463" s="126">
        <v>0</v>
      </c>
      <c r="AE463" s="126">
        <v>0</v>
      </c>
      <c r="AF463" s="126">
        <v>0</v>
      </c>
      <c r="AG463" t="s">
        <v>3281</v>
      </c>
    </row>
    <row r="464" spans="1:33" x14ac:dyDescent="0.3">
      <c r="A464">
        <v>633</v>
      </c>
      <c r="B464" t="s">
        <v>2498</v>
      </c>
      <c r="C464" t="s">
        <v>247</v>
      </c>
      <c r="D464">
        <v>0</v>
      </c>
      <c r="E464">
        <v>3</v>
      </c>
      <c r="F464">
        <v>0</v>
      </c>
      <c r="G464">
        <v>0</v>
      </c>
      <c r="H464">
        <v>0</v>
      </c>
      <c r="I464">
        <v>0</v>
      </c>
      <c r="J464" s="28">
        <v>0</v>
      </c>
      <c r="K464" s="126">
        <v>0</v>
      </c>
      <c r="L464" s="126">
        <v>0</v>
      </c>
      <c r="M464" s="126">
        <v>0</v>
      </c>
      <c r="N464" s="126">
        <v>0</v>
      </c>
      <c r="O464" s="126">
        <v>0</v>
      </c>
      <c r="P464" s="126">
        <v>0</v>
      </c>
      <c r="Q464" s="126">
        <v>0</v>
      </c>
      <c r="R464" s="126">
        <v>0</v>
      </c>
      <c r="S464" s="126">
        <v>0</v>
      </c>
      <c r="T464" s="126">
        <v>0</v>
      </c>
      <c r="U464" s="126">
        <v>0</v>
      </c>
      <c r="V464" s="126">
        <v>0</v>
      </c>
      <c r="W464" s="126">
        <v>0</v>
      </c>
      <c r="X464" s="126">
        <v>0</v>
      </c>
      <c r="Y464" s="126">
        <v>0</v>
      </c>
      <c r="Z464" s="142">
        <v>12</v>
      </c>
      <c r="AA464" s="126">
        <v>0</v>
      </c>
      <c r="AB464" s="126">
        <v>0</v>
      </c>
      <c r="AC464" s="126">
        <v>0</v>
      </c>
      <c r="AD464" s="126">
        <v>0</v>
      </c>
      <c r="AE464" s="126">
        <v>0</v>
      </c>
      <c r="AF464" s="126">
        <v>0.15</v>
      </c>
      <c r="AG464" t="s">
        <v>3249</v>
      </c>
    </row>
    <row r="465" spans="1:33" x14ac:dyDescent="0.3">
      <c r="A465">
        <v>634</v>
      </c>
      <c r="B465" t="s">
        <v>2498</v>
      </c>
      <c r="C465" t="s">
        <v>247</v>
      </c>
      <c r="D465">
        <v>0</v>
      </c>
      <c r="E465">
        <v>4</v>
      </c>
      <c r="F465">
        <v>0</v>
      </c>
      <c r="G465">
        <v>0</v>
      </c>
      <c r="H465">
        <v>0</v>
      </c>
      <c r="I465">
        <v>0</v>
      </c>
      <c r="J465" s="28">
        <v>0</v>
      </c>
      <c r="K465" s="126">
        <v>0</v>
      </c>
      <c r="L465" s="126">
        <v>0</v>
      </c>
      <c r="M465" s="126">
        <v>0</v>
      </c>
      <c r="N465" s="126">
        <v>0</v>
      </c>
      <c r="O465" s="126">
        <v>0</v>
      </c>
      <c r="P465" s="126">
        <v>0</v>
      </c>
      <c r="Q465" s="126">
        <v>0</v>
      </c>
      <c r="R465" s="126">
        <v>0</v>
      </c>
      <c r="S465" s="126">
        <v>0</v>
      </c>
      <c r="T465" s="126">
        <v>0</v>
      </c>
      <c r="U465" s="126">
        <v>0</v>
      </c>
      <c r="V465" s="126">
        <v>0</v>
      </c>
      <c r="W465" s="126">
        <v>0</v>
      </c>
      <c r="X465" s="126">
        <v>0</v>
      </c>
      <c r="Y465" s="126">
        <v>0</v>
      </c>
      <c r="Z465" s="142">
        <v>12</v>
      </c>
      <c r="AA465" s="126">
        <v>0</v>
      </c>
      <c r="AB465" s="126">
        <v>0</v>
      </c>
      <c r="AC465" s="126">
        <v>0</v>
      </c>
      <c r="AD465" s="126">
        <v>0</v>
      </c>
      <c r="AE465" s="126">
        <v>0</v>
      </c>
      <c r="AF465" s="126">
        <v>0.15</v>
      </c>
      <c r="AG465" t="s">
        <v>3249</v>
      </c>
    </row>
    <row r="466" spans="1:33" x14ac:dyDescent="0.3">
      <c r="A466">
        <v>635</v>
      </c>
      <c r="B466" t="s">
        <v>2498</v>
      </c>
      <c r="C466" t="s">
        <v>247</v>
      </c>
      <c r="D466">
        <v>0</v>
      </c>
      <c r="E466">
        <v>7</v>
      </c>
      <c r="F466">
        <v>0</v>
      </c>
      <c r="G466">
        <v>0</v>
      </c>
      <c r="H466">
        <v>0</v>
      </c>
      <c r="I466">
        <v>0</v>
      </c>
      <c r="J466" s="28">
        <v>0</v>
      </c>
      <c r="K466" s="126">
        <v>0</v>
      </c>
      <c r="L466" s="126">
        <v>0</v>
      </c>
      <c r="M466" s="126">
        <v>0</v>
      </c>
      <c r="N466" s="126">
        <v>0</v>
      </c>
      <c r="O466" s="126">
        <v>0</v>
      </c>
      <c r="P466" s="126">
        <v>0</v>
      </c>
      <c r="Q466" s="126">
        <v>0</v>
      </c>
      <c r="R466" s="126">
        <v>0</v>
      </c>
      <c r="S466" s="126">
        <v>0</v>
      </c>
      <c r="T466" s="126">
        <v>0</v>
      </c>
      <c r="U466" s="126">
        <v>0</v>
      </c>
      <c r="V466" s="126">
        <v>0</v>
      </c>
      <c r="W466" s="126">
        <v>0</v>
      </c>
      <c r="X466" s="126">
        <v>0</v>
      </c>
      <c r="Y466" s="126">
        <v>0</v>
      </c>
      <c r="Z466" s="142">
        <v>12</v>
      </c>
      <c r="AA466" s="126">
        <v>0</v>
      </c>
      <c r="AB466" s="126">
        <v>0</v>
      </c>
      <c r="AC466" s="126">
        <v>0</v>
      </c>
      <c r="AD466" s="126">
        <v>0</v>
      </c>
      <c r="AE466" s="126">
        <v>0</v>
      </c>
      <c r="AF466" s="126">
        <v>0.15</v>
      </c>
      <c r="AG466" t="s">
        <v>3249</v>
      </c>
    </row>
    <row r="467" spans="1:33" x14ac:dyDescent="0.3">
      <c r="A467">
        <v>636</v>
      </c>
      <c r="B467" t="s">
        <v>2498</v>
      </c>
      <c r="C467" t="s">
        <v>247</v>
      </c>
      <c r="D467">
        <v>0</v>
      </c>
      <c r="E467">
        <v>9</v>
      </c>
      <c r="F467">
        <v>0</v>
      </c>
      <c r="G467">
        <v>0</v>
      </c>
      <c r="H467">
        <v>0</v>
      </c>
      <c r="I467">
        <v>0</v>
      </c>
      <c r="J467" s="28">
        <v>0</v>
      </c>
      <c r="K467" s="126">
        <v>0</v>
      </c>
      <c r="L467" s="126">
        <v>0</v>
      </c>
      <c r="M467" s="126">
        <v>0</v>
      </c>
      <c r="N467" s="126">
        <v>0</v>
      </c>
      <c r="O467" s="126">
        <v>0</v>
      </c>
      <c r="P467" s="126">
        <v>0</v>
      </c>
      <c r="Q467" s="126">
        <v>0</v>
      </c>
      <c r="R467" s="126">
        <v>0</v>
      </c>
      <c r="S467" s="126">
        <v>0</v>
      </c>
      <c r="T467" s="126">
        <v>0</v>
      </c>
      <c r="U467" s="126">
        <v>0</v>
      </c>
      <c r="V467" s="126">
        <v>0</v>
      </c>
      <c r="W467" s="126">
        <v>0</v>
      </c>
      <c r="X467" s="126">
        <v>0</v>
      </c>
      <c r="Y467" s="126">
        <v>0</v>
      </c>
      <c r="Z467" s="142">
        <v>12</v>
      </c>
      <c r="AA467" s="126">
        <v>0</v>
      </c>
      <c r="AB467" s="126">
        <v>0</v>
      </c>
      <c r="AC467" s="126">
        <v>0</v>
      </c>
      <c r="AD467" s="126">
        <v>0</v>
      </c>
      <c r="AE467" s="126">
        <v>0</v>
      </c>
      <c r="AF467" s="126">
        <v>0.15</v>
      </c>
      <c r="AG467" t="s">
        <v>3249</v>
      </c>
    </row>
    <row r="468" spans="1:33" x14ac:dyDescent="0.3">
      <c r="A468">
        <v>637</v>
      </c>
      <c r="B468" t="s">
        <v>2498</v>
      </c>
      <c r="C468" t="s">
        <v>247</v>
      </c>
      <c r="D468">
        <v>0</v>
      </c>
      <c r="E468">
        <v>7</v>
      </c>
      <c r="F468">
        <v>0</v>
      </c>
      <c r="G468">
        <v>0</v>
      </c>
      <c r="H468">
        <v>0</v>
      </c>
      <c r="I468">
        <v>0</v>
      </c>
      <c r="J468" s="28">
        <v>0</v>
      </c>
      <c r="K468" s="126">
        <v>0</v>
      </c>
      <c r="L468" s="126">
        <v>0</v>
      </c>
      <c r="M468" s="126">
        <v>0</v>
      </c>
      <c r="N468" s="126">
        <v>0</v>
      </c>
      <c r="O468" s="126">
        <v>0</v>
      </c>
      <c r="P468" s="126">
        <v>0</v>
      </c>
      <c r="Q468" s="126">
        <v>0</v>
      </c>
      <c r="R468" s="126">
        <v>0</v>
      </c>
      <c r="S468" s="126">
        <v>0</v>
      </c>
      <c r="T468" s="126">
        <v>0</v>
      </c>
      <c r="U468" s="126">
        <v>0</v>
      </c>
      <c r="V468" s="126">
        <v>0</v>
      </c>
      <c r="W468" s="126">
        <v>0</v>
      </c>
      <c r="X468" s="126">
        <v>0</v>
      </c>
      <c r="Y468" s="126">
        <v>0</v>
      </c>
      <c r="Z468" s="142">
        <v>12</v>
      </c>
      <c r="AA468" s="126">
        <v>0</v>
      </c>
      <c r="AB468" s="126">
        <v>0</v>
      </c>
      <c r="AC468" s="126">
        <v>0</v>
      </c>
      <c r="AD468" s="126">
        <v>0</v>
      </c>
      <c r="AE468" s="126">
        <v>0</v>
      </c>
      <c r="AF468" s="126">
        <v>0.15</v>
      </c>
      <c r="AG468" t="s">
        <v>3249</v>
      </c>
    </row>
    <row r="469" spans="1:33" x14ac:dyDescent="0.3">
      <c r="A469">
        <v>638</v>
      </c>
      <c r="B469" t="s">
        <v>2498</v>
      </c>
      <c r="C469" t="s">
        <v>247</v>
      </c>
      <c r="D469">
        <v>0</v>
      </c>
      <c r="E469">
        <v>13</v>
      </c>
      <c r="F469">
        <v>0</v>
      </c>
      <c r="G469">
        <v>0</v>
      </c>
      <c r="H469">
        <v>0</v>
      </c>
      <c r="I469">
        <v>0</v>
      </c>
      <c r="J469" s="28">
        <v>0</v>
      </c>
      <c r="K469" s="126">
        <v>0</v>
      </c>
      <c r="L469" s="126">
        <v>0</v>
      </c>
      <c r="M469" s="126">
        <v>0</v>
      </c>
      <c r="N469" s="126">
        <v>0</v>
      </c>
      <c r="O469" s="126">
        <v>0</v>
      </c>
      <c r="P469" s="126">
        <v>0</v>
      </c>
      <c r="Q469" s="126">
        <v>0</v>
      </c>
      <c r="R469" s="126">
        <v>0</v>
      </c>
      <c r="S469" s="126">
        <v>0</v>
      </c>
      <c r="T469" s="126">
        <v>0</v>
      </c>
      <c r="U469" s="126">
        <v>0</v>
      </c>
      <c r="V469" s="126">
        <v>0</v>
      </c>
      <c r="W469" s="126">
        <v>0</v>
      </c>
      <c r="X469" s="126">
        <v>0</v>
      </c>
      <c r="Y469" s="126">
        <v>0</v>
      </c>
      <c r="Z469" s="142">
        <v>12</v>
      </c>
      <c r="AA469" s="126">
        <v>0</v>
      </c>
      <c r="AB469" s="126">
        <v>0</v>
      </c>
      <c r="AC469" s="126">
        <v>0</v>
      </c>
      <c r="AD469" s="126">
        <v>0</v>
      </c>
      <c r="AE469" s="126">
        <v>0</v>
      </c>
      <c r="AF469" s="126">
        <v>0.15</v>
      </c>
      <c r="AG469" t="s">
        <v>3249</v>
      </c>
    </row>
    <row r="470" spans="1:33" x14ac:dyDescent="0.3">
      <c r="A470">
        <v>639</v>
      </c>
      <c r="B470" t="s">
        <v>2498</v>
      </c>
      <c r="C470" t="s">
        <v>247</v>
      </c>
      <c r="D470">
        <v>0</v>
      </c>
      <c r="E470">
        <v>35</v>
      </c>
      <c r="F470">
        <v>0</v>
      </c>
      <c r="G470">
        <v>0</v>
      </c>
      <c r="H470">
        <v>0</v>
      </c>
      <c r="I470">
        <v>0</v>
      </c>
      <c r="J470" s="28">
        <v>0</v>
      </c>
      <c r="K470" s="126">
        <v>0</v>
      </c>
      <c r="L470" s="126">
        <v>0</v>
      </c>
      <c r="M470" s="126">
        <v>0</v>
      </c>
      <c r="N470" s="126">
        <v>0</v>
      </c>
      <c r="O470" s="126">
        <v>0</v>
      </c>
      <c r="P470" s="126">
        <v>0</v>
      </c>
      <c r="Q470" s="126">
        <v>0</v>
      </c>
      <c r="R470" s="126">
        <v>0</v>
      </c>
      <c r="S470" s="126">
        <v>0</v>
      </c>
      <c r="T470" s="126">
        <v>0</v>
      </c>
      <c r="U470" s="126">
        <v>0</v>
      </c>
      <c r="V470" s="126">
        <v>0</v>
      </c>
      <c r="W470" s="126">
        <v>0</v>
      </c>
      <c r="X470" s="126">
        <v>0</v>
      </c>
      <c r="Y470" s="126">
        <v>0</v>
      </c>
      <c r="Z470" s="142">
        <v>12</v>
      </c>
      <c r="AA470" s="126">
        <v>0</v>
      </c>
      <c r="AB470" s="126">
        <v>0</v>
      </c>
      <c r="AC470" s="126">
        <v>0</v>
      </c>
      <c r="AD470" s="126">
        <v>0</v>
      </c>
      <c r="AE470" s="126">
        <v>0</v>
      </c>
      <c r="AF470" s="126">
        <v>0.15</v>
      </c>
      <c r="AG470" t="s">
        <v>3249</v>
      </c>
    </row>
    <row r="471" spans="1:33" x14ac:dyDescent="0.3">
      <c r="A471">
        <v>640</v>
      </c>
      <c r="B471" t="s">
        <v>2498</v>
      </c>
      <c r="C471" t="s">
        <v>247</v>
      </c>
      <c r="D471">
        <v>0</v>
      </c>
      <c r="E471">
        <v>5</v>
      </c>
      <c r="F471">
        <v>0</v>
      </c>
      <c r="G471">
        <v>0</v>
      </c>
      <c r="H471">
        <v>0</v>
      </c>
      <c r="I471">
        <v>0</v>
      </c>
      <c r="J471" s="28">
        <v>0</v>
      </c>
      <c r="K471" s="126">
        <v>0</v>
      </c>
      <c r="L471" s="126">
        <v>0</v>
      </c>
      <c r="M471" s="126">
        <v>0</v>
      </c>
      <c r="N471" s="126">
        <v>0</v>
      </c>
      <c r="O471" s="126">
        <v>0</v>
      </c>
      <c r="P471" s="126">
        <v>0</v>
      </c>
      <c r="Q471" s="126">
        <v>0</v>
      </c>
      <c r="R471" s="126">
        <v>0</v>
      </c>
      <c r="S471" s="126">
        <v>0</v>
      </c>
      <c r="T471" s="126">
        <v>0</v>
      </c>
      <c r="U471" s="126">
        <v>0</v>
      </c>
      <c r="V471" s="126">
        <v>0</v>
      </c>
      <c r="W471" s="126">
        <v>0</v>
      </c>
      <c r="X471" s="126">
        <v>0</v>
      </c>
      <c r="Y471" s="126">
        <v>0</v>
      </c>
      <c r="Z471" s="142">
        <v>12</v>
      </c>
      <c r="AA471" s="126">
        <v>0</v>
      </c>
      <c r="AB471" s="126">
        <v>0</v>
      </c>
      <c r="AC471" s="126">
        <v>0</v>
      </c>
      <c r="AD471" s="126">
        <v>0</v>
      </c>
      <c r="AE471" s="126">
        <v>0</v>
      </c>
      <c r="AF471" s="126">
        <v>0.15</v>
      </c>
      <c r="AG471" t="s">
        <v>3249</v>
      </c>
    </row>
    <row r="472" spans="1:33" x14ac:dyDescent="0.3">
      <c r="A472">
        <v>641</v>
      </c>
      <c r="B472" t="s">
        <v>2498</v>
      </c>
      <c r="C472" t="s">
        <v>247</v>
      </c>
      <c r="D472">
        <v>0</v>
      </c>
      <c r="E472">
        <v>18</v>
      </c>
      <c r="F472">
        <v>0</v>
      </c>
      <c r="G472">
        <v>0</v>
      </c>
      <c r="H472">
        <v>0</v>
      </c>
      <c r="I472">
        <v>0</v>
      </c>
      <c r="J472" s="28">
        <v>0</v>
      </c>
      <c r="K472" s="126">
        <v>0</v>
      </c>
      <c r="L472" s="126">
        <v>0</v>
      </c>
      <c r="M472" s="126">
        <v>0</v>
      </c>
      <c r="N472" s="126">
        <v>0</v>
      </c>
      <c r="O472" s="126">
        <v>0</v>
      </c>
      <c r="P472" s="126">
        <v>0</v>
      </c>
      <c r="Q472" s="126">
        <v>0</v>
      </c>
      <c r="R472" s="126">
        <v>0</v>
      </c>
      <c r="S472" s="126">
        <v>0</v>
      </c>
      <c r="T472" s="126">
        <v>0</v>
      </c>
      <c r="U472" s="126">
        <v>0</v>
      </c>
      <c r="V472" s="126">
        <v>0</v>
      </c>
      <c r="W472" s="126">
        <v>0</v>
      </c>
      <c r="X472" s="126">
        <v>0</v>
      </c>
      <c r="Y472" s="126">
        <v>0</v>
      </c>
      <c r="Z472" s="142">
        <v>12</v>
      </c>
      <c r="AA472" s="126">
        <v>0</v>
      </c>
      <c r="AB472" s="126">
        <v>0</v>
      </c>
      <c r="AC472" s="126">
        <v>0</v>
      </c>
      <c r="AD472" s="126">
        <v>0</v>
      </c>
      <c r="AE472" s="126">
        <v>0</v>
      </c>
      <c r="AF472" s="126">
        <v>0.15</v>
      </c>
      <c r="AG472" t="s">
        <v>3249</v>
      </c>
    </row>
    <row r="473" spans="1:33" x14ac:dyDescent="0.3">
      <c r="A473">
        <v>642</v>
      </c>
      <c r="B473" t="s">
        <v>2498</v>
      </c>
      <c r="C473" t="s">
        <v>247</v>
      </c>
      <c r="D473">
        <v>0</v>
      </c>
      <c r="E473">
        <v>28</v>
      </c>
      <c r="F473">
        <v>0</v>
      </c>
      <c r="G473">
        <v>0</v>
      </c>
      <c r="H473">
        <v>0</v>
      </c>
      <c r="I473">
        <v>0</v>
      </c>
      <c r="J473" s="28">
        <v>0</v>
      </c>
      <c r="K473" s="126">
        <v>0</v>
      </c>
      <c r="L473" s="126">
        <v>0</v>
      </c>
      <c r="M473" s="126">
        <v>0</v>
      </c>
      <c r="N473" s="126">
        <v>0</v>
      </c>
      <c r="O473" s="126">
        <v>0</v>
      </c>
      <c r="P473" s="126">
        <v>0</v>
      </c>
      <c r="Q473" s="126">
        <v>0</v>
      </c>
      <c r="R473" s="126">
        <v>0</v>
      </c>
      <c r="S473" s="126">
        <v>0</v>
      </c>
      <c r="T473" s="126">
        <v>0</v>
      </c>
      <c r="U473" s="126">
        <v>0</v>
      </c>
      <c r="V473" s="126">
        <v>0</v>
      </c>
      <c r="W473" s="126">
        <v>0</v>
      </c>
      <c r="X473" s="126">
        <v>0</v>
      </c>
      <c r="Y473" s="126">
        <v>0</v>
      </c>
      <c r="Z473" s="142">
        <v>12</v>
      </c>
      <c r="AA473" s="126">
        <v>0</v>
      </c>
      <c r="AB473" s="126">
        <v>0</v>
      </c>
      <c r="AC473" s="126">
        <v>0</v>
      </c>
      <c r="AD473" s="126">
        <v>0</v>
      </c>
      <c r="AE473" s="126">
        <v>0</v>
      </c>
      <c r="AF473" s="126">
        <v>0.15</v>
      </c>
      <c r="AG473" t="s">
        <v>3249</v>
      </c>
    </row>
    <row r="474" spans="1:33" x14ac:dyDescent="0.3">
      <c r="A474">
        <v>643</v>
      </c>
      <c r="B474" t="s">
        <v>2498</v>
      </c>
      <c r="C474" t="s">
        <v>247</v>
      </c>
      <c r="D474">
        <v>0</v>
      </c>
      <c r="E474">
        <v>29</v>
      </c>
      <c r="F474">
        <v>0</v>
      </c>
      <c r="G474">
        <v>0</v>
      </c>
      <c r="H474">
        <v>0</v>
      </c>
      <c r="I474">
        <v>0</v>
      </c>
      <c r="J474" s="28">
        <v>0</v>
      </c>
      <c r="K474" s="126">
        <v>0</v>
      </c>
      <c r="L474" s="126">
        <v>0</v>
      </c>
      <c r="M474" s="126">
        <v>0</v>
      </c>
      <c r="N474" s="126">
        <v>0</v>
      </c>
      <c r="O474" s="126">
        <v>0</v>
      </c>
      <c r="P474" s="126">
        <v>0</v>
      </c>
      <c r="Q474" s="126">
        <v>0</v>
      </c>
      <c r="R474" s="126">
        <v>0</v>
      </c>
      <c r="S474" s="126">
        <v>0</v>
      </c>
      <c r="T474" s="126">
        <v>0</v>
      </c>
      <c r="U474" s="126">
        <v>0</v>
      </c>
      <c r="V474" s="126">
        <v>0</v>
      </c>
      <c r="W474" s="126">
        <v>0</v>
      </c>
      <c r="X474" s="126">
        <v>0</v>
      </c>
      <c r="Y474" s="126">
        <v>0</v>
      </c>
      <c r="Z474" s="142">
        <v>12</v>
      </c>
      <c r="AA474" s="126">
        <v>0</v>
      </c>
      <c r="AB474" s="126">
        <v>0</v>
      </c>
      <c r="AC474" s="126">
        <v>0</v>
      </c>
      <c r="AD474" s="126">
        <v>0</v>
      </c>
      <c r="AE474" s="126">
        <v>0</v>
      </c>
      <c r="AF474" s="126">
        <v>0.15</v>
      </c>
      <c r="AG474" t="s">
        <v>3249</v>
      </c>
    </row>
    <row r="475" spans="1:33" x14ac:dyDescent="0.3">
      <c r="A475">
        <v>644</v>
      </c>
      <c r="B475" t="s">
        <v>2498</v>
      </c>
      <c r="C475" t="s">
        <v>247</v>
      </c>
      <c r="D475">
        <v>0</v>
      </c>
      <c r="E475">
        <v>24</v>
      </c>
      <c r="F475">
        <v>0</v>
      </c>
      <c r="G475">
        <v>0</v>
      </c>
      <c r="H475">
        <v>0</v>
      </c>
      <c r="I475">
        <v>0</v>
      </c>
      <c r="J475" s="28">
        <v>0</v>
      </c>
      <c r="K475" s="126">
        <v>0</v>
      </c>
      <c r="L475" s="126">
        <v>0</v>
      </c>
      <c r="M475" s="126">
        <v>0</v>
      </c>
      <c r="N475" s="126">
        <v>0</v>
      </c>
      <c r="O475" s="126">
        <v>0</v>
      </c>
      <c r="P475" s="126">
        <v>0</v>
      </c>
      <c r="Q475" s="126">
        <v>0</v>
      </c>
      <c r="R475" s="126">
        <v>0</v>
      </c>
      <c r="S475" s="126">
        <v>0</v>
      </c>
      <c r="T475" s="126">
        <v>0</v>
      </c>
      <c r="U475" s="126">
        <v>0</v>
      </c>
      <c r="V475" s="126">
        <v>0</v>
      </c>
      <c r="W475" s="126">
        <v>0</v>
      </c>
      <c r="X475" s="126">
        <v>0</v>
      </c>
      <c r="Y475" s="126">
        <v>0</v>
      </c>
      <c r="Z475" s="142">
        <v>12</v>
      </c>
      <c r="AA475" s="126">
        <v>0</v>
      </c>
      <c r="AB475" s="126">
        <v>0</v>
      </c>
      <c r="AC475" s="126">
        <v>0</v>
      </c>
      <c r="AD475" s="126">
        <v>0</v>
      </c>
      <c r="AE475" s="126">
        <v>0</v>
      </c>
      <c r="AF475" s="126">
        <v>0.15</v>
      </c>
      <c r="AG475" t="s">
        <v>3249</v>
      </c>
    </row>
    <row r="476" spans="1:33" x14ac:dyDescent="0.3">
      <c r="A476">
        <v>645</v>
      </c>
      <c r="B476" t="s">
        <v>3282</v>
      </c>
      <c r="C476" t="s">
        <v>247</v>
      </c>
      <c r="D476">
        <v>215</v>
      </c>
      <c r="E476">
        <v>0</v>
      </c>
      <c r="F476">
        <v>0</v>
      </c>
      <c r="G476">
        <v>0</v>
      </c>
      <c r="H476">
        <v>0</v>
      </c>
      <c r="I476">
        <v>0</v>
      </c>
      <c r="J476" s="28">
        <v>0</v>
      </c>
      <c r="K476" s="126">
        <v>0</v>
      </c>
      <c r="L476" s="126">
        <v>0</v>
      </c>
      <c r="M476" s="126">
        <v>0</v>
      </c>
      <c r="N476" s="126">
        <v>0</v>
      </c>
      <c r="O476" s="126">
        <v>0</v>
      </c>
      <c r="P476" s="126">
        <v>0</v>
      </c>
      <c r="Q476" s="126">
        <v>0</v>
      </c>
      <c r="R476" s="126">
        <v>0</v>
      </c>
      <c r="S476" s="126">
        <v>0</v>
      </c>
      <c r="T476" s="126">
        <v>0</v>
      </c>
      <c r="U476" s="126">
        <v>0</v>
      </c>
      <c r="V476" s="126">
        <v>0</v>
      </c>
      <c r="W476" s="126">
        <v>0</v>
      </c>
      <c r="X476" s="126">
        <v>0</v>
      </c>
      <c r="Y476" s="126">
        <v>0</v>
      </c>
      <c r="Z476" s="142">
        <v>0</v>
      </c>
      <c r="AA476" s="126">
        <v>0</v>
      </c>
      <c r="AB476" s="126">
        <v>0</v>
      </c>
      <c r="AC476" s="126">
        <v>0</v>
      </c>
      <c r="AD476" s="126">
        <v>0</v>
      </c>
      <c r="AE476" s="126">
        <v>0</v>
      </c>
      <c r="AF476" s="126">
        <v>0.15</v>
      </c>
      <c r="AG476" t="s">
        <v>3283</v>
      </c>
    </row>
    <row r="477" spans="1:33" x14ac:dyDescent="0.3">
      <c r="A477">
        <v>646</v>
      </c>
      <c r="B477" t="s">
        <v>3284</v>
      </c>
      <c r="C477" t="s">
        <v>247</v>
      </c>
      <c r="D477">
        <v>26</v>
      </c>
      <c r="E477">
        <v>8</v>
      </c>
      <c r="F477">
        <v>0</v>
      </c>
      <c r="G477">
        <v>0</v>
      </c>
      <c r="H477">
        <v>0</v>
      </c>
      <c r="I477">
        <v>0</v>
      </c>
      <c r="J477" s="28">
        <v>0</v>
      </c>
      <c r="K477" s="126">
        <v>0</v>
      </c>
      <c r="L477" s="126">
        <v>0</v>
      </c>
      <c r="M477" s="126">
        <v>0</v>
      </c>
      <c r="N477" s="126">
        <v>0</v>
      </c>
      <c r="O477" s="126">
        <v>0</v>
      </c>
      <c r="P477" s="126">
        <v>0</v>
      </c>
      <c r="Q477" s="126">
        <v>0</v>
      </c>
      <c r="R477" s="126">
        <v>0</v>
      </c>
      <c r="S477" s="126">
        <v>0</v>
      </c>
      <c r="T477" s="126">
        <v>0</v>
      </c>
      <c r="U477" s="126">
        <v>0</v>
      </c>
      <c r="V477" s="126">
        <v>0</v>
      </c>
      <c r="W477" s="126">
        <v>0</v>
      </c>
      <c r="X477" s="126">
        <v>0</v>
      </c>
      <c r="Y477" s="126">
        <v>0</v>
      </c>
      <c r="Z477" s="142">
        <v>0</v>
      </c>
      <c r="AA477" s="126">
        <v>0</v>
      </c>
      <c r="AB477" s="126">
        <v>0</v>
      </c>
      <c r="AC477" s="126">
        <v>0</v>
      </c>
      <c r="AD477" s="126">
        <v>0</v>
      </c>
      <c r="AE477" s="126">
        <v>0</v>
      </c>
      <c r="AF477" s="126">
        <v>0</v>
      </c>
      <c r="AG477" t="s">
        <v>3285</v>
      </c>
    </row>
    <row r="478" spans="1:33" x14ac:dyDescent="0.3">
      <c r="A478">
        <v>647</v>
      </c>
      <c r="B478" t="s">
        <v>3286</v>
      </c>
      <c r="C478" t="s">
        <v>247</v>
      </c>
      <c r="D478">
        <v>49</v>
      </c>
      <c r="E478">
        <v>0</v>
      </c>
      <c r="F478">
        <v>0</v>
      </c>
      <c r="G478">
        <v>0</v>
      </c>
      <c r="H478">
        <v>0</v>
      </c>
      <c r="I478">
        <v>0</v>
      </c>
      <c r="J478" s="28">
        <v>0</v>
      </c>
      <c r="K478" s="126">
        <v>0</v>
      </c>
      <c r="L478" s="126">
        <v>0</v>
      </c>
      <c r="M478" s="126">
        <v>0</v>
      </c>
      <c r="N478" s="126">
        <v>0</v>
      </c>
      <c r="O478" s="126">
        <v>0</v>
      </c>
      <c r="P478" s="126">
        <v>0</v>
      </c>
      <c r="Q478" s="126">
        <v>0</v>
      </c>
      <c r="R478" s="126">
        <v>0</v>
      </c>
      <c r="S478" s="126">
        <v>0</v>
      </c>
      <c r="T478" s="126">
        <v>0</v>
      </c>
      <c r="U478" s="126">
        <v>0</v>
      </c>
      <c r="V478" s="126">
        <v>0</v>
      </c>
      <c r="W478" s="126">
        <v>0</v>
      </c>
      <c r="X478" s="126">
        <v>0</v>
      </c>
      <c r="Y478" s="126">
        <v>0</v>
      </c>
      <c r="Z478" s="142">
        <v>0</v>
      </c>
      <c r="AA478" s="126">
        <v>0</v>
      </c>
      <c r="AB478" s="126">
        <v>0</v>
      </c>
      <c r="AC478" s="126">
        <v>0</v>
      </c>
      <c r="AD478" s="126">
        <v>0</v>
      </c>
      <c r="AE478" s="126">
        <v>0</v>
      </c>
      <c r="AF478" s="126">
        <v>0.15</v>
      </c>
      <c r="AG478" t="s">
        <v>3287</v>
      </c>
    </row>
    <row r="479" spans="1:33" x14ac:dyDescent="0.3">
      <c r="A479">
        <v>648</v>
      </c>
      <c r="B479" t="s">
        <v>3260</v>
      </c>
      <c r="C479" t="s">
        <v>247</v>
      </c>
      <c r="D479">
        <v>9</v>
      </c>
      <c r="E479">
        <v>0</v>
      </c>
      <c r="F479">
        <v>0</v>
      </c>
      <c r="G479">
        <v>0</v>
      </c>
      <c r="H479">
        <v>0</v>
      </c>
      <c r="I479">
        <v>0</v>
      </c>
      <c r="J479" s="28">
        <v>0</v>
      </c>
      <c r="K479" s="126">
        <v>0</v>
      </c>
      <c r="L479" s="126">
        <v>0</v>
      </c>
      <c r="M479" s="126">
        <v>0</v>
      </c>
      <c r="N479" s="126">
        <v>0</v>
      </c>
      <c r="O479" s="126">
        <v>0</v>
      </c>
      <c r="P479" s="126">
        <v>0</v>
      </c>
      <c r="Q479" s="126">
        <v>0</v>
      </c>
      <c r="R479" s="126">
        <v>0</v>
      </c>
      <c r="S479" s="126">
        <v>0</v>
      </c>
      <c r="T479" s="126">
        <v>0</v>
      </c>
      <c r="U479" s="126">
        <v>0</v>
      </c>
      <c r="V479" s="126">
        <v>0</v>
      </c>
      <c r="W479" s="126">
        <v>0</v>
      </c>
      <c r="X479" s="126">
        <v>0</v>
      </c>
      <c r="Y479" s="126">
        <v>0</v>
      </c>
      <c r="Z479" s="142">
        <v>7</v>
      </c>
      <c r="AA479" s="126">
        <v>0.95</v>
      </c>
      <c r="AB479" s="126">
        <v>0</v>
      </c>
      <c r="AC479" s="126">
        <v>0</v>
      </c>
      <c r="AD479" s="126">
        <v>0</v>
      </c>
      <c r="AE479" s="126">
        <v>2.54</v>
      </c>
      <c r="AF479" s="126">
        <v>0.15</v>
      </c>
      <c r="AG479" t="s">
        <v>3261</v>
      </c>
    </row>
    <row r="480" spans="1:33" x14ac:dyDescent="0.3">
      <c r="A480">
        <v>649</v>
      </c>
      <c r="B480" t="s">
        <v>2514</v>
      </c>
      <c r="C480" t="s">
        <v>247</v>
      </c>
      <c r="D480">
        <v>7</v>
      </c>
      <c r="E480">
        <v>0</v>
      </c>
      <c r="F480">
        <v>0</v>
      </c>
      <c r="G480">
        <v>0</v>
      </c>
      <c r="H480">
        <v>0</v>
      </c>
      <c r="I480">
        <v>0</v>
      </c>
      <c r="J480" s="28">
        <v>0</v>
      </c>
      <c r="K480" s="126">
        <v>0</v>
      </c>
      <c r="L480" s="126">
        <v>0</v>
      </c>
      <c r="M480" s="126">
        <v>0</v>
      </c>
      <c r="N480" s="126">
        <v>0</v>
      </c>
      <c r="O480" s="126">
        <v>0</v>
      </c>
      <c r="P480" s="126">
        <v>0</v>
      </c>
      <c r="Q480" s="126">
        <v>0</v>
      </c>
      <c r="R480" s="126">
        <v>0</v>
      </c>
      <c r="S480" s="126">
        <v>0</v>
      </c>
      <c r="T480" s="126">
        <v>0</v>
      </c>
      <c r="U480" s="126">
        <v>0</v>
      </c>
      <c r="V480" s="126">
        <v>0</v>
      </c>
      <c r="W480" s="126">
        <v>0</v>
      </c>
      <c r="X480" s="126">
        <v>0</v>
      </c>
      <c r="Y480" s="126">
        <v>0</v>
      </c>
      <c r="Z480" s="142">
        <v>0</v>
      </c>
      <c r="AA480" s="126">
        <v>0</v>
      </c>
      <c r="AB480" s="126">
        <v>0</v>
      </c>
      <c r="AC480" s="126">
        <v>0</v>
      </c>
      <c r="AD480" s="126">
        <v>0</v>
      </c>
      <c r="AE480" s="126">
        <v>0</v>
      </c>
      <c r="AF480" s="126">
        <v>0</v>
      </c>
      <c r="AG480" t="s">
        <v>3288</v>
      </c>
    </row>
    <row r="481" spans="1:33" x14ac:dyDescent="0.3">
      <c r="A481">
        <v>650</v>
      </c>
      <c r="B481" t="s">
        <v>2501</v>
      </c>
      <c r="C481" t="s">
        <v>247</v>
      </c>
      <c r="D481">
        <v>0</v>
      </c>
      <c r="E481">
        <v>44</v>
      </c>
      <c r="F481">
        <v>0</v>
      </c>
      <c r="G481">
        <v>0</v>
      </c>
      <c r="H481">
        <v>0</v>
      </c>
      <c r="I481">
        <v>0</v>
      </c>
      <c r="J481" s="28">
        <v>0</v>
      </c>
      <c r="K481" s="126">
        <v>0</v>
      </c>
      <c r="L481" s="126">
        <v>0</v>
      </c>
      <c r="M481" s="126">
        <v>0</v>
      </c>
      <c r="N481" s="126">
        <v>0</v>
      </c>
      <c r="O481" s="126">
        <v>0</v>
      </c>
      <c r="P481" s="126">
        <v>0</v>
      </c>
      <c r="Q481" s="126">
        <v>0</v>
      </c>
      <c r="R481" s="126">
        <v>0</v>
      </c>
      <c r="S481" s="126">
        <v>0</v>
      </c>
      <c r="T481" s="126">
        <v>0</v>
      </c>
      <c r="U481" s="126">
        <v>0</v>
      </c>
      <c r="V481" s="126">
        <v>0</v>
      </c>
      <c r="W481" s="126">
        <v>0</v>
      </c>
      <c r="X481" s="126">
        <v>0</v>
      </c>
      <c r="Y481" s="126">
        <v>0</v>
      </c>
      <c r="Z481" s="142">
        <v>2</v>
      </c>
      <c r="AA481" s="126">
        <v>0.95</v>
      </c>
      <c r="AB481" s="126">
        <v>0.8</v>
      </c>
      <c r="AC481" s="126">
        <v>0</v>
      </c>
      <c r="AD481" s="126">
        <v>0</v>
      </c>
      <c r="AE481" s="126">
        <v>6.47</v>
      </c>
      <c r="AF481" s="126">
        <v>0.15</v>
      </c>
      <c r="AG481" t="s">
        <v>3253</v>
      </c>
    </row>
    <row r="482" spans="1:33" x14ac:dyDescent="0.3">
      <c r="A482">
        <v>651</v>
      </c>
      <c r="B482" t="s">
        <v>3289</v>
      </c>
      <c r="C482" t="s">
        <v>247</v>
      </c>
      <c r="D482">
        <v>0</v>
      </c>
      <c r="E482">
        <v>551</v>
      </c>
      <c r="F482">
        <v>0</v>
      </c>
      <c r="G482">
        <v>0</v>
      </c>
      <c r="H482">
        <v>0</v>
      </c>
      <c r="I482">
        <v>0</v>
      </c>
      <c r="J482" s="28">
        <v>0</v>
      </c>
      <c r="K482" s="126">
        <v>0</v>
      </c>
      <c r="L482" s="126">
        <v>0</v>
      </c>
      <c r="M482" s="126">
        <v>0</v>
      </c>
      <c r="N482" s="126">
        <v>0</v>
      </c>
      <c r="O482" s="126">
        <v>0</v>
      </c>
      <c r="P482" s="126">
        <v>0</v>
      </c>
      <c r="Q482" s="126">
        <v>0</v>
      </c>
      <c r="R482" s="126">
        <v>0</v>
      </c>
      <c r="S482" s="126">
        <v>0</v>
      </c>
      <c r="T482" s="126">
        <v>0</v>
      </c>
      <c r="U482" s="126">
        <v>-25</v>
      </c>
      <c r="V482" s="126">
        <v>0</v>
      </c>
      <c r="W482" s="126">
        <v>0</v>
      </c>
      <c r="X482" s="126">
        <v>0</v>
      </c>
      <c r="Y482" s="126">
        <v>0</v>
      </c>
      <c r="Z482" s="142">
        <v>2</v>
      </c>
      <c r="AA482" s="126">
        <v>0.95</v>
      </c>
      <c r="AB482" s="126">
        <v>0</v>
      </c>
      <c r="AC482" s="126">
        <v>0</v>
      </c>
      <c r="AD482" s="126">
        <v>0</v>
      </c>
      <c r="AE482" s="126">
        <v>0</v>
      </c>
      <c r="AF482" s="126">
        <v>0.15</v>
      </c>
      <c r="AG482" t="s">
        <v>3290</v>
      </c>
    </row>
    <row r="483" spans="1:33" x14ac:dyDescent="0.3">
      <c r="A483">
        <v>652</v>
      </c>
      <c r="B483" t="s">
        <v>3291</v>
      </c>
      <c r="C483" t="s">
        <v>247</v>
      </c>
      <c r="D483">
        <v>1992</v>
      </c>
      <c r="E483">
        <v>0</v>
      </c>
      <c r="F483">
        <v>0</v>
      </c>
      <c r="G483">
        <v>0</v>
      </c>
      <c r="H483">
        <v>0</v>
      </c>
      <c r="I483">
        <v>0</v>
      </c>
      <c r="J483" s="28">
        <v>0</v>
      </c>
      <c r="K483" s="126">
        <v>0</v>
      </c>
      <c r="L483" s="126">
        <v>0</v>
      </c>
      <c r="M483" s="126">
        <v>0</v>
      </c>
      <c r="N483" s="126">
        <v>0</v>
      </c>
      <c r="O483" s="126">
        <v>0</v>
      </c>
      <c r="P483" s="126">
        <v>0</v>
      </c>
      <c r="Q483" s="126">
        <v>0</v>
      </c>
      <c r="R483" s="126">
        <v>0</v>
      </c>
      <c r="S483" s="126">
        <v>0</v>
      </c>
      <c r="T483" s="126">
        <v>0</v>
      </c>
      <c r="U483" s="126">
        <v>0</v>
      </c>
      <c r="V483" s="126">
        <v>0</v>
      </c>
      <c r="W483" s="126">
        <v>0</v>
      </c>
      <c r="X483" s="126">
        <v>0</v>
      </c>
      <c r="Y483" s="126">
        <v>0</v>
      </c>
      <c r="Z483" s="142">
        <v>0</v>
      </c>
      <c r="AA483" s="126">
        <v>0</v>
      </c>
      <c r="AB483" s="126">
        <v>0</v>
      </c>
      <c r="AC483" s="126">
        <v>0</v>
      </c>
      <c r="AD483" s="126">
        <v>0</v>
      </c>
      <c r="AE483" s="126">
        <v>0</v>
      </c>
      <c r="AF483" s="126">
        <v>0.15</v>
      </c>
      <c r="AG483" t="s">
        <v>3292</v>
      </c>
    </row>
    <row r="484" spans="1:33" x14ac:dyDescent="0.3">
      <c r="A484">
        <v>653</v>
      </c>
      <c r="B484" t="s">
        <v>3293</v>
      </c>
      <c r="C484" t="s">
        <v>247</v>
      </c>
      <c r="D484">
        <v>998</v>
      </c>
      <c r="E484">
        <v>0</v>
      </c>
      <c r="F484">
        <v>0</v>
      </c>
      <c r="G484">
        <v>0</v>
      </c>
      <c r="H484">
        <v>0</v>
      </c>
      <c r="I484">
        <v>0</v>
      </c>
      <c r="J484" s="28">
        <v>0</v>
      </c>
      <c r="K484" s="126">
        <v>0</v>
      </c>
      <c r="L484" s="126">
        <v>0</v>
      </c>
      <c r="M484" s="126">
        <v>0</v>
      </c>
      <c r="N484" s="126">
        <v>0</v>
      </c>
      <c r="O484" s="126">
        <v>0</v>
      </c>
      <c r="P484" s="126">
        <v>0</v>
      </c>
      <c r="Q484" s="126">
        <v>0</v>
      </c>
      <c r="R484" s="126">
        <v>0</v>
      </c>
      <c r="S484" s="126">
        <v>0</v>
      </c>
      <c r="T484" s="126">
        <v>0</v>
      </c>
      <c r="U484" s="126">
        <v>0</v>
      </c>
      <c r="V484" s="126">
        <v>0</v>
      </c>
      <c r="W484" s="126">
        <v>0</v>
      </c>
      <c r="X484" s="126">
        <v>0</v>
      </c>
      <c r="Y484" s="126">
        <v>0</v>
      </c>
      <c r="Z484" s="142">
        <v>0</v>
      </c>
      <c r="AA484" s="126">
        <v>0</v>
      </c>
      <c r="AB484" s="126">
        <v>0</v>
      </c>
      <c r="AC484" s="126">
        <v>0</v>
      </c>
      <c r="AD484" s="126">
        <v>0</v>
      </c>
      <c r="AE484" s="126">
        <v>0</v>
      </c>
      <c r="AF484" s="126">
        <v>0</v>
      </c>
      <c r="AG484" t="s">
        <v>3294</v>
      </c>
    </row>
    <row r="485" spans="1:33" x14ac:dyDescent="0.3">
      <c r="A485">
        <v>654</v>
      </c>
      <c r="B485" t="s">
        <v>2515</v>
      </c>
      <c r="C485" t="s">
        <v>247</v>
      </c>
      <c r="D485">
        <v>0</v>
      </c>
      <c r="E485">
        <v>249</v>
      </c>
      <c r="F485">
        <v>0</v>
      </c>
      <c r="G485">
        <v>0</v>
      </c>
      <c r="H485">
        <v>0</v>
      </c>
      <c r="I485">
        <v>0</v>
      </c>
      <c r="J485" s="28">
        <v>0</v>
      </c>
      <c r="K485" s="126">
        <v>0</v>
      </c>
      <c r="L485" s="126">
        <v>0</v>
      </c>
      <c r="M485" s="126">
        <v>0</v>
      </c>
      <c r="N485" s="126">
        <v>0</v>
      </c>
      <c r="O485" s="126">
        <v>0</v>
      </c>
      <c r="P485" s="126">
        <v>0</v>
      </c>
      <c r="Q485" s="126">
        <v>0</v>
      </c>
      <c r="R485" s="126">
        <v>0</v>
      </c>
      <c r="S485" s="126">
        <v>0</v>
      </c>
      <c r="T485" s="126">
        <v>0</v>
      </c>
      <c r="U485" s="126">
        <v>-100</v>
      </c>
      <c r="V485" s="126">
        <v>0</v>
      </c>
      <c r="W485" s="126">
        <v>0</v>
      </c>
      <c r="X485" s="126">
        <v>0</v>
      </c>
      <c r="Y485" s="126">
        <v>0</v>
      </c>
      <c r="Z485" s="142">
        <v>2</v>
      </c>
      <c r="AA485" s="126">
        <v>0.5</v>
      </c>
      <c r="AB485" s="126">
        <v>0.95</v>
      </c>
      <c r="AC485" s="126">
        <v>0</v>
      </c>
      <c r="AD485" s="126">
        <v>0</v>
      </c>
      <c r="AE485" s="126">
        <v>6.47</v>
      </c>
      <c r="AF485" s="126">
        <v>0.15</v>
      </c>
      <c r="AG485" t="s">
        <v>3295</v>
      </c>
    </row>
    <row r="486" spans="1:33" x14ac:dyDescent="0.3">
      <c r="A486">
        <v>655</v>
      </c>
      <c r="B486" t="s">
        <v>3296</v>
      </c>
      <c r="C486" t="s">
        <v>199</v>
      </c>
      <c r="D486">
        <v>17963</v>
      </c>
      <c r="E486">
        <v>19760</v>
      </c>
      <c r="F486">
        <v>100</v>
      </c>
      <c r="G486">
        <v>2000</v>
      </c>
      <c r="H486">
        <v>0</v>
      </c>
      <c r="I486">
        <v>6.1</v>
      </c>
      <c r="J486" s="28">
        <v>5.63</v>
      </c>
      <c r="K486" s="126">
        <v>0.17</v>
      </c>
      <c r="L486" s="126">
        <v>2.2000000000000002</v>
      </c>
      <c r="M486" s="126">
        <v>0.1</v>
      </c>
      <c r="N486" s="126">
        <v>0</v>
      </c>
      <c r="O486" s="126">
        <v>0.6</v>
      </c>
      <c r="P486" s="126">
        <v>0.88500000000000001</v>
      </c>
      <c r="Q486" s="126">
        <v>0.8</v>
      </c>
      <c r="R486" s="126">
        <v>0</v>
      </c>
      <c r="S486" s="126">
        <v>0.25</v>
      </c>
      <c r="T486" s="126">
        <v>15</v>
      </c>
      <c r="U486" s="126">
        <v>25</v>
      </c>
      <c r="V486" s="126">
        <v>100</v>
      </c>
      <c r="W486" s="126">
        <v>0.5</v>
      </c>
      <c r="X486" s="126">
        <v>0</v>
      </c>
      <c r="Y486" s="126">
        <v>0</v>
      </c>
      <c r="Z486" s="142">
        <v>0</v>
      </c>
      <c r="AA486" s="126">
        <v>0</v>
      </c>
      <c r="AB486" s="126">
        <v>0</v>
      </c>
      <c r="AC486" s="126">
        <v>0</v>
      </c>
      <c r="AD486" s="126">
        <v>0</v>
      </c>
      <c r="AE486" s="126">
        <v>9.7279999999999998</v>
      </c>
      <c r="AF486" s="126">
        <v>31.2</v>
      </c>
      <c r="AG486" t="s">
        <v>3297</v>
      </c>
    </row>
    <row r="487" spans="1:33" x14ac:dyDescent="0.3">
      <c r="A487">
        <v>656</v>
      </c>
      <c r="B487" t="s">
        <v>3071</v>
      </c>
      <c r="C487" t="s">
        <v>199</v>
      </c>
      <c r="D487">
        <v>40000</v>
      </c>
      <c r="E487">
        <v>44000</v>
      </c>
      <c r="F487">
        <v>80</v>
      </c>
      <c r="G487">
        <v>1500</v>
      </c>
      <c r="H487">
        <v>0</v>
      </c>
      <c r="I487">
        <v>8.1999999999999993</v>
      </c>
      <c r="J487" s="28">
        <v>10.46</v>
      </c>
      <c r="K487" s="126">
        <v>0.41</v>
      </c>
      <c r="L487" s="126">
        <v>1.3</v>
      </c>
      <c r="M487" s="126">
        <v>0.1</v>
      </c>
      <c r="N487" s="126">
        <v>0</v>
      </c>
      <c r="O487" s="126">
        <v>0.6</v>
      </c>
      <c r="P487" s="126">
        <v>0.88500000000000001</v>
      </c>
      <c r="Q487" s="126">
        <v>0.65</v>
      </c>
      <c r="R487" s="126">
        <v>0</v>
      </c>
      <c r="S487" s="126">
        <v>0</v>
      </c>
      <c r="T487" s="126">
        <v>0</v>
      </c>
      <c r="U487" s="126">
        <v>0</v>
      </c>
      <c r="V487" s="126">
        <v>0</v>
      </c>
      <c r="W487" s="126">
        <v>0</v>
      </c>
      <c r="X487" s="126">
        <v>0</v>
      </c>
      <c r="Y487" s="126">
        <v>0</v>
      </c>
      <c r="Z487" s="142">
        <v>0</v>
      </c>
      <c r="AA487" s="126">
        <v>0.95</v>
      </c>
      <c r="AB487" s="126">
        <v>0</v>
      </c>
      <c r="AC487" s="126">
        <v>0</v>
      </c>
      <c r="AD487" s="126">
        <v>0</v>
      </c>
      <c r="AE487" s="126">
        <v>0</v>
      </c>
      <c r="AF487" s="126">
        <v>0</v>
      </c>
      <c r="AG487" t="s">
        <v>3298</v>
      </c>
    </row>
    <row r="488" spans="1:33" x14ac:dyDescent="0.3">
      <c r="A488">
        <v>657</v>
      </c>
      <c r="B488" t="s">
        <v>3299</v>
      </c>
      <c r="C488" t="s">
        <v>199</v>
      </c>
      <c r="D488">
        <v>10984</v>
      </c>
      <c r="E488">
        <v>12083</v>
      </c>
      <c r="F488">
        <v>80</v>
      </c>
      <c r="G488">
        <v>1200</v>
      </c>
      <c r="H488">
        <v>0</v>
      </c>
      <c r="I488">
        <v>5.5</v>
      </c>
      <c r="J488" s="28">
        <v>7.72</v>
      </c>
      <c r="K488" s="126">
        <v>0.32</v>
      </c>
      <c r="L488" s="126">
        <v>2.1</v>
      </c>
      <c r="M488" s="126">
        <v>0.1</v>
      </c>
      <c r="N488" s="126">
        <v>0</v>
      </c>
      <c r="O488" s="126">
        <v>0.6</v>
      </c>
      <c r="P488" s="126">
        <v>0.88500000000000001</v>
      </c>
      <c r="Q488" s="126">
        <v>0.6</v>
      </c>
      <c r="R488" s="126">
        <v>0</v>
      </c>
      <c r="S488" s="126">
        <v>0.1</v>
      </c>
      <c r="T488" s="126">
        <v>10.16</v>
      </c>
      <c r="U488" s="126">
        <v>40.64</v>
      </c>
      <c r="V488" s="126">
        <v>76.2</v>
      </c>
      <c r="W488" s="126">
        <v>0.45700000000000002</v>
      </c>
      <c r="X488" s="126">
        <v>0</v>
      </c>
      <c r="Y488" s="126">
        <v>0</v>
      </c>
      <c r="Z488" s="142">
        <v>5</v>
      </c>
      <c r="AA488" s="126">
        <v>0</v>
      </c>
      <c r="AB488" s="126">
        <v>0</v>
      </c>
      <c r="AC488" s="126">
        <v>0</v>
      </c>
      <c r="AD488" s="126">
        <v>0</v>
      </c>
      <c r="AE488" s="126">
        <v>6.79</v>
      </c>
      <c r="AF488" s="126">
        <v>2.4380000000000002</v>
      </c>
      <c r="AG488" t="s">
        <v>3300</v>
      </c>
    </row>
    <row r="489" spans="1:33" x14ac:dyDescent="0.3">
      <c r="A489">
        <v>658</v>
      </c>
      <c r="B489" t="s">
        <v>339</v>
      </c>
      <c r="C489" t="s">
        <v>199</v>
      </c>
      <c r="D489">
        <v>27122</v>
      </c>
      <c r="E489">
        <v>29834</v>
      </c>
      <c r="F489">
        <v>100</v>
      </c>
      <c r="G489">
        <v>1200</v>
      </c>
      <c r="H489">
        <v>0</v>
      </c>
      <c r="I489">
        <v>6.1</v>
      </c>
      <c r="J489" s="28">
        <v>8.85</v>
      </c>
      <c r="K489" s="126">
        <v>0.32</v>
      </c>
      <c r="L489" s="126">
        <v>2.1</v>
      </c>
      <c r="M489" s="126">
        <v>0.1</v>
      </c>
      <c r="N489" s="126">
        <v>0</v>
      </c>
      <c r="O489" s="126">
        <v>0.6</v>
      </c>
      <c r="P489" s="126">
        <v>0.88500000000000001</v>
      </c>
      <c r="Q489" s="126">
        <v>0.6</v>
      </c>
      <c r="R489" s="126">
        <v>0</v>
      </c>
      <c r="S489" s="126">
        <v>0.1</v>
      </c>
      <c r="T489" s="126">
        <v>10.16</v>
      </c>
      <c r="U489" s="126">
        <v>40.64</v>
      </c>
      <c r="V489" s="126">
        <v>76.2</v>
      </c>
      <c r="W489" s="126">
        <v>0.50900000000000001</v>
      </c>
      <c r="X489" s="126">
        <v>0</v>
      </c>
      <c r="Y489" s="126">
        <v>0</v>
      </c>
      <c r="Z489" s="142">
        <v>5</v>
      </c>
      <c r="AA489" s="126">
        <v>0</v>
      </c>
      <c r="AB489" s="126">
        <v>0</v>
      </c>
      <c r="AC489" s="126">
        <v>0</v>
      </c>
      <c r="AD489" s="126">
        <v>0</v>
      </c>
      <c r="AE489" s="126">
        <v>6.79</v>
      </c>
      <c r="AF489" s="126">
        <v>2.4380000000000002</v>
      </c>
      <c r="AG489" t="s">
        <v>3301</v>
      </c>
    </row>
    <row r="490" spans="1:33" x14ac:dyDescent="0.3">
      <c r="A490">
        <v>659</v>
      </c>
      <c r="B490" t="s">
        <v>340</v>
      </c>
      <c r="C490" t="s">
        <v>199</v>
      </c>
      <c r="D490">
        <v>27122</v>
      </c>
      <c r="E490">
        <v>29834</v>
      </c>
      <c r="F490">
        <v>100</v>
      </c>
      <c r="G490">
        <v>1200</v>
      </c>
      <c r="H490">
        <v>0</v>
      </c>
      <c r="I490">
        <v>6.1</v>
      </c>
      <c r="J490" s="28">
        <v>8.85</v>
      </c>
      <c r="K490" s="126">
        <v>0.32</v>
      </c>
      <c r="L490" s="126">
        <v>2.1</v>
      </c>
      <c r="M490" s="126">
        <v>0.1</v>
      </c>
      <c r="N490" s="126">
        <v>0</v>
      </c>
      <c r="O490" s="126">
        <v>0.6</v>
      </c>
      <c r="P490" s="126">
        <v>0.88500000000000001</v>
      </c>
      <c r="Q490" s="126">
        <v>0.6</v>
      </c>
      <c r="R490" s="126">
        <v>0</v>
      </c>
      <c r="S490" s="126">
        <v>0.1</v>
      </c>
      <c r="T490" s="126">
        <v>10.16</v>
      </c>
      <c r="U490" s="126">
        <v>40.64</v>
      </c>
      <c r="V490" s="126">
        <v>76.2</v>
      </c>
      <c r="W490" s="126">
        <v>0.32900000000000001</v>
      </c>
      <c r="X490" s="126">
        <v>0</v>
      </c>
      <c r="Y490" s="126">
        <v>0</v>
      </c>
      <c r="Z490" s="142">
        <v>5</v>
      </c>
      <c r="AA490" s="126">
        <v>0</v>
      </c>
      <c r="AB490" s="126">
        <v>0</v>
      </c>
      <c r="AC490" s="126">
        <v>0</v>
      </c>
      <c r="AD490" s="126">
        <v>0</v>
      </c>
      <c r="AE490" s="126">
        <v>6.79</v>
      </c>
      <c r="AF490" s="126">
        <v>2.4380000000000002</v>
      </c>
      <c r="AG490" t="s">
        <v>3302</v>
      </c>
    </row>
    <row r="491" spans="1:33" x14ac:dyDescent="0.3">
      <c r="A491">
        <v>660</v>
      </c>
      <c r="B491" t="s">
        <v>341</v>
      </c>
      <c r="C491" t="s">
        <v>199</v>
      </c>
      <c r="D491">
        <v>27122</v>
      </c>
      <c r="E491">
        <v>29834</v>
      </c>
      <c r="F491">
        <v>100</v>
      </c>
      <c r="G491">
        <v>1200</v>
      </c>
      <c r="H491">
        <v>0</v>
      </c>
      <c r="I491">
        <v>6.1</v>
      </c>
      <c r="J491" s="28">
        <v>8.85</v>
      </c>
      <c r="K491" s="126">
        <v>0.32</v>
      </c>
      <c r="L491" s="126">
        <v>2.1</v>
      </c>
      <c r="M491" s="126">
        <v>0.1</v>
      </c>
      <c r="N491" s="126">
        <v>0</v>
      </c>
      <c r="O491" s="126">
        <v>0.6</v>
      </c>
      <c r="P491" s="126">
        <v>0.88500000000000001</v>
      </c>
      <c r="Q491" s="126">
        <v>0.6</v>
      </c>
      <c r="R491" s="126">
        <v>0</v>
      </c>
      <c r="S491" s="126">
        <v>0.1</v>
      </c>
      <c r="T491" s="126">
        <v>10.16</v>
      </c>
      <c r="U491" s="126">
        <v>40.64</v>
      </c>
      <c r="V491" s="126">
        <v>76.2</v>
      </c>
      <c r="W491" s="126">
        <v>0.68600000000000005</v>
      </c>
      <c r="X491" s="126">
        <v>0</v>
      </c>
      <c r="Y491" s="126">
        <v>0</v>
      </c>
      <c r="Z491" s="142">
        <v>5</v>
      </c>
      <c r="AA491" s="126">
        <v>0</v>
      </c>
      <c r="AB491" s="126">
        <v>0</v>
      </c>
      <c r="AC491" s="126">
        <v>0</v>
      </c>
      <c r="AD491" s="126">
        <v>0</v>
      </c>
      <c r="AE491" s="126">
        <v>6.79</v>
      </c>
      <c r="AF491" s="126">
        <v>2.4380000000000002</v>
      </c>
      <c r="AG491" t="s">
        <v>3303</v>
      </c>
    </row>
    <row r="492" spans="1:33" x14ac:dyDescent="0.3">
      <c r="A492">
        <v>661</v>
      </c>
      <c r="B492" t="s">
        <v>342</v>
      </c>
      <c r="C492" t="s">
        <v>199</v>
      </c>
      <c r="D492">
        <v>27122</v>
      </c>
      <c r="E492">
        <v>29834</v>
      </c>
      <c r="F492">
        <v>100</v>
      </c>
      <c r="G492">
        <v>1200</v>
      </c>
      <c r="H492">
        <v>0</v>
      </c>
      <c r="I492">
        <v>6.1</v>
      </c>
      <c r="J492" s="28">
        <v>8.85</v>
      </c>
      <c r="K492" s="126">
        <v>0.32</v>
      </c>
      <c r="L492" s="126">
        <v>2.1</v>
      </c>
      <c r="M492" s="126">
        <v>0.1</v>
      </c>
      <c r="N492" s="126">
        <v>0</v>
      </c>
      <c r="O492" s="126">
        <v>0.6</v>
      </c>
      <c r="P492" s="126">
        <v>0.88500000000000001</v>
      </c>
      <c r="Q492" s="126">
        <v>0.6</v>
      </c>
      <c r="R492" s="126">
        <v>0</v>
      </c>
      <c r="S492" s="126">
        <v>0.1</v>
      </c>
      <c r="T492" s="126">
        <v>10.16</v>
      </c>
      <c r="U492" s="126">
        <v>40.64</v>
      </c>
      <c r="V492" s="126">
        <v>76.2</v>
      </c>
      <c r="W492" s="126">
        <v>1.0149999999999999</v>
      </c>
      <c r="X492" s="126">
        <v>0</v>
      </c>
      <c r="Y492" s="126">
        <v>0</v>
      </c>
      <c r="Z492" s="142">
        <v>5</v>
      </c>
      <c r="AA492" s="126">
        <v>0</v>
      </c>
      <c r="AB492" s="126">
        <v>0</v>
      </c>
      <c r="AC492" s="126">
        <v>0</v>
      </c>
      <c r="AD492" s="126">
        <v>0</v>
      </c>
      <c r="AE492" s="126">
        <v>6.79</v>
      </c>
      <c r="AF492" s="126">
        <v>2.4380000000000002</v>
      </c>
      <c r="AG492" t="s">
        <v>3304</v>
      </c>
    </row>
    <row r="493" spans="1:33" x14ac:dyDescent="0.3">
      <c r="A493">
        <v>662</v>
      </c>
      <c r="B493" t="s">
        <v>343</v>
      </c>
      <c r="C493" t="s">
        <v>199</v>
      </c>
      <c r="D493">
        <v>27122</v>
      </c>
      <c r="E493">
        <v>29834</v>
      </c>
      <c r="F493">
        <v>100</v>
      </c>
      <c r="G493">
        <v>1200</v>
      </c>
      <c r="H493">
        <v>0</v>
      </c>
      <c r="I493">
        <v>6.1</v>
      </c>
      <c r="J493" s="28">
        <v>8.85</v>
      </c>
      <c r="K493" s="126">
        <v>0.32</v>
      </c>
      <c r="L493" s="126">
        <v>2.1</v>
      </c>
      <c r="M493" s="126">
        <v>0.1</v>
      </c>
      <c r="N493" s="126">
        <v>0</v>
      </c>
      <c r="O493" s="126">
        <v>0.6</v>
      </c>
      <c r="P493" s="126">
        <v>0.88500000000000001</v>
      </c>
      <c r="Q493" s="126">
        <v>0.6</v>
      </c>
      <c r="R493" s="126">
        <v>0</v>
      </c>
      <c r="S493" s="126">
        <v>0.1</v>
      </c>
      <c r="T493" s="126">
        <v>10.16</v>
      </c>
      <c r="U493" s="126">
        <v>40.64</v>
      </c>
      <c r="V493" s="126">
        <v>76.2</v>
      </c>
      <c r="W493" s="126">
        <v>0.81399999999999995</v>
      </c>
      <c r="X493" s="126">
        <v>0</v>
      </c>
      <c r="Y493" s="126">
        <v>0</v>
      </c>
      <c r="Z493" s="142">
        <v>5</v>
      </c>
      <c r="AA493" s="126">
        <v>0</v>
      </c>
      <c r="AB493" s="126">
        <v>0</v>
      </c>
      <c r="AC493" s="126">
        <v>0</v>
      </c>
      <c r="AD493" s="126">
        <v>0</v>
      </c>
      <c r="AE493" s="126">
        <v>6.79</v>
      </c>
      <c r="AF493" s="126">
        <v>2.4380000000000002</v>
      </c>
      <c r="AG493" t="s">
        <v>3305</v>
      </c>
    </row>
    <row r="494" spans="1:33" x14ac:dyDescent="0.3">
      <c r="A494">
        <v>663</v>
      </c>
      <c r="B494" t="s">
        <v>3306</v>
      </c>
      <c r="C494" t="s">
        <v>311</v>
      </c>
      <c r="D494">
        <v>58589</v>
      </c>
      <c r="E494">
        <v>64448</v>
      </c>
      <c r="F494">
        <v>840</v>
      </c>
      <c r="G494">
        <v>15000</v>
      </c>
      <c r="H494">
        <v>7</v>
      </c>
      <c r="I494">
        <v>3</v>
      </c>
      <c r="J494" s="28">
        <v>3.22</v>
      </c>
      <c r="K494" s="126">
        <v>0.19</v>
      </c>
      <c r="L494" s="126">
        <v>1.3</v>
      </c>
      <c r="M494" s="126">
        <v>4.3999999999999997E-2</v>
      </c>
      <c r="N494" s="126">
        <v>0</v>
      </c>
      <c r="O494" s="126">
        <v>0.68</v>
      </c>
      <c r="P494" s="126">
        <v>0.92</v>
      </c>
      <c r="Q494" s="126">
        <v>0.94</v>
      </c>
      <c r="R494" s="126">
        <v>0</v>
      </c>
      <c r="S494" s="126">
        <v>0</v>
      </c>
      <c r="T494" s="126">
        <v>0</v>
      </c>
      <c r="U494" s="126">
        <v>0</v>
      </c>
      <c r="V494" s="126">
        <v>0</v>
      </c>
      <c r="W494" s="126">
        <v>0</v>
      </c>
      <c r="X494" s="126">
        <v>0</v>
      </c>
      <c r="Y494" s="126">
        <v>0</v>
      </c>
      <c r="Z494" s="142">
        <v>8</v>
      </c>
      <c r="AA494" s="126">
        <v>0</v>
      </c>
      <c r="AB494" s="126">
        <v>0</v>
      </c>
      <c r="AC494" s="126">
        <v>0</v>
      </c>
      <c r="AD494" s="126">
        <v>0</v>
      </c>
      <c r="AE494" s="126">
        <v>0</v>
      </c>
      <c r="AF494" s="126">
        <v>0</v>
      </c>
      <c r="AG494" t="s">
        <v>3307</v>
      </c>
    </row>
    <row r="495" spans="1:33" x14ac:dyDescent="0.3">
      <c r="A495">
        <v>664</v>
      </c>
      <c r="B495" t="s">
        <v>3308</v>
      </c>
      <c r="C495" t="s">
        <v>247</v>
      </c>
      <c r="D495">
        <v>0</v>
      </c>
      <c r="E495">
        <v>0</v>
      </c>
      <c r="F495">
        <v>0</v>
      </c>
      <c r="G495">
        <v>0</v>
      </c>
      <c r="H495">
        <v>0</v>
      </c>
      <c r="I495">
        <v>0</v>
      </c>
      <c r="J495" s="28">
        <v>0</v>
      </c>
      <c r="K495" s="126">
        <v>0</v>
      </c>
      <c r="L495" s="126">
        <v>0</v>
      </c>
      <c r="M495" s="126">
        <v>0</v>
      </c>
      <c r="N495" s="126">
        <v>0</v>
      </c>
      <c r="O495" s="126">
        <v>0</v>
      </c>
      <c r="P495" s="126">
        <v>0</v>
      </c>
      <c r="Q495" s="126">
        <v>0</v>
      </c>
      <c r="R495" s="126">
        <v>0</v>
      </c>
      <c r="S495" s="126">
        <v>0</v>
      </c>
      <c r="T495" s="126">
        <v>0</v>
      </c>
      <c r="U495" s="126">
        <v>0</v>
      </c>
      <c r="V495" s="126">
        <v>0</v>
      </c>
      <c r="W495" s="126">
        <v>0</v>
      </c>
      <c r="X495" s="126">
        <v>0</v>
      </c>
      <c r="Y495" s="126">
        <v>0</v>
      </c>
      <c r="Z495" s="142">
        <v>7</v>
      </c>
      <c r="AA495" s="126">
        <v>0.95</v>
      </c>
      <c r="AB495" s="126">
        <v>0</v>
      </c>
      <c r="AC495" s="126">
        <v>0</v>
      </c>
      <c r="AD495" s="126">
        <v>0</v>
      </c>
      <c r="AE495" s="126">
        <v>2.54</v>
      </c>
      <c r="AF495" s="126">
        <v>0.15</v>
      </c>
      <c r="AG495" t="s">
        <v>3255</v>
      </c>
    </row>
    <row r="496" spans="1:33" x14ac:dyDescent="0.3">
      <c r="A496">
        <v>665</v>
      </c>
      <c r="B496" t="s">
        <v>344</v>
      </c>
      <c r="C496" t="s">
        <v>199</v>
      </c>
      <c r="D496">
        <v>0</v>
      </c>
      <c r="E496">
        <v>0</v>
      </c>
      <c r="F496">
        <v>100</v>
      </c>
      <c r="G496">
        <v>1200</v>
      </c>
      <c r="H496">
        <v>0</v>
      </c>
      <c r="I496">
        <v>6.1</v>
      </c>
      <c r="J496" s="28">
        <v>8.85</v>
      </c>
      <c r="K496" s="126">
        <v>0</v>
      </c>
      <c r="L496" s="126">
        <v>0</v>
      </c>
      <c r="M496" s="126">
        <v>0.1</v>
      </c>
      <c r="N496" s="126">
        <v>0</v>
      </c>
      <c r="O496" s="126">
        <v>0.6</v>
      </c>
      <c r="P496" s="126">
        <v>0.88500000000000001</v>
      </c>
      <c r="Q496" s="126">
        <v>0.6</v>
      </c>
      <c r="R496" s="126">
        <v>0</v>
      </c>
      <c r="S496" s="126">
        <v>0</v>
      </c>
      <c r="T496" s="126">
        <v>10.16</v>
      </c>
      <c r="U496" s="126">
        <v>40.64</v>
      </c>
      <c r="V496" s="126">
        <v>76.2</v>
      </c>
      <c r="W496" s="126">
        <v>1.0149999999999999</v>
      </c>
      <c r="X496" s="126">
        <v>0</v>
      </c>
      <c r="Y496" s="126">
        <v>0</v>
      </c>
      <c r="Z496" s="142">
        <v>5</v>
      </c>
      <c r="AA496" s="126">
        <v>0</v>
      </c>
      <c r="AB496" s="126">
        <v>0</v>
      </c>
      <c r="AC496" s="126">
        <v>0</v>
      </c>
      <c r="AD496" s="126">
        <v>0</v>
      </c>
      <c r="AE496" s="126">
        <v>6.79</v>
      </c>
      <c r="AF496" s="126">
        <v>0</v>
      </c>
      <c r="AG496" t="s">
        <v>3309</v>
      </c>
    </row>
    <row r="497" spans="1:33" x14ac:dyDescent="0.3">
      <c r="A497">
        <v>666</v>
      </c>
      <c r="B497" t="s">
        <v>3310</v>
      </c>
      <c r="C497" t="s">
        <v>247</v>
      </c>
      <c r="D497">
        <v>0</v>
      </c>
      <c r="E497">
        <v>22</v>
      </c>
      <c r="F497">
        <v>0</v>
      </c>
      <c r="G497">
        <v>0</v>
      </c>
      <c r="H497">
        <v>0</v>
      </c>
      <c r="I497">
        <v>0</v>
      </c>
      <c r="J497" s="28">
        <v>0</v>
      </c>
      <c r="K497" s="126">
        <v>0</v>
      </c>
      <c r="L497" s="126">
        <v>0</v>
      </c>
      <c r="M497" s="126">
        <v>0</v>
      </c>
      <c r="N497" s="126">
        <v>0</v>
      </c>
      <c r="O497" s="126">
        <v>0</v>
      </c>
      <c r="P497" s="126">
        <v>0</v>
      </c>
      <c r="Q497" s="126">
        <v>0</v>
      </c>
      <c r="R497" s="126">
        <v>0</v>
      </c>
      <c r="S497" s="126">
        <v>0</v>
      </c>
      <c r="T497" s="126">
        <v>0</v>
      </c>
      <c r="U497" s="126">
        <v>0</v>
      </c>
      <c r="V497" s="126">
        <v>0</v>
      </c>
      <c r="W497" s="126">
        <v>0</v>
      </c>
      <c r="X497" s="126">
        <v>0</v>
      </c>
      <c r="Y497" s="126">
        <v>0</v>
      </c>
      <c r="Z497" s="142">
        <v>13</v>
      </c>
      <c r="AA497" s="126">
        <v>0</v>
      </c>
      <c r="AB497" s="126">
        <v>0</v>
      </c>
      <c r="AC497" s="126">
        <v>0</v>
      </c>
      <c r="AD497" s="126">
        <v>0</v>
      </c>
      <c r="AE497" s="126">
        <v>0</v>
      </c>
      <c r="AF497" s="126">
        <v>0</v>
      </c>
      <c r="AG497" t="s">
        <v>1490</v>
      </c>
    </row>
    <row r="498" spans="1:33" x14ac:dyDescent="0.3">
      <c r="A498">
        <v>667</v>
      </c>
      <c r="B498" t="s">
        <v>345</v>
      </c>
      <c r="C498" t="s">
        <v>199</v>
      </c>
      <c r="D498">
        <v>0</v>
      </c>
      <c r="E498">
        <v>0</v>
      </c>
      <c r="F498">
        <v>100</v>
      </c>
      <c r="G498">
        <v>1200</v>
      </c>
      <c r="H498">
        <v>0</v>
      </c>
      <c r="I498">
        <v>6.1</v>
      </c>
      <c r="J498" s="28">
        <v>8.85</v>
      </c>
      <c r="K498" s="126">
        <v>0.32</v>
      </c>
      <c r="L498" s="126">
        <v>2.1</v>
      </c>
      <c r="M498" s="126">
        <v>0.1</v>
      </c>
      <c r="N498" s="126">
        <v>0</v>
      </c>
      <c r="O498" s="126">
        <v>0.6</v>
      </c>
      <c r="P498" s="126">
        <v>0.88500000000000001</v>
      </c>
      <c r="Q498" s="126">
        <v>0.6</v>
      </c>
      <c r="R498" s="126">
        <v>0</v>
      </c>
      <c r="S498" s="126">
        <v>0.1</v>
      </c>
      <c r="T498" s="126">
        <v>10.16</v>
      </c>
      <c r="U498" s="126">
        <v>40.64</v>
      </c>
      <c r="V498" s="126">
        <v>76.2</v>
      </c>
      <c r="W498" s="126">
        <v>0.96499999999999997</v>
      </c>
      <c r="X498" s="126">
        <v>0</v>
      </c>
      <c r="Y498" s="126">
        <v>0</v>
      </c>
      <c r="Z498" s="142">
        <v>5</v>
      </c>
      <c r="AA498" s="126">
        <v>0</v>
      </c>
      <c r="AB498" s="126">
        <v>0</v>
      </c>
      <c r="AC498" s="126">
        <v>0</v>
      </c>
      <c r="AD498" s="126">
        <v>0</v>
      </c>
      <c r="AE498" s="126">
        <v>6.79</v>
      </c>
      <c r="AF498" s="126">
        <v>2.4380000000000002</v>
      </c>
      <c r="AG498" t="s">
        <v>3311</v>
      </c>
    </row>
    <row r="499" spans="1:33" x14ac:dyDescent="0.3">
      <c r="A499">
        <v>668</v>
      </c>
      <c r="B499" t="s">
        <v>346</v>
      </c>
      <c r="C499" t="s">
        <v>199</v>
      </c>
      <c r="D499">
        <v>0</v>
      </c>
      <c r="E499">
        <v>0</v>
      </c>
      <c r="F499">
        <v>100</v>
      </c>
      <c r="G499">
        <v>1200</v>
      </c>
      <c r="H499">
        <v>0</v>
      </c>
      <c r="I499">
        <v>6.1</v>
      </c>
      <c r="J499" s="28">
        <v>8.85</v>
      </c>
      <c r="K499" s="126">
        <v>0.32</v>
      </c>
      <c r="L499" s="126">
        <v>2.1</v>
      </c>
      <c r="M499" s="126">
        <v>0.1</v>
      </c>
      <c r="N499" s="126">
        <v>0</v>
      </c>
      <c r="O499" s="126">
        <v>0.6</v>
      </c>
      <c r="P499" s="126">
        <v>0.88500000000000001</v>
      </c>
      <c r="Q499" s="126">
        <v>0.6</v>
      </c>
      <c r="R499" s="126">
        <v>0</v>
      </c>
      <c r="S499" s="126">
        <v>0.1</v>
      </c>
      <c r="T499" s="126">
        <v>10.16</v>
      </c>
      <c r="U499" s="126">
        <v>40.64</v>
      </c>
      <c r="V499" s="126">
        <v>76.2</v>
      </c>
      <c r="W499" s="126">
        <v>0.76200000000000001</v>
      </c>
      <c r="X499" s="126">
        <v>0</v>
      </c>
      <c r="Y499" s="126">
        <v>0</v>
      </c>
      <c r="Z499" s="142">
        <v>5</v>
      </c>
      <c r="AA499" s="126">
        <v>0</v>
      </c>
      <c r="AB499" s="126">
        <v>0</v>
      </c>
      <c r="AC499" s="126">
        <v>0</v>
      </c>
      <c r="AD499" s="126">
        <v>0</v>
      </c>
      <c r="AE499" s="126">
        <v>6.79</v>
      </c>
      <c r="AF499" s="126">
        <v>2.4380000000000002</v>
      </c>
      <c r="AG499" t="s">
        <v>3312</v>
      </c>
    </row>
    <row r="500" spans="1:33" x14ac:dyDescent="0.3">
      <c r="A500">
        <v>669</v>
      </c>
      <c r="B500" t="s">
        <v>336</v>
      </c>
      <c r="C500" t="s">
        <v>199</v>
      </c>
      <c r="D500">
        <v>3000</v>
      </c>
      <c r="E500">
        <v>3300</v>
      </c>
      <c r="F500">
        <v>840</v>
      </c>
      <c r="G500">
        <v>15000</v>
      </c>
      <c r="H500">
        <v>7</v>
      </c>
      <c r="I500">
        <v>3</v>
      </c>
      <c r="J500" s="28">
        <v>3.22</v>
      </c>
      <c r="K500" s="126">
        <v>0.63</v>
      </c>
      <c r="L500" s="126">
        <v>1.3</v>
      </c>
      <c r="M500" s="126">
        <v>0</v>
      </c>
      <c r="N500" s="126">
        <v>0.223</v>
      </c>
      <c r="O500" s="126">
        <v>0.68</v>
      </c>
      <c r="P500" s="126">
        <v>0.92</v>
      </c>
      <c r="Q500" s="126">
        <v>0.82499999999999996</v>
      </c>
      <c r="R500" s="126">
        <v>0</v>
      </c>
      <c r="S500" s="126">
        <v>0</v>
      </c>
      <c r="T500" s="126">
        <v>0</v>
      </c>
      <c r="U500" s="126">
        <v>0</v>
      </c>
      <c r="V500" s="126">
        <v>0</v>
      </c>
      <c r="W500" s="126">
        <v>0</v>
      </c>
      <c r="X500" s="126">
        <v>0</v>
      </c>
      <c r="Y500" s="126">
        <v>0</v>
      </c>
      <c r="Z500" s="142">
        <v>9</v>
      </c>
      <c r="AA500" s="126">
        <v>0</v>
      </c>
      <c r="AB500" s="126">
        <v>0</v>
      </c>
      <c r="AC500" s="126">
        <v>0</v>
      </c>
      <c r="AD500" s="126">
        <v>0</v>
      </c>
      <c r="AE500" s="126">
        <v>5</v>
      </c>
      <c r="AF500" s="126">
        <v>2.6</v>
      </c>
      <c r="AG500" t="s">
        <v>1873</v>
      </c>
    </row>
    <row r="501" spans="1:33" x14ac:dyDescent="0.3">
      <c r="A501">
        <v>670</v>
      </c>
      <c r="B501" t="s">
        <v>332</v>
      </c>
      <c r="C501" t="s">
        <v>311</v>
      </c>
      <c r="D501">
        <v>13462</v>
      </c>
      <c r="E501">
        <v>14809</v>
      </c>
      <c r="F501">
        <v>200</v>
      </c>
      <c r="G501">
        <v>2000</v>
      </c>
      <c r="H501">
        <v>0</v>
      </c>
      <c r="I501">
        <v>0.9</v>
      </c>
      <c r="J501" s="28">
        <v>1.61</v>
      </c>
      <c r="K501" s="126">
        <v>0.19</v>
      </c>
      <c r="L501" s="126">
        <v>1.3</v>
      </c>
      <c r="M501" s="126">
        <v>1.1000000000000001</v>
      </c>
      <c r="N501" s="126">
        <v>0</v>
      </c>
      <c r="O501" s="126">
        <v>0.6</v>
      </c>
      <c r="P501" s="126">
        <v>0.92</v>
      </c>
      <c r="Q501" s="126">
        <v>0.95</v>
      </c>
      <c r="R501" s="126">
        <v>0</v>
      </c>
      <c r="S501" s="126">
        <v>0</v>
      </c>
      <c r="T501" s="126">
        <v>0</v>
      </c>
      <c r="U501" s="126">
        <v>300</v>
      </c>
      <c r="V501" s="126">
        <v>0</v>
      </c>
      <c r="W501" s="126">
        <v>0</v>
      </c>
      <c r="X501" s="126">
        <v>0</v>
      </c>
      <c r="Y501" s="126">
        <v>0</v>
      </c>
      <c r="Z501" s="142">
        <v>8</v>
      </c>
      <c r="AA501" s="126">
        <v>0</v>
      </c>
      <c r="AB501" s="126">
        <v>0</v>
      </c>
      <c r="AC501" s="126">
        <v>0</v>
      </c>
      <c r="AD501" s="126">
        <v>0</v>
      </c>
      <c r="AE501" s="126">
        <v>0</v>
      </c>
      <c r="AF501" s="126">
        <v>0</v>
      </c>
      <c r="AG501" t="s">
        <v>1877</v>
      </c>
    </row>
    <row r="502" spans="1:33" x14ac:dyDescent="0.3">
      <c r="A502">
        <v>671</v>
      </c>
      <c r="B502" t="s">
        <v>258</v>
      </c>
      <c r="C502" t="s">
        <v>247</v>
      </c>
      <c r="D502">
        <v>0</v>
      </c>
      <c r="E502">
        <v>194</v>
      </c>
      <c r="F502">
        <v>260</v>
      </c>
      <c r="G502">
        <v>2500</v>
      </c>
      <c r="H502">
        <v>149</v>
      </c>
      <c r="I502">
        <v>1.5</v>
      </c>
      <c r="J502" s="28">
        <v>4.18</v>
      </c>
      <c r="K502" s="126">
        <v>0.11</v>
      </c>
      <c r="L502" s="126">
        <v>1.8</v>
      </c>
      <c r="M502" s="126">
        <v>0.1</v>
      </c>
      <c r="N502" s="126">
        <v>0.223</v>
      </c>
      <c r="O502" s="126">
        <v>0.64</v>
      </c>
      <c r="P502" s="126">
        <v>0.88500000000000001</v>
      </c>
      <c r="Q502" s="126">
        <v>0.7</v>
      </c>
      <c r="R502" s="126">
        <v>0</v>
      </c>
      <c r="S502" s="126">
        <v>0</v>
      </c>
      <c r="T502" s="126">
        <v>0</v>
      </c>
      <c r="U502" s="126">
        <v>-150</v>
      </c>
      <c r="V502" s="126">
        <v>0</v>
      </c>
      <c r="W502" s="126">
        <v>0</v>
      </c>
      <c r="X502" s="126">
        <v>0</v>
      </c>
      <c r="Y502" s="126">
        <v>0</v>
      </c>
      <c r="Z502" s="142">
        <v>2</v>
      </c>
      <c r="AA502" s="126">
        <v>0.95</v>
      </c>
      <c r="AB502" s="126">
        <v>0</v>
      </c>
      <c r="AC502" s="126">
        <v>0</v>
      </c>
      <c r="AD502" s="126">
        <v>0</v>
      </c>
      <c r="AE502" s="126">
        <v>6.47</v>
      </c>
      <c r="AF502" s="126">
        <v>0.15</v>
      </c>
      <c r="AG502" t="s">
        <v>2465</v>
      </c>
    </row>
    <row r="503" spans="1:33" x14ac:dyDescent="0.3">
      <c r="A503">
        <v>672</v>
      </c>
      <c r="B503" t="s">
        <v>262</v>
      </c>
      <c r="C503" t="s">
        <v>247</v>
      </c>
      <c r="D503">
        <v>0</v>
      </c>
      <c r="E503">
        <v>35</v>
      </c>
      <c r="F503">
        <v>145</v>
      </c>
      <c r="G503">
        <v>2000</v>
      </c>
      <c r="H503">
        <v>149</v>
      </c>
      <c r="I503">
        <v>4.9000000000000004</v>
      </c>
      <c r="J503" s="28">
        <v>6.92</v>
      </c>
      <c r="K503" s="126">
        <v>0.11</v>
      </c>
      <c r="L503" s="126">
        <v>1.8</v>
      </c>
      <c r="M503" s="126">
        <v>0.1</v>
      </c>
      <c r="N503" s="126">
        <v>0.223</v>
      </c>
      <c r="O503" s="126">
        <v>0.64</v>
      </c>
      <c r="P503" s="126">
        <v>0.88500000000000001</v>
      </c>
      <c r="Q503" s="126">
        <v>0.75</v>
      </c>
      <c r="R503" s="126">
        <v>0</v>
      </c>
      <c r="S503" s="126">
        <v>0</v>
      </c>
      <c r="T503" s="126">
        <v>0</v>
      </c>
      <c r="U503" s="126">
        <v>-150</v>
      </c>
      <c r="V503" s="126">
        <v>0</v>
      </c>
      <c r="W503" s="126">
        <v>0</v>
      </c>
      <c r="X503" s="126">
        <v>0</v>
      </c>
      <c r="Y503" s="126">
        <v>0</v>
      </c>
      <c r="Z503" s="142">
        <v>2</v>
      </c>
      <c r="AA503" s="126">
        <v>0.95</v>
      </c>
      <c r="AB503" s="126">
        <v>0</v>
      </c>
      <c r="AC503" s="126">
        <v>0</v>
      </c>
      <c r="AD503" s="126">
        <v>0</v>
      </c>
      <c r="AE503" s="126">
        <v>6.47</v>
      </c>
      <c r="AF503" s="126">
        <v>0.15</v>
      </c>
      <c r="AG503" t="s">
        <v>3082</v>
      </c>
    </row>
    <row r="504" spans="1:33" x14ac:dyDescent="0.3">
      <c r="A504">
        <v>673</v>
      </c>
      <c r="B504" t="s">
        <v>156</v>
      </c>
      <c r="C504" t="s">
        <v>247</v>
      </c>
      <c r="D504">
        <v>3</v>
      </c>
      <c r="E504">
        <v>0</v>
      </c>
      <c r="F504">
        <v>550</v>
      </c>
      <c r="G504">
        <v>12000</v>
      </c>
      <c r="H504">
        <v>63</v>
      </c>
      <c r="I504">
        <v>0.3</v>
      </c>
      <c r="J504" s="28">
        <v>0</v>
      </c>
      <c r="K504" s="126">
        <v>1.2</v>
      </c>
      <c r="L504" s="126">
        <v>1E-3</v>
      </c>
      <c r="M504" s="126">
        <v>0.1</v>
      </c>
      <c r="N504" s="126">
        <v>0.36599999999999999</v>
      </c>
      <c r="O504" s="126">
        <v>0.68</v>
      </c>
      <c r="P504" s="126">
        <v>0.92</v>
      </c>
      <c r="Q504" s="126">
        <v>0</v>
      </c>
      <c r="R504" s="126">
        <v>0</v>
      </c>
      <c r="S504" s="126">
        <v>0</v>
      </c>
      <c r="T504" s="126">
        <v>0</v>
      </c>
      <c r="U504" s="126">
        <v>0</v>
      </c>
      <c r="V504" s="126">
        <v>0</v>
      </c>
      <c r="W504" s="126">
        <v>0</v>
      </c>
      <c r="X504" s="126">
        <v>0</v>
      </c>
      <c r="Y504" s="126">
        <v>0</v>
      </c>
      <c r="Z504" s="142">
        <v>4</v>
      </c>
      <c r="AA504" s="126">
        <v>0</v>
      </c>
      <c r="AB504" s="126">
        <v>0</v>
      </c>
      <c r="AC504" s="126">
        <v>0</v>
      </c>
      <c r="AD504" s="126">
        <v>0</v>
      </c>
      <c r="AE504" s="126">
        <v>0</v>
      </c>
      <c r="AF504" s="126">
        <v>0.15</v>
      </c>
      <c r="AG504" t="s">
        <v>2412</v>
      </c>
    </row>
    <row r="505" spans="1:33" x14ac:dyDescent="0.3">
      <c r="A505">
        <v>674</v>
      </c>
      <c r="B505" t="s">
        <v>182</v>
      </c>
      <c r="C505" t="s">
        <v>247</v>
      </c>
      <c r="D505">
        <v>5</v>
      </c>
      <c r="E505">
        <v>0</v>
      </c>
      <c r="F505">
        <v>640</v>
      </c>
      <c r="G505">
        <v>12000</v>
      </c>
      <c r="H505">
        <v>101</v>
      </c>
      <c r="I505">
        <v>0.3</v>
      </c>
      <c r="J505" s="28">
        <v>0</v>
      </c>
      <c r="K505" s="126">
        <v>1</v>
      </c>
      <c r="L505" s="126">
        <v>1E-3</v>
      </c>
      <c r="M505" s="126">
        <v>0.1</v>
      </c>
      <c r="N505" s="126">
        <v>0.223</v>
      </c>
      <c r="O505" s="126">
        <v>0.68</v>
      </c>
      <c r="P505" s="126">
        <v>0.92</v>
      </c>
      <c r="Q505" s="126">
        <v>0</v>
      </c>
      <c r="R505" s="126">
        <v>0</v>
      </c>
      <c r="S505" s="126">
        <v>0</v>
      </c>
      <c r="T505" s="126">
        <v>0</v>
      </c>
      <c r="U505" s="126">
        <v>0</v>
      </c>
      <c r="V505" s="126">
        <v>0</v>
      </c>
      <c r="W505" s="126">
        <v>0</v>
      </c>
      <c r="X505" s="126">
        <v>0</v>
      </c>
      <c r="Y505" s="126">
        <v>0</v>
      </c>
      <c r="Z505" s="142">
        <v>4</v>
      </c>
      <c r="AA505" s="126">
        <v>0</v>
      </c>
      <c r="AB505" s="126">
        <v>0</v>
      </c>
      <c r="AC505" s="126">
        <v>0</v>
      </c>
      <c r="AD505" s="126">
        <v>0</v>
      </c>
      <c r="AE505" s="126">
        <v>0</v>
      </c>
      <c r="AF505" s="126">
        <v>0.15</v>
      </c>
      <c r="AG505" t="s">
        <v>2420</v>
      </c>
    </row>
    <row r="506" spans="1:33" x14ac:dyDescent="0.3">
      <c r="A506">
        <v>675</v>
      </c>
      <c r="B506" t="s">
        <v>185</v>
      </c>
      <c r="C506" t="s">
        <v>247</v>
      </c>
      <c r="D506">
        <v>9</v>
      </c>
      <c r="E506">
        <v>0</v>
      </c>
      <c r="F506">
        <v>800</v>
      </c>
      <c r="G506">
        <v>12000</v>
      </c>
      <c r="H506">
        <v>168</v>
      </c>
      <c r="I506">
        <v>0.3</v>
      </c>
      <c r="J506" s="28">
        <v>0</v>
      </c>
      <c r="K506" s="126">
        <v>1</v>
      </c>
      <c r="L506" s="126">
        <v>1E-3</v>
      </c>
      <c r="M506" s="126">
        <v>0.1</v>
      </c>
      <c r="N506" s="126">
        <v>0.223</v>
      </c>
      <c r="O506" s="126">
        <v>0.68</v>
      </c>
      <c r="P506" s="126">
        <v>0.92</v>
      </c>
      <c r="Q506" s="126">
        <v>0</v>
      </c>
      <c r="R506" s="126">
        <v>0</v>
      </c>
      <c r="S506" s="126">
        <v>0</v>
      </c>
      <c r="T506" s="126">
        <v>0</v>
      </c>
      <c r="U506" s="126">
        <v>0</v>
      </c>
      <c r="V506" s="126">
        <v>0</v>
      </c>
      <c r="W506" s="126">
        <v>0</v>
      </c>
      <c r="X506" s="126">
        <v>0</v>
      </c>
      <c r="Y506" s="126">
        <v>0</v>
      </c>
      <c r="Z506" s="142">
        <v>4</v>
      </c>
      <c r="AA506" s="126">
        <v>0</v>
      </c>
      <c r="AB506" s="126">
        <v>0</v>
      </c>
      <c r="AC506" s="126">
        <v>0</v>
      </c>
      <c r="AD506" s="126">
        <v>0</v>
      </c>
      <c r="AE506" s="126">
        <v>0</v>
      </c>
      <c r="AF506" s="126">
        <v>0.15</v>
      </c>
      <c r="AG506" t="s">
        <v>2423</v>
      </c>
    </row>
    <row r="507" spans="1:33" x14ac:dyDescent="0.3">
      <c r="A507">
        <v>676</v>
      </c>
      <c r="B507" t="s">
        <v>191</v>
      </c>
      <c r="C507" t="s">
        <v>247</v>
      </c>
      <c r="D507">
        <v>4</v>
      </c>
      <c r="E507">
        <v>0</v>
      </c>
      <c r="F507">
        <v>525</v>
      </c>
      <c r="G507">
        <v>12000</v>
      </c>
      <c r="H507">
        <v>75</v>
      </c>
      <c r="I507">
        <v>0.3</v>
      </c>
      <c r="J507" s="28">
        <v>0</v>
      </c>
      <c r="K507" s="126">
        <v>1</v>
      </c>
      <c r="L507" s="126">
        <v>1E-3</v>
      </c>
      <c r="M507" s="126">
        <v>0.1</v>
      </c>
      <c r="N507" s="126">
        <v>0.223</v>
      </c>
      <c r="O507" s="126">
        <v>0.68</v>
      </c>
      <c r="P507" s="126">
        <v>0.92</v>
      </c>
      <c r="Q507" s="126">
        <v>0</v>
      </c>
      <c r="R507" s="126">
        <v>0</v>
      </c>
      <c r="S507" s="126">
        <v>0</v>
      </c>
      <c r="T507" s="126">
        <v>0</v>
      </c>
      <c r="U507" s="126">
        <v>0</v>
      </c>
      <c r="V507" s="126">
        <v>0</v>
      </c>
      <c r="W507" s="126">
        <v>0</v>
      </c>
      <c r="X507" s="126">
        <v>0</v>
      </c>
      <c r="Y507" s="126">
        <v>0</v>
      </c>
      <c r="Z507" s="142">
        <v>4</v>
      </c>
      <c r="AA507" s="126">
        <v>0</v>
      </c>
      <c r="AB507" s="126">
        <v>0</v>
      </c>
      <c r="AC507" s="126">
        <v>0</v>
      </c>
      <c r="AD507" s="126">
        <v>0</v>
      </c>
      <c r="AE507" s="126">
        <v>0</v>
      </c>
      <c r="AF507" s="126">
        <v>0.15</v>
      </c>
      <c r="AG507" t="s">
        <v>2428</v>
      </c>
    </row>
    <row r="508" spans="1:33" x14ac:dyDescent="0.3">
      <c r="A508">
        <v>677</v>
      </c>
      <c r="B508" t="s">
        <v>196</v>
      </c>
      <c r="C508" t="s">
        <v>247</v>
      </c>
      <c r="D508">
        <v>9</v>
      </c>
      <c r="E508">
        <v>0</v>
      </c>
      <c r="F508">
        <v>800</v>
      </c>
      <c r="G508">
        <v>12000</v>
      </c>
      <c r="H508">
        <v>168</v>
      </c>
      <c r="I508">
        <v>0.3</v>
      </c>
      <c r="J508" s="28">
        <v>0</v>
      </c>
      <c r="K508" s="126">
        <v>1</v>
      </c>
      <c r="L508" s="126">
        <v>1E-3</v>
      </c>
      <c r="M508" s="126">
        <v>0.1</v>
      </c>
      <c r="N508" s="126">
        <v>0.223</v>
      </c>
      <c r="O508" s="126">
        <v>0.68</v>
      </c>
      <c r="P508" s="126">
        <v>0.92</v>
      </c>
      <c r="Q508" s="126">
        <v>0</v>
      </c>
      <c r="R508" s="126">
        <v>0</v>
      </c>
      <c r="S508" s="126">
        <v>0</v>
      </c>
      <c r="T508" s="126">
        <v>0</v>
      </c>
      <c r="U508" s="126">
        <v>0</v>
      </c>
      <c r="V508" s="126">
        <v>0</v>
      </c>
      <c r="W508" s="126">
        <v>0</v>
      </c>
      <c r="X508" s="126">
        <v>0</v>
      </c>
      <c r="Y508" s="126">
        <v>0</v>
      </c>
      <c r="Z508" s="142">
        <v>4</v>
      </c>
      <c r="AA508" s="126">
        <v>0</v>
      </c>
      <c r="AB508" s="126">
        <v>0</v>
      </c>
      <c r="AC508" s="126">
        <v>0</v>
      </c>
      <c r="AD508" s="126">
        <v>0</v>
      </c>
      <c r="AE508" s="126">
        <v>0</v>
      </c>
      <c r="AF508" s="126">
        <v>0.15</v>
      </c>
      <c r="AG508" t="s">
        <v>2433</v>
      </c>
    </row>
    <row r="509" spans="1:33" x14ac:dyDescent="0.3">
      <c r="A509">
        <v>678</v>
      </c>
      <c r="B509" t="s">
        <v>165</v>
      </c>
      <c r="C509" t="s">
        <v>247</v>
      </c>
      <c r="D509">
        <v>8</v>
      </c>
      <c r="E509">
        <v>0</v>
      </c>
      <c r="F509">
        <v>685</v>
      </c>
      <c r="G509">
        <v>12000</v>
      </c>
      <c r="H509">
        <v>153</v>
      </c>
      <c r="I509">
        <v>0.3</v>
      </c>
      <c r="J509" s="28">
        <v>0</v>
      </c>
      <c r="K509" s="126">
        <v>1.2</v>
      </c>
      <c r="L509" s="126">
        <v>1E-3</v>
      </c>
      <c r="M509" s="126">
        <v>0.1</v>
      </c>
      <c r="N509" s="126">
        <v>0.223</v>
      </c>
      <c r="O509" s="126">
        <v>0.68</v>
      </c>
      <c r="P509" s="126">
        <v>0.92</v>
      </c>
      <c r="Q509" s="126">
        <v>0</v>
      </c>
      <c r="R509" s="126">
        <v>0</v>
      </c>
      <c r="S509" s="126">
        <v>0</v>
      </c>
      <c r="T509" s="126">
        <v>0</v>
      </c>
      <c r="U509" s="126">
        <v>0</v>
      </c>
      <c r="V509" s="126">
        <v>0</v>
      </c>
      <c r="W509" s="126">
        <v>0</v>
      </c>
      <c r="X509" s="126">
        <v>0</v>
      </c>
      <c r="Y509" s="126">
        <v>0</v>
      </c>
      <c r="Z509" s="142">
        <v>4</v>
      </c>
      <c r="AA509" s="126">
        <v>0</v>
      </c>
      <c r="AB509" s="126">
        <v>0</v>
      </c>
      <c r="AC509" s="126">
        <v>0</v>
      </c>
      <c r="AD509" s="126">
        <v>0</v>
      </c>
      <c r="AE509" s="126">
        <v>0</v>
      </c>
      <c r="AF509" s="126">
        <v>0.15</v>
      </c>
      <c r="AG509" t="s">
        <v>2824</v>
      </c>
    </row>
    <row r="510" spans="1:33" x14ac:dyDescent="0.3">
      <c r="A510">
        <v>679</v>
      </c>
      <c r="B510" t="s">
        <v>174</v>
      </c>
      <c r="C510" t="s">
        <v>247</v>
      </c>
      <c r="D510">
        <v>7</v>
      </c>
      <c r="E510">
        <v>0</v>
      </c>
      <c r="F510">
        <v>660</v>
      </c>
      <c r="G510">
        <v>12000</v>
      </c>
      <c r="H510">
        <v>130</v>
      </c>
      <c r="I510">
        <v>0.3</v>
      </c>
      <c r="J510" s="28">
        <v>0</v>
      </c>
      <c r="K510" s="126">
        <v>1</v>
      </c>
      <c r="L510" s="126">
        <v>1E-3</v>
      </c>
      <c r="M510" s="126">
        <v>0.1</v>
      </c>
      <c r="N510" s="126">
        <v>0.223</v>
      </c>
      <c r="O510" s="126">
        <v>0.68</v>
      </c>
      <c r="P510" s="126">
        <v>0.92</v>
      </c>
      <c r="Q510" s="126">
        <v>0</v>
      </c>
      <c r="R510" s="126">
        <v>0</v>
      </c>
      <c r="S510" s="126">
        <v>0</v>
      </c>
      <c r="T510" s="126">
        <v>0</v>
      </c>
      <c r="U510" s="126">
        <v>0</v>
      </c>
      <c r="V510" s="126">
        <v>0</v>
      </c>
      <c r="W510" s="126">
        <v>0</v>
      </c>
      <c r="X510" s="126">
        <v>0</v>
      </c>
      <c r="Y510" s="126">
        <v>0</v>
      </c>
      <c r="Z510" s="142">
        <v>4</v>
      </c>
      <c r="AA510" s="126">
        <v>0</v>
      </c>
      <c r="AB510" s="126">
        <v>0</v>
      </c>
      <c r="AC510" s="126">
        <v>0</v>
      </c>
      <c r="AD510" s="126">
        <v>0</v>
      </c>
      <c r="AE510" s="126">
        <v>0</v>
      </c>
      <c r="AF510" s="126">
        <v>0.15</v>
      </c>
      <c r="AG510" t="s">
        <v>2833</v>
      </c>
    </row>
    <row r="511" spans="1:33" x14ac:dyDescent="0.3">
      <c r="A511">
        <v>680</v>
      </c>
      <c r="B511" t="s">
        <v>158</v>
      </c>
      <c r="C511" t="s">
        <v>247</v>
      </c>
      <c r="D511">
        <v>3</v>
      </c>
      <c r="E511">
        <v>0</v>
      </c>
      <c r="F511">
        <v>550</v>
      </c>
      <c r="G511">
        <v>12000</v>
      </c>
      <c r="H511">
        <v>63</v>
      </c>
      <c r="I511">
        <v>0.3</v>
      </c>
      <c r="J511" s="28">
        <v>0</v>
      </c>
      <c r="K511" s="126">
        <v>1.2</v>
      </c>
      <c r="L511" s="126">
        <v>1E-3</v>
      </c>
      <c r="M511" s="126">
        <v>0.1</v>
      </c>
      <c r="N511" s="126">
        <v>0.223</v>
      </c>
      <c r="O511" s="126">
        <v>0.68</v>
      </c>
      <c r="P511" s="126">
        <v>0.92</v>
      </c>
      <c r="Q511" s="126">
        <v>0</v>
      </c>
      <c r="R511" s="126">
        <v>0</v>
      </c>
      <c r="S511" s="126">
        <v>0</v>
      </c>
      <c r="T511" s="126">
        <v>0</v>
      </c>
      <c r="U511" s="126">
        <v>0</v>
      </c>
      <c r="V511" s="126">
        <v>0</v>
      </c>
      <c r="W511" s="126">
        <v>0</v>
      </c>
      <c r="X511" s="126">
        <v>0</v>
      </c>
      <c r="Y511" s="126">
        <v>0</v>
      </c>
      <c r="Z511" s="142">
        <v>4</v>
      </c>
      <c r="AA511" s="126">
        <v>0</v>
      </c>
      <c r="AB511" s="126">
        <v>0</v>
      </c>
      <c r="AC511" s="126">
        <v>0</v>
      </c>
      <c r="AD511" s="126">
        <v>0</v>
      </c>
      <c r="AE511" s="126">
        <v>0</v>
      </c>
      <c r="AF511" s="126">
        <v>0.15</v>
      </c>
      <c r="AG511" t="s">
        <v>2819</v>
      </c>
    </row>
    <row r="512" spans="1:33" x14ac:dyDescent="0.3">
      <c r="A512">
        <v>681</v>
      </c>
      <c r="B512" t="s">
        <v>157</v>
      </c>
      <c r="C512" t="s">
        <v>247</v>
      </c>
      <c r="D512">
        <v>3</v>
      </c>
      <c r="E512">
        <v>0</v>
      </c>
      <c r="F512">
        <v>550</v>
      </c>
      <c r="G512">
        <v>12000</v>
      </c>
      <c r="H512">
        <v>63</v>
      </c>
      <c r="I512">
        <v>0.3</v>
      </c>
      <c r="J512" s="28">
        <v>0</v>
      </c>
      <c r="K512" s="126">
        <v>1.2</v>
      </c>
      <c r="L512" s="126">
        <v>1E-3</v>
      </c>
      <c r="M512" s="126">
        <v>0.1</v>
      </c>
      <c r="N512" s="126">
        <v>0.30499999999999999</v>
      </c>
      <c r="O512" s="126">
        <v>0.68</v>
      </c>
      <c r="P512" s="126">
        <v>0.92</v>
      </c>
      <c r="Q512" s="126">
        <v>0</v>
      </c>
      <c r="R512" s="126">
        <v>0</v>
      </c>
      <c r="S512" s="126">
        <v>0</v>
      </c>
      <c r="T512" s="126">
        <v>0</v>
      </c>
      <c r="U512" s="126">
        <v>0</v>
      </c>
      <c r="V512" s="126">
        <v>0</v>
      </c>
      <c r="W512" s="126">
        <v>0</v>
      </c>
      <c r="X512" s="126">
        <v>0</v>
      </c>
      <c r="Y512" s="126">
        <v>0</v>
      </c>
      <c r="Z512" s="142">
        <v>4</v>
      </c>
      <c r="AA512" s="126">
        <v>0</v>
      </c>
      <c r="AB512" s="126">
        <v>0</v>
      </c>
      <c r="AC512" s="126">
        <v>0</v>
      </c>
      <c r="AD512" s="126">
        <v>0</v>
      </c>
      <c r="AE512" s="126">
        <v>0</v>
      </c>
      <c r="AF512" s="126">
        <v>0.15</v>
      </c>
      <c r="AG512" t="s">
        <v>2413</v>
      </c>
    </row>
    <row r="513" spans="1:33" x14ac:dyDescent="0.3">
      <c r="A513">
        <v>682</v>
      </c>
      <c r="B513" t="s">
        <v>328</v>
      </c>
      <c r="C513" t="s">
        <v>187</v>
      </c>
      <c r="D513">
        <v>260</v>
      </c>
      <c r="E513">
        <v>275</v>
      </c>
      <c r="F513">
        <v>100</v>
      </c>
      <c r="G513">
        <v>2500</v>
      </c>
      <c r="H513">
        <v>0</v>
      </c>
      <c r="I513">
        <v>0</v>
      </c>
      <c r="J513" s="28">
        <v>0</v>
      </c>
      <c r="K513" s="126">
        <v>0.15</v>
      </c>
      <c r="L513" s="126">
        <v>1.6</v>
      </c>
      <c r="M513" s="126">
        <v>0.1</v>
      </c>
      <c r="N513" s="126">
        <v>0.30499999999999999</v>
      </c>
      <c r="O513" s="126">
        <v>0.56000000000000005</v>
      </c>
      <c r="P513" s="126">
        <v>0.88500000000000001</v>
      </c>
      <c r="Q513" s="126">
        <v>1</v>
      </c>
      <c r="R513" s="126">
        <v>0</v>
      </c>
      <c r="S513" s="126">
        <v>0</v>
      </c>
      <c r="T513" s="126">
        <v>0</v>
      </c>
      <c r="U513" s="126">
        <v>-199.898</v>
      </c>
      <c r="V513" s="126">
        <v>0</v>
      </c>
      <c r="W513" s="126">
        <v>0</v>
      </c>
      <c r="X513" s="126">
        <v>0</v>
      </c>
      <c r="Y513" s="126">
        <v>0</v>
      </c>
      <c r="Z513" s="142">
        <v>2</v>
      </c>
      <c r="AA513" s="126">
        <v>0.9</v>
      </c>
      <c r="AB513" s="126">
        <v>0.9</v>
      </c>
      <c r="AC513" s="126">
        <v>0</v>
      </c>
      <c r="AD513" s="126">
        <v>0</v>
      </c>
      <c r="AE513" s="126">
        <v>6.47</v>
      </c>
      <c r="AF513" s="126">
        <v>0.15</v>
      </c>
      <c r="AG513" t="s">
        <v>328</v>
      </c>
    </row>
    <row r="514" spans="1:33" x14ac:dyDescent="0.3">
      <c r="A514">
        <v>683</v>
      </c>
      <c r="B514" t="s">
        <v>3313</v>
      </c>
      <c r="C514" t="s">
        <v>247</v>
      </c>
      <c r="D514">
        <v>0</v>
      </c>
      <c r="E514">
        <v>67</v>
      </c>
      <c r="F514">
        <v>0</v>
      </c>
      <c r="G514">
        <v>0</v>
      </c>
      <c r="H514">
        <v>0</v>
      </c>
      <c r="I514">
        <v>0</v>
      </c>
      <c r="J514" s="28">
        <v>0</v>
      </c>
      <c r="K514" s="126">
        <v>0</v>
      </c>
      <c r="L514" s="126">
        <v>0</v>
      </c>
      <c r="M514" s="126">
        <v>0</v>
      </c>
      <c r="N514" s="126">
        <v>0</v>
      </c>
      <c r="O514" s="126">
        <v>0</v>
      </c>
      <c r="P514" s="126">
        <v>0</v>
      </c>
      <c r="Q514" s="126">
        <v>0</v>
      </c>
      <c r="R514" s="126">
        <v>0</v>
      </c>
      <c r="S514" s="126">
        <v>0</v>
      </c>
      <c r="T514" s="126">
        <v>0</v>
      </c>
      <c r="U514" s="126">
        <v>0</v>
      </c>
      <c r="V514" s="126">
        <v>0</v>
      </c>
      <c r="W514" s="126">
        <v>0</v>
      </c>
      <c r="X514" s="126">
        <v>0</v>
      </c>
      <c r="Y514" s="126">
        <v>0</v>
      </c>
      <c r="Z514" s="142">
        <v>2</v>
      </c>
      <c r="AA514" s="126">
        <v>0.95</v>
      </c>
      <c r="AB514" s="126">
        <v>0</v>
      </c>
      <c r="AC514" s="126">
        <v>0</v>
      </c>
      <c r="AD514" s="126">
        <v>0</v>
      </c>
      <c r="AE514" s="126">
        <v>0</v>
      </c>
      <c r="AF514" s="126">
        <v>0.15</v>
      </c>
      <c r="AG514" t="s">
        <v>3314</v>
      </c>
    </row>
    <row r="515" spans="1:33" x14ac:dyDescent="0.3">
      <c r="A515">
        <v>684</v>
      </c>
      <c r="B515" t="s">
        <v>3315</v>
      </c>
      <c r="C515" t="s">
        <v>247</v>
      </c>
      <c r="D515">
        <v>5</v>
      </c>
      <c r="E515">
        <v>0</v>
      </c>
      <c r="F515">
        <v>0</v>
      </c>
      <c r="G515">
        <v>0</v>
      </c>
      <c r="H515">
        <v>0</v>
      </c>
      <c r="I515">
        <v>0</v>
      </c>
      <c r="J515" s="28">
        <v>0</v>
      </c>
      <c r="K515" s="126">
        <v>0</v>
      </c>
      <c r="L515" s="126">
        <v>0</v>
      </c>
      <c r="M515" s="126">
        <v>0</v>
      </c>
      <c r="N515" s="126">
        <v>0</v>
      </c>
      <c r="O515" s="126">
        <v>0</v>
      </c>
      <c r="P515" s="126">
        <v>0</v>
      </c>
      <c r="Q515" s="126">
        <v>0</v>
      </c>
      <c r="R515" s="126">
        <v>0</v>
      </c>
      <c r="S515" s="126">
        <v>0</v>
      </c>
      <c r="T515" s="126">
        <v>0</v>
      </c>
      <c r="U515" s="126">
        <v>0</v>
      </c>
      <c r="V515" s="126">
        <v>0</v>
      </c>
      <c r="W515" s="126">
        <v>0</v>
      </c>
      <c r="X515" s="126">
        <v>0</v>
      </c>
      <c r="Y515" s="126">
        <v>0</v>
      </c>
      <c r="Z515" s="142">
        <v>9</v>
      </c>
      <c r="AA515" s="126">
        <v>0</v>
      </c>
      <c r="AB515" s="126">
        <v>0</v>
      </c>
      <c r="AC515" s="126">
        <v>0</v>
      </c>
      <c r="AD515" s="126">
        <v>0</v>
      </c>
      <c r="AE515" s="126">
        <v>0</v>
      </c>
      <c r="AF515" s="126">
        <v>0</v>
      </c>
      <c r="AG515" t="s">
        <v>3316</v>
      </c>
    </row>
    <row r="516" spans="1:33" x14ac:dyDescent="0.3">
      <c r="A516">
        <v>685</v>
      </c>
      <c r="B516" t="s">
        <v>3317</v>
      </c>
      <c r="C516" t="s">
        <v>247</v>
      </c>
      <c r="D516">
        <v>0</v>
      </c>
      <c r="E516">
        <v>3</v>
      </c>
      <c r="F516">
        <v>0</v>
      </c>
      <c r="G516">
        <v>0</v>
      </c>
      <c r="H516">
        <v>0</v>
      </c>
      <c r="I516">
        <v>0</v>
      </c>
      <c r="J516" s="28">
        <v>0</v>
      </c>
      <c r="K516" s="126">
        <v>0</v>
      </c>
      <c r="L516" s="126">
        <v>0</v>
      </c>
      <c r="M516" s="126">
        <v>0</v>
      </c>
      <c r="N516" s="126">
        <v>0</v>
      </c>
      <c r="O516" s="126">
        <v>0</v>
      </c>
      <c r="P516" s="126">
        <v>0</v>
      </c>
      <c r="Q516" s="126">
        <v>0</v>
      </c>
      <c r="R516" s="126">
        <v>0</v>
      </c>
      <c r="S516" s="126">
        <v>0</v>
      </c>
      <c r="T516" s="126">
        <v>0</v>
      </c>
      <c r="U516" s="126">
        <v>0</v>
      </c>
      <c r="V516" s="126">
        <v>0</v>
      </c>
      <c r="W516" s="126">
        <v>0</v>
      </c>
      <c r="X516" s="126">
        <v>0</v>
      </c>
      <c r="Y516" s="126">
        <v>0</v>
      </c>
      <c r="Z516" s="142">
        <v>7</v>
      </c>
      <c r="AA516" s="126">
        <v>0</v>
      </c>
      <c r="AB516" s="126">
        <v>0</v>
      </c>
      <c r="AC516" s="126">
        <v>0</v>
      </c>
      <c r="AD516" s="126">
        <v>0</v>
      </c>
      <c r="AE516" s="126">
        <v>0</v>
      </c>
      <c r="AF516" s="126">
        <v>0</v>
      </c>
      <c r="AG516" t="s">
        <v>3318</v>
      </c>
    </row>
    <row r="517" spans="1:33" x14ac:dyDescent="0.3">
      <c r="A517">
        <v>686</v>
      </c>
      <c r="B517" t="s">
        <v>3319</v>
      </c>
      <c r="C517" t="s">
        <v>247</v>
      </c>
      <c r="D517">
        <v>0</v>
      </c>
      <c r="E517">
        <v>39</v>
      </c>
      <c r="F517">
        <v>0</v>
      </c>
      <c r="G517">
        <v>0</v>
      </c>
      <c r="H517">
        <v>0</v>
      </c>
      <c r="I517">
        <v>0</v>
      </c>
      <c r="J517" s="28">
        <v>0</v>
      </c>
      <c r="K517" s="126">
        <v>0</v>
      </c>
      <c r="L517" s="126">
        <v>0</v>
      </c>
      <c r="M517" s="126">
        <v>0</v>
      </c>
      <c r="N517" s="126">
        <v>0</v>
      </c>
      <c r="O517" s="126">
        <v>0</v>
      </c>
      <c r="P517" s="126">
        <v>0</v>
      </c>
      <c r="Q517" s="126">
        <v>0</v>
      </c>
      <c r="R517" s="126">
        <v>0</v>
      </c>
      <c r="S517" s="126">
        <v>0</v>
      </c>
      <c r="T517" s="126">
        <v>0</v>
      </c>
      <c r="U517" s="126">
        <v>0</v>
      </c>
      <c r="V517" s="126">
        <v>0</v>
      </c>
      <c r="W517" s="126">
        <v>0</v>
      </c>
      <c r="X517" s="126">
        <v>0</v>
      </c>
      <c r="Y517" s="126">
        <v>0</v>
      </c>
      <c r="Z517" s="142">
        <v>5</v>
      </c>
      <c r="AA517" s="126">
        <v>0</v>
      </c>
      <c r="AB517" s="126">
        <v>0</v>
      </c>
      <c r="AC517" s="126">
        <v>0</v>
      </c>
      <c r="AD517" s="126">
        <v>0</v>
      </c>
      <c r="AE517" s="126">
        <v>0</v>
      </c>
      <c r="AF517" s="126">
        <v>3.12</v>
      </c>
      <c r="AG517" t="s">
        <v>3320</v>
      </c>
    </row>
    <row r="518" spans="1:33" x14ac:dyDescent="0.3">
      <c r="A518">
        <v>687</v>
      </c>
      <c r="B518" t="s">
        <v>3321</v>
      </c>
      <c r="C518" t="s">
        <v>247</v>
      </c>
      <c r="D518">
        <v>0</v>
      </c>
      <c r="E518">
        <v>29</v>
      </c>
      <c r="F518">
        <v>0</v>
      </c>
      <c r="G518">
        <v>0</v>
      </c>
      <c r="H518">
        <v>0</v>
      </c>
      <c r="I518">
        <v>0</v>
      </c>
      <c r="J518" s="28">
        <v>0</v>
      </c>
      <c r="K518" s="126">
        <v>0</v>
      </c>
      <c r="L518" s="126">
        <v>0</v>
      </c>
      <c r="M518" s="126">
        <v>0</v>
      </c>
      <c r="N518" s="126">
        <v>0</v>
      </c>
      <c r="O518" s="126">
        <v>0</v>
      </c>
      <c r="P518" s="126">
        <v>0</v>
      </c>
      <c r="Q518" s="126">
        <v>0</v>
      </c>
      <c r="R518" s="126">
        <v>0</v>
      </c>
      <c r="S518" s="126">
        <v>0</v>
      </c>
      <c r="T518" s="126">
        <v>0</v>
      </c>
      <c r="U518" s="126">
        <v>0</v>
      </c>
      <c r="V518" s="126">
        <v>0</v>
      </c>
      <c r="W518" s="126">
        <v>0</v>
      </c>
      <c r="X518" s="126">
        <v>0</v>
      </c>
      <c r="Y518" s="126">
        <v>0</v>
      </c>
      <c r="Z518" s="142">
        <v>0</v>
      </c>
      <c r="AA518" s="126">
        <v>0</v>
      </c>
      <c r="AB518" s="126">
        <v>0</v>
      </c>
      <c r="AC518" s="126">
        <v>0</v>
      </c>
      <c r="AD518" s="126">
        <v>0</v>
      </c>
      <c r="AE518" s="126">
        <v>0</v>
      </c>
      <c r="AF518" s="126">
        <v>0</v>
      </c>
      <c r="AG518" t="s">
        <v>3322</v>
      </c>
    </row>
    <row r="519" spans="1:33" x14ac:dyDescent="0.3">
      <c r="A519">
        <v>688</v>
      </c>
      <c r="B519" t="s">
        <v>3323</v>
      </c>
      <c r="C519" t="s">
        <v>311</v>
      </c>
      <c r="D519">
        <v>13</v>
      </c>
      <c r="E519">
        <v>14</v>
      </c>
      <c r="F519">
        <v>200</v>
      </c>
      <c r="G519">
        <v>2000</v>
      </c>
      <c r="H519">
        <v>0</v>
      </c>
      <c r="I519">
        <v>0.9</v>
      </c>
      <c r="J519" s="28">
        <v>1.61</v>
      </c>
      <c r="K519" s="126">
        <v>0.19</v>
      </c>
      <c r="L519" s="126">
        <v>1.3</v>
      </c>
      <c r="M519" s="126">
        <v>1.1000000000000001</v>
      </c>
      <c r="N519" s="126">
        <v>0</v>
      </c>
      <c r="O519" s="126">
        <v>0.6</v>
      </c>
      <c r="P519" s="126">
        <v>1.097</v>
      </c>
      <c r="Q519" s="126">
        <v>1</v>
      </c>
      <c r="R519" s="126">
        <v>0</v>
      </c>
      <c r="S519" s="126">
        <v>0</v>
      </c>
      <c r="T519" s="126">
        <v>0</v>
      </c>
      <c r="U519" s="126">
        <v>304.8</v>
      </c>
      <c r="V519" s="126">
        <v>0</v>
      </c>
      <c r="W519" s="126">
        <v>0</v>
      </c>
      <c r="X519" s="126">
        <v>0</v>
      </c>
      <c r="Y519" s="126">
        <v>0</v>
      </c>
      <c r="Z519" s="142">
        <v>8</v>
      </c>
      <c r="AA519" s="126">
        <v>0</v>
      </c>
      <c r="AB519" s="126">
        <v>0</v>
      </c>
      <c r="AC519" s="126">
        <v>0</v>
      </c>
      <c r="AD519" s="126">
        <v>0</v>
      </c>
      <c r="AE519" s="126">
        <v>0</v>
      </c>
      <c r="AF519" s="126">
        <v>0</v>
      </c>
      <c r="AG519" t="s">
        <v>3324</v>
      </c>
    </row>
    <row r="520" spans="1:33" x14ac:dyDescent="0.3">
      <c r="A520">
        <v>689</v>
      </c>
      <c r="B520" t="s">
        <v>3325</v>
      </c>
      <c r="C520" t="s">
        <v>311</v>
      </c>
      <c r="D520">
        <v>13</v>
      </c>
      <c r="E520">
        <v>14</v>
      </c>
      <c r="F520">
        <v>200</v>
      </c>
      <c r="G520">
        <v>2000</v>
      </c>
      <c r="H520">
        <v>0</v>
      </c>
      <c r="I520">
        <v>0.9</v>
      </c>
      <c r="J520" s="28">
        <v>1.61</v>
      </c>
      <c r="K520" s="126">
        <v>0.19</v>
      </c>
      <c r="L520" s="126">
        <v>1.3</v>
      </c>
      <c r="M520" s="126">
        <v>1.1000000000000001</v>
      </c>
      <c r="N520" s="126">
        <v>0</v>
      </c>
      <c r="O520" s="126">
        <v>0.6</v>
      </c>
      <c r="P520" s="126">
        <v>1.097</v>
      </c>
      <c r="Q520" s="126">
        <v>1</v>
      </c>
      <c r="R520" s="126">
        <v>0</v>
      </c>
      <c r="S520" s="126">
        <v>0</v>
      </c>
      <c r="T520" s="126">
        <v>0</v>
      </c>
      <c r="U520" s="126">
        <v>203.2</v>
      </c>
      <c r="V520" s="126">
        <v>0</v>
      </c>
      <c r="W520" s="126">
        <v>0</v>
      </c>
      <c r="X520" s="126">
        <v>0</v>
      </c>
      <c r="Y520" s="126">
        <v>0</v>
      </c>
      <c r="Z520" s="142">
        <v>8</v>
      </c>
      <c r="AA520" s="126">
        <v>0</v>
      </c>
      <c r="AB520" s="126">
        <v>0</v>
      </c>
      <c r="AC520" s="126">
        <v>0</v>
      </c>
      <c r="AD520" s="126">
        <v>0</v>
      </c>
      <c r="AE520" s="126">
        <v>0</v>
      </c>
      <c r="AF520" s="126">
        <v>0</v>
      </c>
      <c r="AG520" t="s">
        <v>3324</v>
      </c>
    </row>
    <row r="521" spans="1:33" x14ac:dyDescent="0.3">
      <c r="A521">
        <v>690</v>
      </c>
      <c r="B521" t="s">
        <v>3326</v>
      </c>
      <c r="C521" t="s">
        <v>199</v>
      </c>
      <c r="D521">
        <v>28</v>
      </c>
      <c r="E521">
        <v>31</v>
      </c>
      <c r="F521">
        <v>100</v>
      </c>
      <c r="G521">
        <v>2500</v>
      </c>
      <c r="H521">
        <v>0</v>
      </c>
      <c r="I521">
        <v>1.5</v>
      </c>
      <c r="J521" s="28">
        <v>4.51</v>
      </c>
      <c r="K521" s="126">
        <v>0.15</v>
      </c>
      <c r="L521" s="126">
        <v>1.6</v>
      </c>
      <c r="M521" s="126">
        <v>0.1</v>
      </c>
      <c r="N521" s="126">
        <v>0</v>
      </c>
      <c r="O521" s="126">
        <v>0.56000000000000005</v>
      </c>
      <c r="P521" s="126">
        <v>0.88500000000000001</v>
      </c>
      <c r="Q521" s="126">
        <v>0.95</v>
      </c>
      <c r="R521" s="126">
        <v>0</v>
      </c>
      <c r="S521" s="126">
        <v>0</v>
      </c>
      <c r="T521" s="126">
        <v>0</v>
      </c>
      <c r="U521" s="126">
        <v>-101.6</v>
      </c>
      <c r="V521" s="126">
        <v>0</v>
      </c>
      <c r="W521" s="126">
        <v>0</v>
      </c>
      <c r="X521" s="126">
        <v>0</v>
      </c>
      <c r="Y521" s="126">
        <v>0</v>
      </c>
      <c r="Z521" s="142">
        <v>2</v>
      </c>
      <c r="AA521" s="126">
        <v>0.95</v>
      </c>
      <c r="AB521" s="126">
        <v>0.7</v>
      </c>
      <c r="AC521" s="126">
        <v>0</v>
      </c>
      <c r="AD521" s="126">
        <v>0</v>
      </c>
      <c r="AE521" s="126">
        <v>16.47</v>
      </c>
      <c r="AF521" s="126">
        <v>0.15</v>
      </c>
      <c r="AG521" t="s">
        <v>3327</v>
      </c>
    </row>
    <row r="522" spans="1:33" x14ac:dyDescent="0.3">
      <c r="A522">
        <v>691</v>
      </c>
      <c r="B522" t="s">
        <v>3328</v>
      </c>
      <c r="C522" t="s">
        <v>199</v>
      </c>
      <c r="D522">
        <v>35</v>
      </c>
      <c r="E522">
        <v>39</v>
      </c>
      <c r="F522">
        <v>50</v>
      </c>
      <c r="G522">
        <v>2500</v>
      </c>
      <c r="H522">
        <v>0</v>
      </c>
      <c r="I522">
        <v>1.8</v>
      </c>
      <c r="J522" s="28">
        <v>3.22</v>
      </c>
      <c r="K522" s="126">
        <v>0.19</v>
      </c>
      <c r="L522" s="126">
        <v>1.4</v>
      </c>
      <c r="M522" s="126">
        <v>0.1</v>
      </c>
      <c r="N522" s="126">
        <v>0</v>
      </c>
      <c r="O522" s="126">
        <v>0.6</v>
      </c>
      <c r="P522" s="126">
        <v>0.88500000000000001</v>
      </c>
      <c r="Q522" s="126">
        <v>0.95</v>
      </c>
      <c r="R522" s="126">
        <v>0</v>
      </c>
      <c r="S522" s="126">
        <v>0.8</v>
      </c>
      <c r="T522" s="126">
        <v>20.065999999999999</v>
      </c>
      <c r="U522" s="126">
        <v>150.114</v>
      </c>
      <c r="V522" s="126">
        <v>0</v>
      </c>
      <c r="W522" s="126">
        <v>0</v>
      </c>
      <c r="X522" s="126">
        <v>0</v>
      </c>
      <c r="Y522" s="126">
        <v>0</v>
      </c>
      <c r="Z522" s="142">
        <v>2</v>
      </c>
      <c r="AA522" s="126">
        <v>0.95</v>
      </c>
      <c r="AB522" s="126">
        <v>0.8</v>
      </c>
      <c r="AC522" s="126">
        <v>0</v>
      </c>
      <c r="AD522" s="126">
        <v>0</v>
      </c>
      <c r="AE522" s="126">
        <v>16.47</v>
      </c>
      <c r="AF522" s="126">
        <v>27.3</v>
      </c>
      <c r="AG522" t="s">
        <v>3329</v>
      </c>
    </row>
    <row r="523" spans="1:33" x14ac:dyDescent="0.3">
      <c r="A523">
        <v>692</v>
      </c>
      <c r="B523" t="s">
        <v>3330</v>
      </c>
      <c r="C523" t="s">
        <v>199</v>
      </c>
      <c r="D523">
        <v>27</v>
      </c>
      <c r="E523">
        <v>29</v>
      </c>
      <c r="F523">
        <v>100</v>
      </c>
      <c r="G523">
        <v>1200</v>
      </c>
      <c r="H523">
        <v>0</v>
      </c>
      <c r="I523">
        <v>6.1</v>
      </c>
      <c r="J523" s="28">
        <v>8.85</v>
      </c>
      <c r="K523" s="126">
        <v>0.32</v>
      </c>
      <c r="L523" s="126">
        <v>2.1</v>
      </c>
      <c r="M523" s="126">
        <v>0.1</v>
      </c>
      <c r="N523" s="126">
        <v>0</v>
      </c>
      <c r="O523" s="126">
        <v>0.6</v>
      </c>
      <c r="P523" s="126">
        <v>0.88500000000000001</v>
      </c>
      <c r="Q523" s="126">
        <v>0.6</v>
      </c>
      <c r="R523" s="126">
        <v>0</v>
      </c>
      <c r="S523" s="126">
        <v>0.1</v>
      </c>
      <c r="T523" s="126">
        <v>10.16</v>
      </c>
      <c r="U523" s="126">
        <v>40.64</v>
      </c>
      <c r="V523" s="126">
        <v>76.2</v>
      </c>
      <c r="W523" s="126">
        <v>0.254</v>
      </c>
      <c r="X523" s="126">
        <v>0</v>
      </c>
      <c r="Y523" s="126">
        <v>0</v>
      </c>
      <c r="Z523" s="142">
        <v>5</v>
      </c>
      <c r="AA523" s="126">
        <v>0</v>
      </c>
      <c r="AB523" s="126">
        <v>0</v>
      </c>
      <c r="AC523" s="126">
        <v>0</v>
      </c>
      <c r="AD523" s="126">
        <v>0</v>
      </c>
      <c r="AE523" s="126">
        <v>6.79</v>
      </c>
      <c r="AF523" s="126">
        <v>2.4380000000000002</v>
      </c>
      <c r="AG523" t="s">
        <v>3331</v>
      </c>
    </row>
    <row r="524" spans="1:33" x14ac:dyDescent="0.3">
      <c r="A524">
        <v>693</v>
      </c>
      <c r="B524" t="s">
        <v>332</v>
      </c>
      <c r="C524" t="s">
        <v>311</v>
      </c>
      <c r="D524">
        <v>13</v>
      </c>
      <c r="E524">
        <v>14</v>
      </c>
      <c r="F524">
        <v>200</v>
      </c>
      <c r="G524">
        <v>2000</v>
      </c>
      <c r="H524">
        <v>0</v>
      </c>
      <c r="I524">
        <v>0.9</v>
      </c>
      <c r="J524" s="28">
        <v>1.61</v>
      </c>
      <c r="K524" s="126">
        <v>0.19</v>
      </c>
      <c r="L524" s="126">
        <v>1.3</v>
      </c>
      <c r="M524" s="126">
        <v>1.1000000000000001</v>
      </c>
      <c r="N524" s="126">
        <v>0</v>
      </c>
      <c r="O524" s="126">
        <v>0.6</v>
      </c>
      <c r="P524" s="126">
        <v>1.097</v>
      </c>
      <c r="Q524" s="126">
        <v>1</v>
      </c>
      <c r="R524" s="126">
        <v>0</v>
      </c>
      <c r="S524" s="126">
        <v>0</v>
      </c>
      <c r="T524" s="126">
        <v>0</v>
      </c>
      <c r="U524" s="126">
        <v>63.5</v>
      </c>
      <c r="V524" s="126">
        <v>0</v>
      </c>
      <c r="W524" s="126">
        <v>0</v>
      </c>
      <c r="X524" s="126">
        <v>0</v>
      </c>
      <c r="Y524" s="126">
        <v>0</v>
      </c>
      <c r="Z524" s="142">
        <v>8</v>
      </c>
      <c r="AA524" s="126">
        <v>0</v>
      </c>
      <c r="AB524" s="126">
        <v>0</v>
      </c>
      <c r="AC524" s="126">
        <v>0</v>
      </c>
      <c r="AD524" s="126">
        <v>0</v>
      </c>
      <c r="AE524" s="126">
        <v>0</v>
      </c>
      <c r="AF524" s="126">
        <v>0</v>
      </c>
      <c r="AG524" t="s">
        <v>1877</v>
      </c>
    </row>
    <row r="525" spans="1:33" x14ac:dyDescent="0.3">
      <c r="A525">
        <v>694</v>
      </c>
      <c r="B525" t="s">
        <v>331</v>
      </c>
      <c r="C525" t="s">
        <v>311</v>
      </c>
      <c r="D525">
        <v>32310</v>
      </c>
      <c r="E525">
        <v>35541</v>
      </c>
      <c r="F525">
        <v>100</v>
      </c>
      <c r="G525">
        <v>20000</v>
      </c>
      <c r="H525">
        <v>41</v>
      </c>
      <c r="I525">
        <v>2.4</v>
      </c>
      <c r="J525" s="28">
        <v>3.22</v>
      </c>
      <c r="K525" s="126">
        <v>0.19</v>
      </c>
      <c r="L525" s="126">
        <v>1.3</v>
      </c>
      <c r="M525" s="126">
        <v>4.3999999999999997E-2</v>
      </c>
      <c r="N525" s="126">
        <v>0</v>
      </c>
      <c r="O525" s="126">
        <v>0.68</v>
      </c>
      <c r="P525" s="126">
        <v>0.9</v>
      </c>
      <c r="Q525" s="126">
        <v>1</v>
      </c>
      <c r="R525" s="126">
        <v>0</v>
      </c>
      <c r="S525" s="126">
        <v>0</v>
      </c>
      <c r="T525" s="126">
        <v>0</v>
      </c>
      <c r="U525" s="126">
        <v>0</v>
      </c>
      <c r="V525" s="126">
        <v>0</v>
      </c>
      <c r="W525" s="126">
        <v>0</v>
      </c>
      <c r="X525" s="126">
        <v>0</v>
      </c>
      <c r="Y525" s="126">
        <v>0</v>
      </c>
      <c r="Z525" s="142">
        <v>8</v>
      </c>
      <c r="AA525" s="126">
        <v>0</v>
      </c>
      <c r="AB525" s="126">
        <v>0</v>
      </c>
      <c r="AC525" s="126">
        <v>0</v>
      </c>
      <c r="AD525" s="126">
        <v>0</v>
      </c>
      <c r="AE525" s="126">
        <v>0</v>
      </c>
      <c r="AF525" s="126">
        <v>0</v>
      </c>
      <c r="AG525" t="s">
        <v>2494</v>
      </c>
    </row>
    <row r="526" spans="1:33" x14ac:dyDescent="0.3">
      <c r="A526">
        <v>695</v>
      </c>
      <c r="B526" t="s">
        <v>3196</v>
      </c>
      <c r="C526" t="s">
        <v>187</v>
      </c>
      <c r="D526">
        <v>96</v>
      </c>
      <c r="E526">
        <v>105</v>
      </c>
      <c r="F526">
        <v>600</v>
      </c>
      <c r="G526">
        <v>6000</v>
      </c>
      <c r="H526">
        <v>82</v>
      </c>
      <c r="I526">
        <v>3.7</v>
      </c>
      <c r="J526" s="28">
        <v>8.0399999999999991</v>
      </c>
      <c r="K526" s="126">
        <v>0.19</v>
      </c>
      <c r="L526" s="126">
        <v>1.4</v>
      </c>
      <c r="M526" s="126">
        <v>0.1</v>
      </c>
      <c r="N526" s="126">
        <v>0.42</v>
      </c>
      <c r="O526" s="126">
        <v>0.6</v>
      </c>
      <c r="P526" s="126">
        <v>0.88700000000000001</v>
      </c>
      <c r="Q526" s="126">
        <v>1</v>
      </c>
      <c r="R526" s="126">
        <v>0</v>
      </c>
      <c r="S526" s="126">
        <v>0</v>
      </c>
      <c r="T526" s="126">
        <v>0</v>
      </c>
      <c r="U526" s="126">
        <v>-101.6</v>
      </c>
      <c r="V526" s="126">
        <v>0</v>
      </c>
      <c r="W526" s="126">
        <v>0</v>
      </c>
      <c r="X526" s="126">
        <v>0</v>
      </c>
      <c r="Y526" s="126">
        <v>0</v>
      </c>
      <c r="Z526" s="142">
        <v>2</v>
      </c>
      <c r="AA526" s="126">
        <v>0.9</v>
      </c>
      <c r="AB526" s="126">
        <v>0.95</v>
      </c>
      <c r="AC526" s="126">
        <v>0</v>
      </c>
      <c r="AD526" s="126">
        <v>0.95</v>
      </c>
      <c r="AE526" s="126">
        <v>16.47</v>
      </c>
      <c r="AF526" s="126">
        <v>0.15</v>
      </c>
      <c r="AG526" t="s">
        <v>3332</v>
      </c>
    </row>
    <row r="527" spans="1:33" x14ac:dyDescent="0.3">
      <c r="A527">
        <v>696</v>
      </c>
      <c r="B527" t="s">
        <v>3333</v>
      </c>
      <c r="C527" t="s">
        <v>199</v>
      </c>
      <c r="D527">
        <v>1400</v>
      </c>
      <c r="E527">
        <v>1540</v>
      </c>
      <c r="F527">
        <v>200</v>
      </c>
      <c r="G527">
        <v>2000</v>
      </c>
      <c r="H527">
        <v>0</v>
      </c>
      <c r="I527">
        <v>3.7</v>
      </c>
      <c r="J527" s="28">
        <v>3.22</v>
      </c>
      <c r="K527" s="126">
        <v>0.32</v>
      </c>
      <c r="L527" s="126">
        <v>2.1</v>
      </c>
      <c r="M527" s="126">
        <v>0.1</v>
      </c>
      <c r="N527" s="126">
        <v>0</v>
      </c>
      <c r="O527" s="126">
        <v>0.6</v>
      </c>
      <c r="P527" s="126">
        <v>0.88500000000000001</v>
      </c>
      <c r="Q527" s="126">
        <v>0.7</v>
      </c>
      <c r="R527" s="126">
        <v>0</v>
      </c>
      <c r="S527" s="126">
        <v>0.3</v>
      </c>
      <c r="T527" s="126">
        <v>10</v>
      </c>
      <c r="U527" s="126">
        <v>100</v>
      </c>
      <c r="V527" s="126">
        <v>25</v>
      </c>
      <c r="W527" s="126">
        <v>0.91</v>
      </c>
      <c r="X527" s="126">
        <v>0</v>
      </c>
      <c r="Y527" s="126">
        <v>0</v>
      </c>
      <c r="Z527" s="142">
        <v>5</v>
      </c>
      <c r="AA527" s="126">
        <v>0</v>
      </c>
      <c r="AB527" s="126">
        <v>0</v>
      </c>
      <c r="AC527" s="126">
        <v>0</v>
      </c>
      <c r="AD527" s="126">
        <v>0</v>
      </c>
      <c r="AE527" s="126">
        <v>0</v>
      </c>
      <c r="AF527" s="126">
        <v>3.12</v>
      </c>
      <c r="AG527" t="s">
        <v>3334</v>
      </c>
    </row>
    <row r="528" spans="1:33" x14ac:dyDescent="0.3">
      <c r="A528">
        <v>697</v>
      </c>
      <c r="B528" t="s">
        <v>3335</v>
      </c>
      <c r="C528" t="s">
        <v>199</v>
      </c>
      <c r="D528">
        <v>775</v>
      </c>
      <c r="E528">
        <v>853</v>
      </c>
      <c r="F528">
        <v>200</v>
      </c>
      <c r="G528">
        <v>2000</v>
      </c>
      <c r="H528">
        <v>0</v>
      </c>
      <c r="I528">
        <v>1.5</v>
      </c>
      <c r="J528" s="28">
        <v>5.15</v>
      </c>
      <c r="K528" s="126">
        <v>0.17</v>
      </c>
      <c r="L528" s="126">
        <v>2.2000000000000002</v>
      </c>
      <c r="M528" s="126">
        <v>0</v>
      </c>
      <c r="N528" s="126">
        <v>0</v>
      </c>
      <c r="O528" s="126">
        <v>0.6</v>
      </c>
      <c r="P528" s="126">
        <v>0.88500000000000001</v>
      </c>
      <c r="Q528" s="126">
        <v>0.75</v>
      </c>
      <c r="R528" s="126">
        <v>0</v>
      </c>
      <c r="S528" s="126">
        <v>0.25</v>
      </c>
      <c r="T528" s="126">
        <v>15</v>
      </c>
      <c r="U528" s="126">
        <v>0</v>
      </c>
      <c r="V528" s="126">
        <v>0</v>
      </c>
      <c r="W528" s="126">
        <v>0</v>
      </c>
      <c r="X528" s="126">
        <v>0</v>
      </c>
      <c r="Y528" s="126">
        <v>0</v>
      </c>
      <c r="Z528" s="142">
        <v>9</v>
      </c>
      <c r="AA528" s="126">
        <v>0</v>
      </c>
      <c r="AB528" s="126">
        <v>0</v>
      </c>
      <c r="AC528" s="126">
        <v>0</v>
      </c>
      <c r="AD528" s="126">
        <v>0</v>
      </c>
      <c r="AE528" s="126">
        <v>0</v>
      </c>
      <c r="AF528" s="126">
        <v>31.2</v>
      </c>
      <c r="AG528" t="s">
        <v>3336</v>
      </c>
    </row>
    <row r="529" spans="1:33" x14ac:dyDescent="0.3">
      <c r="A529">
        <v>698</v>
      </c>
      <c r="B529" t="s">
        <v>3337</v>
      </c>
      <c r="C529" t="s">
        <v>247</v>
      </c>
      <c r="D529">
        <v>25</v>
      </c>
      <c r="E529">
        <v>0</v>
      </c>
      <c r="F529">
        <v>0</v>
      </c>
      <c r="G529">
        <v>0</v>
      </c>
      <c r="H529">
        <v>0</v>
      </c>
      <c r="I529">
        <v>0</v>
      </c>
      <c r="J529" s="28">
        <v>0</v>
      </c>
      <c r="K529" s="126">
        <v>0</v>
      </c>
      <c r="L529" s="126">
        <v>0</v>
      </c>
      <c r="M529" s="126">
        <v>0</v>
      </c>
      <c r="N529" s="126">
        <v>0</v>
      </c>
      <c r="O529" s="126">
        <v>0</v>
      </c>
      <c r="P529" s="126">
        <v>0</v>
      </c>
      <c r="Q529" s="126">
        <v>0</v>
      </c>
      <c r="R529" s="126">
        <v>0</v>
      </c>
      <c r="S529" s="126">
        <v>0</v>
      </c>
      <c r="T529" s="126">
        <v>0</v>
      </c>
      <c r="U529" s="126">
        <v>-600</v>
      </c>
      <c r="V529" s="126">
        <v>0</v>
      </c>
      <c r="W529" s="126">
        <v>0</v>
      </c>
      <c r="X529" s="126">
        <v>0</v>
      </c>
      <c r="Y529" s="126">
        <v>0</v>
      </c>
      <c r="Z529" s="142">
        <v>2</v>
      </c>
      <c r="AA529" s="126">
        <v>0.15</v>
      </c>
      <c r="AB529" s="126">
        <v>0.15</v>
      </c>
      <c r="AC529" s="126">
        <v>0</v>
      </c>
      <c r="AD529" s="126">
        <v>0</v>
      </c>
      <c r="AE529" s="126">
        <v>0</v>
      </c>
      <c r="AF529" s="126">
        <v>0.15</v>
      </c>
      <c r="AG529" t="s">
        <v>3338</v>
      </c>
    </row>
    <row r="530" spans="1:33" x14ac:dyDescent="0.3">
      <c r="A530">
        <v>699</v>
      </c>
      <c r="B530" t="s">
        <v>3339</v>
      </c>
      <c r="C530" t="s">
        <v>199</v>
      </c>
      <c r="D530">
        <v>1483</v>
      </c>
      <c r="E530">
        <v>1631</v>
      </c>
      <c r="F530">
        <v>50</v>
      </c>
      <c r="G530">
        <v>1200</v>
      </c>
      <c r="H530">
        <v>0</v>
      </c>
      <c r="I530">
        <v>9.1</v>
      </c>
      <c r="J530" s="28">
        <v>7.24</v>
      </c>
      <c r="K530" s="126">
        <v>0.63</v>
      </c>
      <c r="L530" s="126">
        <v>1.3</v>
      </c>
      <c r="M530" s="126">
        <v>0.1</v>
      </c>
      <c r="N530" s="126">
        <v>0</v>
      </c>
      <c r="O530" s="126">
        <v>0.6</v>
      </c>
      <c r="P530" s="126">
        <v>0.88500000000000001</v>
      </c>
      <c r="Q530" s="126">
        <v>0.7</v>
      </c>
      <c r="R530" s="126">
        <v>0</v>
      </c>
      <c r="S530" s="126">
        <v>0</v>
      </c>
      <c r="T530" s="126">
        <v>0</v>
      </c>
      <c r="U530" s="126">
        <v>75</v>
      </c>
      <c r="V530" s="126">
        <v>25</v>
      </c>
      <c r="W530" s="126">
        <v>0.3</v>
      </c>
      <c r="X530" s="126">
        <v>0</v>
      </c>
      <c r="Y530" s="126">
        <v>0</v>
      </c>
      <c r="Z530" s="142">
        <v>9</v>
      </c>
      <c r="AA530" s="126">
        <v>0</v>
      </c>
      <c r="AB530" s="126">
        <v>0</v>
      </c>
      <c r="AC530" s="126">
        <v>0</v>
      </c>
      <c r="AD530" s="126">
        <v>0</v>
      </c>
      <c r="AE530" s="126">
        <v>0</v>
      </c>
      <c r="AF530" s="126">
        <v>6.0999999999999999E-2</v>
      </c>
      <c r="AG530" t="s">
        <v>3340</v>
      </c>
    </row>
    <row r="531" spans="1:33" x14ac:dyDescent="0.3">
      <c r="A531">
        <v>700</v>
      </c>
      <c r="B531" t="s">
        <v>3341</v>
      </c>
      <c r="C531" t="s">
        <v>199</v>
      </c>
      <c r="D531">
        <v>15535</v>
      </c>
      <c r="E531">
        <v>17088</v>
      </c>
      <c r="F531">
        <v>70</v>
      </c>
      <c r="G531">
        <v>1200</v>
      </c>
      <c r="H531">
        <v>0</v>
      </c>
      <c r="I531">
        <v>6.1</v>
      </c>
      <c r="J531" s="28">
        <v>5.31</v>
      </c>
      <c r="K531" s="126">
        <v>0.32</v>
      </c>
      <c r="L531" s="126">
        <v>2.1</v>
      </c>
      <c r="M531" s="126">
        <v>0.1</v>
      </c>
      <c r="N531" s="126">
        <v>0</v>
      </c>
      <c r="O531" s="126">
        <v>0.6</v>
      </c>
      <c r="P531" s="126">
        <v>0.88500000000000001</v>
      </c>
      <c r="Q531" s="126">
        <v>0.7</v>
      </c>
      <c r="R531" s="126">
        <v>0</v>
      </c>
      <c r="S531" s="126">
        <v>0.4</v>
      </c>
      <c r="T531" s="126">
        <v>10</v>
      </c>
      <c r="U531" s="126">
        <v>40</v>
      </c>
      <c r="V531" s="126">
        <v>25</v>
      </c>
      <c r="W531" s="126">
        <v>0.17</v>
      </c>
      <c r="X531" s="126">
        <v>0</v>
      </c>
      <c r="Y531" s="126">
        <v>0</v>
      </c>
      <c r="Z531" s="142">
        <v>6</v>
      </c>
      <c r="AA531" s="126">
        <v>0</v>
      </c>
      <c r="AB531" s="126">
        <v>0</v>
      </c>
      <c r="AC531" s="126">
        <v>0</v>
      </c>
      <c r="AD531" s="126">
        <v>0</v>
      </c>
      <c r="AE531" s="126">
        <v>0</v>
      </c>
      <c r="AF531" s="126">
        <v>6.3380000000000001</v>
      </c>
      <c r="AG531" t="s">
        <v>3342</v>
      </c>
    </row>
    <row r="532" spans="1:33" x14ac:dyDescent="0.3">
      <c r="A532">
        <v>701</v>
      </c>
      <c r="B532" t="s">
        <v>3343</v>
      </c>
      <c r="C532" t="s">
        <v>199</v>
      </c>
      <c r="D532">
        <v>16300</v>
      </c>
      <c r="E532">
        <v>17930</v>
      </c>
      <c r="F532">
        <v>100</v>
      </c>
      <c r="G532">
        <v>2000</v>
      </c>
      <c r="H532">
        <v>0</v>
      </c>
      <c r="I532">
        <v>3.7</v>
      </c>
      <c r="J532" s="28">
        <v>16.100000000000001</v>
      </c>
      <c r="K532" s="126">
        <v>0.1</v>
      </c>
      <c r="L532" s="126">
        <v>1.8</v>
      </c>
      <c r="M532" s="126">
        <v>0.1</v>
      </c>
      <c r="N532" s="126">
        <v>0</v>
      </c>
      <c r="O532" s="126">
        <v>0.56000000000000005</v>
      </c>
      <c r="P532" s="126">
        <v>0.88500000000000001</v>
      </c>
      <c r="Q532" s="126">
        <v>0.82499999999999996</v>
      </c>
      <c r="R532" s="126">
        <v>0</v>
      </c>
      <c r="S532" s="126">
        <v>0</v>
      </c>
      <c r="T532" s="126">
        <v>0</v>
      </c>
      <c r="U532" s="126">
        <v>-25</v>
      </c>
      <c r="V532" s="126">
        <v>0</v>
      </c>
      <c r="W532" s="126">
        <v>0</v>
      </c>
      <c r="X532" s="126">
        <v>0</v>
      </c>
      <c r="Y532" s="126">
        <v>0</v>
      </c>
      <c r="Z532" s="142">
        <v>2</v>
      </c>
      <c r="AA532" s="126">
        <v>0.95</v>
      </c>
      <c r="AB532" s="126">
        <v>0.9</v>
      </c>
      <c r="AC532" s="126">
        <v>0</v>
      </c>
      <c r="AD532" s="126">
        <v>0</v>
      </c>
      <c r="AE532" s="126">
        <v>0</v>
      </c>
      <c r="AF532" s="126">
        <v>0.15</v>
      </c>
      <c r="AG532" t="s">
        <v>3344</v>
      </c>
    </row>
    <row r="533" spans="1:33" x14ac:dyDescent="0.3">
      <c r="A533">
        <v>702</v>
      </c>
      <c r="B533" t="s">
        <v>3345</v>
      </c>
      <c r="C533" t="s">
        <v>199</v>
      </c>
      <c r="D533">
        <v>1400</v>
      </c>
      <c r="E533">
        <v>1540</v>
      </c>
      <c r="F533">
        <v>200</v>
      </c>
      <c r="G533">
        <v>2000</v>
      </c>
      <c r="H533">
        <v>0</v>
      </c>
      <c r="I533">
        <v>3.7</v>
      </c>
      <c r="J533" s="28">
        <v>3.22</v>
      </c>
      <c r="K533" s="126">
        <v>0.32</v>
      </c>
      <c r="L533" s="126">
        <v>2.1</v>
      </c>
      <c r="M533" s="126">
        <v>0.1</v>
      </c>
      <c r="N533" s="126">
        <v>0</v>
      </c>
      <c r="O533" s="126">
        <v>0.6</v>
      </c>
      <c r="P533" s="126">
        <v>0.88500000000000001</v>
      </c>
      <c r="Q533" s="126">
        <v>0.7</v>
      </c>
      <c r="R533" s="126">
        <v>0</v>
      </c>
      <c r="S533" s="126">
        <v>0.3</v>
      </c>
      <c r="T533" s="126">
        <v>10</v>
      </c>
      <c r="U533" s="126">
        <v>100</v>
      </c>
      <c r="V533" s="126">
        <v>25</v>
      </c>
      <c r="W533" s="126">
        <v>0.91</v>
      </c>
      <c r="X533" s="126">
        <v>0</v>
      </c>
      <c r="Y533" s="126">
        <v>0</v>
      </c>
      <c r="Z533" s="142">
        <v>5</v>
      </c>
      <c r="AA533" s="126">
        <v>0</v>
      </c>
      <c r="AB533" s="126">
        <v>0</v>
      </c>
      <c r="AC533" s="126">
        <v>0</v>
      </c>
      <c r="AD533" s="126">
        <v>0</v>
      </c>
      <c r="AE533" s="126">
        <v>0</v>
      </c>
      <c r="AF533" s="126">
        <v>3.12</v>
      </c>
      <c r="AG533" t="s">
        <v>3346</v>
      </c>
    </row>
    <row r="534" spans="1:33" x14ac:dyDescent="0.3">
      <c r="A534">
        <v>703</v>
      </c>
      <c r="B534" t="s">
        <v>3347</v>
      </c>
      <c r="C534" t="s">
        <v>187</v>
      </c>
      <c r="D534">
        <v>17680</v>
      </c>
      <c r="E534">
        <v>19448</v>
      </c>
      <c r="F534">
        <v>400</v>
      </c>
      <c r="G534">
        <v>6000</v>
      </c>
      <c r="H534">
        <v>130</v>
      </c>
      <c r="I534">
        <v>0.3</v>
      </c>
      <c r="J534" s="28">
        <v>48.27</v>
      </c>
      <c r="K534" s="126">
        <v>7.0000000000000001E-3</v>
      </c>
      <c r="L534" s="126">
        <v>2</v>
      </c>
      <c r="M534" s="126">
        <v>0.1</v>
      </c>
      <c r="N534" s="126">
        <v>0.30499999999999999</v>
      </c>
      <c r="O534" s="126">
        <v>0.6</v>
      </c>
      <c r="P534" s="126">
        <v>0.88500000000000001</v>
      </c>
      <c r="Q534" s="126">
        <v>0.8</v>
      </c>
      <c r="R534" s="126">
        <v>0</v>
      </c>
      <c r="S534" s="126">
        <v>0</v>
      </c>
      <c r="T534" s="126">
        <v>0</v>
      </c>
      <c r="U534" s="126">
        <v>0</v>
      </c>
      <c r="V534" s="126">
        <v>0</v>
      </c>
      <c r="W534" s="126">
        <v>0</v>
      </c>
      <c r="X534" s="126">
        <v>0</v>
      </c>
      <c r="Y534" s="126">
        <v>0</v>
      </c>
      <c r="Z534" s="142">
        <v>0</v>
      </c>
      <c r="AA534" s="126">
        <v>0</v>
      </c>
      <c r="AB534" s="126">
        <v>0</v>
      </c>
      <c r="AC534" s="126">
        <v>0</v>
      </c>
      <c r="AD534" s="126">
        <v>0</v>
      </c>
      <c r="AE534" s="126">
        <v>0</v>
      </c>
      <c r="AF534" s="126">
        <v>0.15</v>
      </c>
      <c r="AG534" t="s">
        <v>3348</v>
      </c>
    </row>
    <row r="535" spans="1:33" x14ac:dyDescent="0.3">
      <c r="A535">
        <v>704</v>
      </c>
      <c r="B535" t="s">
        <v>3349</v>
      </c>
      <c r="C535" t="s">
        <v>199</v>
      </c>
      <c r="D535">
        <v>4638</v>
      </c>
      <c r="E535">
        <v>5101</v>
      </c>
      <c r="F535">
        <v>80</v>
      </c>
      <c r="G535">
        <v>1500</v>
      </c>
      <c r="H535">
        <v>0</v>
      </c>
      <c r="I535">
        <v>9.1</v>
      </c>
      <c r="J535" s="28">
        <v>10.46</v>
      </c>
      <c r="K535" s="126">
        <v>0.63</v>
      </c>
      <c r="L535" s="126">
        <v>1.3</v>
      </c>
      <c r="M535" s="126">
        <v>0.1</v>
      </c>
      <c r="N535" s="126">
        <v>0</v>
      </c>
      <c r="O535" s="126">
        <v>0.6</v>
      </c>
      <c r="P535" s="126">
        <v>0.88500000000000001</v>
      </c>
      <c r="Q535" s="126">
        <v>0.65</v>
      </c>
      <c r="R535" s="126">
        <v>0</v>
      </c>
      <c r="S535" s="126">
        <v>0</v>
      </c>
      <c r="T535" s="126">
        <v>0</v>
      </c>
      <c r="U535" s="126">
        <v>0</v>
      </c>
      <c r="V535" s="126">
        <v>0</v>
      </c>
      <c r="W535" s="126">
        <v>0</v>
      </c>
      <c r="X535" s="126">
        <v>0</v>
      </c>
      <c r="Y535" s="126">
        <v>0</v>
      </c>
      <c r="Z535" s="142">
        <v>9</v>
      </c>
      <c r="AA535" s="126">
        <v>0</v>
      </c>
      <c r="AB535" s="126">
        <v>0</v>
      </c>
      <c r="AC535" s="126">
        <v>0</v>
      </c>
      <c r="AD535" s="126">
        <v>0</v>
      </c>
      <c r="AE535" s="126">
        <v>0</v>
      </c>
      <c r="AF535" s="126">
        <v>6.0999999999999999E-2</v>
      </c>
      <c r="AG535" t="s">
        <v>3350</v>
      </c>
    </row>
    <row r="536" spans="1:33" x14ac:dyDescent="0.3">
      <c r="A536">
        <v>705</v>
      </c>
      <c r="B536" t="s">
        <v>3351</v>
      </c>
      <c r="C536" t="s">
        <v>247</v>
      </c>
      <c r="D536">
        <v>25</v>
      </c>
      <c r="E536">
        <v>0</v>
      </c>
      <c r="F536">
        <v>0</v>
      </c>
      <c r="G536">
        <v>0</v>
      </c>
      <c r="H536">
        <v>0</v>
      </c>
      <c r="I536">
        <v>0</v>
      </c>
      <c r="J536" s="28">
        <v>0</v>
      </c>
      <c r="K536" s="126">
        <v>0</v>
      </c>
      <c r="L536" s="126">
        <v>0</v>
      </c>
      <c r="M536" s="126">
        <v>0</v>
      </c>
      <c r="N536" s="126">
        <v>0</v>
      </c>
      <c r="O536" s="126">
        <v>0</v>
      </c>
      <c r="P536" s="126">
        <v>0</v>
      </c>
      <c r="Q536" s="126">
        <v>0</v>
      </c>
      <c r="R536" s="126">
        <v>0</v>
      </c>
      <c r="S536" s="126">
        <v>0</v>
      </c>
      <c r="T536" s="126">
        <v>0</v>
      </c>
      <c r="U536" s="126">
        <v>-50</v>
      </c>
      <c r="V536" s="126">
        <v>0</v>
      </c>
      <c r="W536" s="126">
        <v>0</v>
      </c>
      <c r="X536" s="126">
        <v>0</v>
      </c>
      <c r="Y536" s="126">
        <v>0</v>
      </c>
      <c r="Z536" s="142">
        <v>2</v>
      </c>
      <c r="AA536" s="126">
        <v>0.95</v>
      </c>
      <c r="AB536" s="126">
        <v>0.9</v>
      </c>
      <c r="AC536" s="126">
        <v>0</v>
      </c>
      <c r="AD536" s="126">
        <v>0</v>
      </c>
      <c r="AE536" s="126">
        <v>0</v>
      </c>
      <c r="AF536" s="126">
        <v>0.15</v>
      </c>
      <c r="AG536" t="s">
        <v>3352</v>
      </c>
    </row>
    <row r="537" spans="1:33" x14ac:dyDescent="0.3">
      <c r="A537">
        <v>706</v>
      </c>
      <c r="B537" t="s">
        <v>3353</v>
      </c>
      <c r="C537" t="s">
        <v>150</v>
      </c>
      <c r="D537">
        <v>29862</v>
      </c>
      <c r="E537">
        <v>32848</v>
      </c>
      <c r="F537">
        <v>550</v>
      </c>
      <c r="G537">
        <v>12000</v>
      </c>
      <c r="H537">
        <v>63</v>
      </c>
      <c r="I537">
        <v>0.3</v>
      </c>
      <c r="J537" s="28">
        <v>0</v>
      </c>
      <c r="K537" s="126">
        <v>3.0000000000000001E-3</v>
      </c>
      <c r="L537" s="126">
        <v>2</v>
      </c>
      <c r="M537" s="126">
        <v>0.1</v>
      </c>
      <c r="N537" s="126">
        <v>0.223</v>
      </c>
      <c r="O537" s="126">
        <v>0.68</v>
      </c>
      <c r="P537" s="126">
        <v>0.92</v>
      </c>
      <c r="Q537" s="126">
        <v>0</v>
      </c>
      <c r="R537" s="126">
        <v>0</v>
      </c>
      <c r="S537" s="126">
        <v>0</v>
      </c>
      <c r="T537" s="126">
        <v>0</v>
      </c>
      <c r="U537" s="126">
        <v>0</v>
      </c>
      <c r="V537" s="126">
        <v>0</v>
      </c>
      <c r="W537" s="126">
        <v>0</v>
      </c>
      <c r="X537" s="126">
        <v>0</v>
      </c>
      <c r="Y537" s="126">
        <v>0</v>
      </c>
      <c r="Z537" s="142">
        <v>4</v>
      </c>
      <c r="AA537" s="126">
        <v>0</v>
      </c>
      <c r="AB537" s="126">
        <v>0</v>
      </c>
      <c r="AC537" s="126">
        <v>0</v>
      </c>
      <c r="AD537" s="126">
        <v>0</v>
      </c>
      <c r="AE537" s="126">
        <v>0</v>
      </c>
      <c r="AF537" s="126">
        <v>0.15</v>
      </c>
      <c r="AG537" t="s">
        <v>3354</v>
      </c>
    </row>
    <row r="538" spans="1:33" x14ac:dyDescent="0.3">
      <c r="A538">
        <v>707</v>
      </c>
      <c r="B538" t="s">
        <v>3355</v>
      </c>
      <c r="C538" t="s">
        <v>199</v>
      </c>
      <c r="D538">
        <v>16300</v>
      </c>
      <c r="E538">
        <v>17930</v>
      </c>
      <c r="F538">
        <v>100</v>
      </c>
      <c r="G538">
        <v>2000</v>
      </c>
      <c r="H538">
        <v>0</v>
      </c>
      <c r="I538">
        <v>3.7</v>
      </c>
      <c r="J538" s="28">
        <v>16.100000000000001</v>
      </c>
      <c r="K538" s="126">
        <v>0.1</v>
      </c>
      <c r="L538" s="126">
        <v>1.8</v>
      </c>
      <c r="M538" s="126">
        <v>0.1</v>
      </c>
      <c r="N538" s="126">
        <v>0</v>
      </c>
      <c r="O538" s="126">
        <v>0.56000000000000005</v>
      </c>
      <c r="P538" s="126">
        <v>0.88500000000000001</v>
      </c>
      <c r="Q538" s="126">
        <v>0.82499999999999996</v>
      </c>
      <c r="R538" s="126">
        <v>0</v>
      </c>
      <c r="S538" s="126">
        <v>0</v>
      </c>
      <c r="T538" s="126">
        <v>0</v>
      </c>
      <c r="U538" s="126">
        <v>-25</v>
      </c>
      <c r="V538" s="126">
        <v>0</v>
      </c>
      <c r="W538" s="126">
        <v>0</v>
      </c>
      <c r="X538" s="126">
        <v>0</v>
      </c>
      <c r="Y538" s="126">
        <v>0</v>
      </c>
      <c r="Z538" s="142">
        <v>2</v>
      </c>
      <c r="AA538" s="126">
        <v>0.95</v>
      </c>
      <c r="AB538" s="126">
        <v>0.9</v>
      </c>
      <c r="AC538" s="126">
        <v>0</v>
      </c>
      <c r="AD538" s="126">
        <v>0</v>
      </c>
      <c r="AE538" s="126">
        <v>0</v>
      </c>
      <c r="AF538" s="126">
        <v>0.15</v>
      </c>
      <c r="AG538" t="s">
        <v>3356</v>
      </c>
    </row>
    <row r="539" spans="1:33" x14ac:dyDescent="0.3">
      <c r="A539">
        <v>708</v>
      </c>
      <c r="B539" t="s">
        <v>3357</v>
      </c>
      <c r="C539" t="s">
        <v>199</v>
      </c>
      <c r="D539">
        <v>19368</v>
      </c>
      <c r="E539">
        <v>21305</v>
      </c>
      <c r="F539">
        <v>70</v>
      </c>
      <c r="G539">
        <v>1200</v>
      </c>
      <c r="H539">
        <v>0</v>
      </c>
      <c r="I539">
        <v>4.3</v>
      </c>
      <c r="J539" s="28">
        <v>5.79</v>
      </c>
      <c r="K539" s="126">
        <v>0.32</v>
      </c>
      <c r="L539" s="126">
        <v>2.1</v>
      </c>
      <c r="M539" s="126">
        <v>0.1</v>
      </c>
      <c r="N539" s="126">
        <v>0</v>
      </c>
      <c r="O539" s="126">
        <v>0.6</v>
      </c>
      <c r="P539" s="126">
        <v>0.88500000000000001</v>
      </c>
      <c r="Q539" s="126">
        <v>0.7</v>
      </c>
      <c r="R539" s="126">
        <v>0</v>
      </c>
      <c r="S539" s="126">
        <v>0.2</v>
      </c>
      <c r="T539" s="126">
        <v>10</v>
      </c>
      <c r="U539" s="126">
        <v>40</v>
      </c>
      <c r="V539" s="126">
        <v>25</v>
      </c>
      <c r="W539" s="126">
        <v>0.17</v>
      </c>
      <c r="X539" s="126">
        <v>0</v>
      </c>
      <c r="Y539" s="126">
        <v>0</v>
      </c>
      <c r="Z539" s="142">
        <v>6</v>
      </c>
      <c r="AA539" s="126">
        <v>0</v>
      </c>
      <c r="AB539" s="126">
        <v>0</v>
      </c>
      <c r="AC539" s="126">
        <v>0</v>
      </c>
      <c r="AD539" s="126">
        <v>0</v>
      </c>
      <c r="AE539" s="126">
        <v>0</v>
      </c>
      <c r="AF539" s="126">
        <v>2.4380000000000002</v>
      </c>
      <c r="AG539" t="s">
        <v>3358</v>
      </c>
    </row>
    <row r="540" spans="1:33" x14ac:dyDescent="0.3">
      <c r="A540">
        <v>709</v>
      </c>
      <c r="B540" t="s">
        <v>3359</v>
      </c>
      <c r="C540" t="s">
        <v>150</v>
      </c>
      <c r="D540">
        <v>84254</v>
      </c>
      <c r="E540">
        <v>92679</v>
      </c>
      <c r="F540">
        <v>660</v>
      </c>
      <c r="G540">
        <v>12000</v>
      </c>
      <c r="H540">
        <v>130</v>
      </c>
      <c r="I540">
        <v>0.3</v>
      </c>
      <c r="J540" s="28">
        <v>0</v>
      </c>
      <c r="K540" s="126">
        <v>7.0000000000000001E-3</v>
      </c>
      <c r="L540" s="126">
        <v>2</v>
      </c>
      <c r="M540" s="126">
        <v>0.1</v>
      </c>
      <c r="N540" s="126">
        <v>0.223</v>
      </c>
      <c r="O540" s="126">
        <v>0.68</v>
      </c>
      <c r="P540" s="126">
        <v>0.92</v>
      </c>
      <c r="Q540" s="126">
        <v>0</v>
      </c>
      <c r="R540" s="126">
        <v>0</v>
      </c>
      <c r="S540" s="126">
        <v>0</v>
      </c>
      <c r="T540" s="126">
        <v>0</v>
      </c>
      <c r="U540" s="126">
        <v>0</v>
      </c>
      <c r="V540" s="126">
        <v>0</v>
      </c>
      <c r="W540" s="126">
        <v>0</v>
      </c>
      <c r="X540" s="126">
        <v>0</v>
      </c>
      <c r="Y540" s="126">
        <v>0</v>
      </c>
      <c r="Z540" s="142">
        <v>4</v>
      </c>
      <c r="AA540" s="126">
        <v>0</v>
      </c>
      <c r="AB540" s="126">
        <v>0</v>
      </c>
      <c r="AC540" s="126">
        <v>0</v>
      </c>
      <c r="AD540" s="126">
        <v>0</v>
      </c>
      <c r="AE540" s="126">
        <v>0</v>
      </c>
      <c r="AF540" s="126">
        <v>0.15</v>
      </c>
      <c r="AG540" t="s">
        <v>3360</v>
      </c>
    </row>
    <row r="541" spans="1:33" x14ac:dyDescent="0.3">
      <c r="A541">
        <v>710</v>
      </c>
      <c r="B541" t="s">
        <v>3361</v>
      </c>
      <c r="C541" t="s">
        <v>187</v>
      </c>
      <c r="D541">
        <v>17680</v>
      </c>
      <c r="E541">
        <v>19448</v>
      </c>
      <c r="F541">
        <v>400</v>
      </c>
      <c r="G541">
        <v>6000</v>
      </c>
      <c r="H541">
        <v>130</v>
      </c>
      <c r="I541">
        <v>0.3</v>
      </c>
      <c r="J541" s="28">
        <v>48.27</v>
      </c>
      <c r="K541" s="126">
        <v>7.0000000000000001E-3</v>
      </c>
      <c r="L541" s="126">
        <v>2</v>
      </c>
      <c r="M541" s="126">
        <v>0.1</v>
      </c>
      <c r="N541" s="126">
        <v>0.30499999999999999</v>
      </c>
      <c r="O541" s="126">
        <v>0.6</v>
      </c>
      <c r="P541" s="126">
        <v>0.88500000000000001</v>
      </c>
      <c r="Q541" s="126">
        <v>0.8</v>
      </c>
      <c r="R541" s="126">
        <v>0</v>
      </c>
      <c r="S541" s="126">
        <v>0</v>
      </c>
      <c r="T541" s="126">
        <v>0</v>
      </c>
      <c r="U541" s="126">
        <v>0</v>
      </c>
      <c r="V541" s="126">
        <v>0</v>
      </c>
      <c r="W541" s="126">
        <v>0</v>
      </c>
      <c r="X541" s="126">
        <v>0</v>
      </c>
      <c r="Y541" s="126">
        <v>0</v>
      </c>
      <c r="Z541" s="142">
        <v>0</v>
      </c>
      <c r="AA541" s="126">
        <v>0</v>
      </c>
      <c r="AB541" s="126">
        <v>0</v>
      </c>
      <c r="AC541" s="126">
        <v>0</v>
      </c>
      <c r="AD541" s="126">
        <v>0</v>
      </c>
      <c r="AE541" s="126">
        <v>0</v>
      </c>
      <c r="AF541" s="126">
        <v>0.15</v>
      </c>
      <c r="AG541" t="s">
        <v>3362</v>
      </c>
    </row>
    <row r="542" spans="1:33" x14ac:dyDescent="0.3">
      <c r="A542">
        <v>711</v>
      </c>
      <c r="B542" t="s">
        <v>3363</v>
      </c>
      <c r="C542" t="s">
        <v>199</v>
      </c>
      <c r="D542">
        <v>4638</v>
      </c>
      <c r="E542">
        <v>5101</v>
      </c>
      <c r="F542">
        <v>80</v>
      </c>
      <c r="G542">
        <v>1500</v>
      </c>
      <c r="H542">
        <v>0</v>
      </c>
      <c r="I542">
        <v>9.1</v>
      </c>
      <c r="J542" s="28">
        <v>10.46</v>
      </c>
      <c r="K542" s="126">
        <v>0.63</v>
      </c>
      <c r="L542" s="126">
        <v>1.3</v>
      </c>
      <c r="M542" s="126">
        <v>0.1</v>
      </c>
      <c r="N542" s="126">
        <v>0</v>
      </c>
      <c r="O542" s="126">
        <v>0.6</v>
      </c>
      <c r="P542" s="126">
        <v>0.88500000000000001</v>
      </c>
      <c r="Q542" s="126">
        <v>0.65</v>
      </c>
      <c r="R542" s="126">
        <v>0</v>
      </c>
      <c r="S542" s="126">
        <v>0</v>
      </c>
      <c r="T542" s="126">
        <v>0</v>
      </c>
      <c r="U542" s="126">
        <v>0</v>
      </c>
      <c r="V542" s="126">
        <v>0</v>
      </c>
      <c r="W542" s="126">
        <v>0</v>
      </c>
      <c r="X542" s="126">
        <v>0</v>
      </c>
      <c r="Y542" s="126">
        <v>0</v>
      </c>
      <c r="Z542" s="142">
        <v>9</v>
      </c>
      <c r="AA542" s="126">
        <v>0</v>
      </c>
      <c r="AB542" s="126">
        <v>0</v>
      </c>
      <c r="AC542" s="126">
        <v>0</v>
      </c>
      <c r="AD542" s="126">
        <v>0</v>
      </c>
      <c r="AE542" s="126">
        <v>0</v>
      </c>
      <c r="AF542" s="126">
        <v>6.0999999999999999E-2</v>
      </c>
      <c r="AG542" t="s">
        <v>3364</v>
      </c>
    </row>
    <row r="543" spans="1:33" x14ac:dyDescent="0.3">
      <c r="A543">
        <v>712</v>
      </c>
      <c r="B543" t="s">
        <v>3365</v>
      </c>
      <c r="C543" t="s">
        <v>187</v>
      </c>
      <c r="D543">
        <v>260</v>
      </c>
      <c r="E543">
        <v>275</v>
      </c>
      <c r="F543">
        <v>100</v>
      </c>
      <c r="G543">
        <v>2500</v>
      </c>
      <c r="H543">
        <v>0</v>
      </c>
      <c r="I543">
        <v>1</v>
      </c>
      <c r="J543" s="28">
        <v>0.2</v>
      </c>
      <c r="K543" s="126">
        <v>0.15</v>
      </c>
      <c r="L543" s="126">
        <v>1.6</v>
      </c>
      <c r="M543" s="126">
        <v>0.1</v>
      </c>
      <c r="N543" s="126">
        <v>0.30499999999999999</v>
      </c>
      <c r="O543" s="126">
        <v>0.56000000000000005</v>
      </c>
      <c r="P543" s="126">
        <v>0.88500000000000001</v>
      </c>
      <c r="Q543" s="126">
        <v>1</v>
      </c>
      <c r="R543" s="126">
        <v>0</v>
      </c>
      <c r="S543" s="126">
        <v>0</v>
      </c>
      <c r="T543" s="126">
        <v>0</v>
      </c>
      <c r="U543" s="126">
        <v>-199.898</v>
      </c>
      <c r="V543" s="126">
        <v>0</v>
      </c>
      <c r="W543" s="126">
        <v>0</v>
      </c>
      <c r="X543" s="126">
        <v>0</v>
      </c>
      <c r="Y543" s="126">
        <v>0</v>
      </c>
      <c r="Z543" s="142">
        <v>2</v>
      </c>
      <c r="AA543" s="126">
        <v>0.9</v>
      </c>
      <c r="AB543" s="126">
        <v>0.9</v>
      </c>
      <c r="AC543" s="126">
        <v>0</v>
      </c>
      <c r="AD543" s="126">
        <v>0</v>
      </c>
      <c r="AE543" s="126">
        <v>0</v>
      </c>
      <c r="AF543" s="126">
        <v>0.15</v>
      </c>
      <c r="AG543" t="s">
        <v>3366</v>
      </c>
    </row>
    <row r="544" spans="1:33" x14ac:dyDescent="0.3">
      <c r="A544">
        <v>713</v>
      </c>
      <c r="B544" t="s">
        <v>3367</v>
      </c>
      <c r="C544" t="s">
        <v>199</v>
      </c>
      <c r="D544">
        <v>19368</v>
      </c>
      <c r="E544">
        <v>21305</v>
      </c>
      <c r="F544">
        <v>70</v>
      </c>
      <c r="G544">
        <v>1200</v>
      </c>
      <c r="H544">
        <v>0</v>
      </c>
      <c r="I544">
        <v>4.3</v>
      </c>
      <c r="J544" s="28">
        <v>5.79</v>
      </c>
      <c r="K544" s="126">
        <v>0.32</v>
      </c>
      <c r="L544" s="126">
        <v>2.1</v>
      </c>
      <c r="M544" s="126">
        <v>0.1</v>
      </c>
      <c r="N544" s="126">
        <v>0</v>
      </c>
      <c r="O544" s="126">
        <v>0.6</v>
      </c>
      <c r="P544" s="126">
        <v>0.88500000000000001</v>
      </c>
      <c r="Q544" s="126">
        <v>0.7</v>
      </c>
      <c r="R544" s="126">
        <v>0</v>
      </c>
      <c r="S544" s="126">
        <v>0.2</v>
      </c>
      <c r="T544" s="126">
        <v>10</v>
      </c>
      <c r="U544" s="126">
        <v>40</v>
      </c>
      <c r="V544" s="126">
        <v>25</v>
      </c>
      <c r="W544" s="126">
        <v>0.17</v>
      </c>
      <c r="X544" s="126">
        <v>0</v>
      </c>
      <c r="Y544" s="126">
        <v>0</v>
      </c>
      <c r="Z544" s="142">
        <v>6</v>
      </c>
      <c r="AA544" s="126">
        <v>0</v>
      </c>
      <c r="AB544" s="126">
        <v>0</v>
      </c>
      <c r="AC544" s="126">
        <v>0</v>
      </c>
      <c r="AD544" s="126">
        <v>0</v>
      </c>
      <c r="AE544" s="126">
        <v>0</v>
      </c>
      <c r="AF544" s="126">
        <v>2.4380000000000002</v>
      </c>
      <c r="AG544" t="s">
        <v>3368</v>
      </c>
    </row>
    <row r="545" spans="1:33" x14ac:dyDescent="0.3">
      <c r="A545">
        <v>714</v>
      </c>
      <c r="B545" t="s">
        <v>3369</v>
      </c>
      <c r="C545" t="s">
        <v>150</v>
      </c>
      <c r="D545">
        <v>84254</v>
      </c>
      <c r="E545">
        <v>92679</v>
      </c>
      <c r="F545">
        <v>660</v>
      </c>
      <c r="G545">
        <v>12000</v>
      </c>
      <c r="H545">
        <v>130</v>
      </c>
      <c r="I545">
        <v>0.3</v>
      </c>
      <c r="J545" s="28">
        <v>0</v>
      </c>
      <c r="K545" s="126">
        <v>7.0000000000000001E-3</v>
      </c>
      <c r="L545" s="126">
        <v>2</v>
      </c>
      <c r="M545" s="126">
        <v>0.1</v>
      </c>
      <c r="N545" s="126">
        <v>0.223</v>
      </c>
      <c r="O545" s="126">
        <v>0.68</v>
      </c>
      <c r="P545" s="126">
        <v>0.92</v>
      </c>
      <c r="Q545" s="126">
        <v>0</v>
      </c>
      <c r="R545" s="126">
        <v>0</v>
      </c>
      <c r="S545" s="126">
        <v>0</v>
      </c>
      <c r="T545" s="126">
        <v>0</v>
      </c>
      <c r="U545" s="126">
        <v>0</v>
      </c>
      <c r="V545" s="126">
        <v>0</v>
      </c>
      <c r="W545" s="126">
        <v>0</v>
      </c>
      <c r="X545" s="126">
        <v>0</v>
      </c>
      <c r="Y545" s="126">
        <v>0</v>
      </c>
      <c r="Z545" s="142">
        <v>4</v>
      </c>
      <c r="AA545" s="126">
        <v>0</v>
      </c>
      <c r="AB545" s="126">
        <v>0</v>
      </c>
      <c r="AC545" s="126">
        <v>0</v>
      </c>
      <c r="AD545" s="126">
        <v>0</v>
      </c>
      <c r="AE545" s="126">
        <v>0</v>
      </c>
      <c r="AF545" s="126">
        <v>0.15</v>
      </c>
      <c r="AG545" t="s">
        <v>3370</v>
      </c>
    </row>
    <row r="546" spans="1:33" x14ac:dyDescent="0.3">
      <c r="A546">
        <v>715</v>
      </c>
      <c r="B546" t="s">
        <v>3371</v>
      </c>
      <c r="C546" t="s">
        <v>199</v>
      </c>
      <c r="D546">
        <v>15808</v>
      </c>
      <c r="E546">
        <v>17389</v>
      </c>
      <c r="F546">
        <v>65</v>
      </c>
      <c r="G546">
        <v>1200</v>
      </c>
      <c r="H546">
        <v>0</v>
      </c>
      <c r="I546">
        <v>4.3</v>
      </c>
      <c r="J546" s="28">
        <v>4.0199999999999996</v>
      </c>
      <c r="K546" s="126">
        <v>0.32</v>
      </c>
      <c r="L546" s="126">
        <v>2.1</v>
      </c>
      <c r="M546" s="126">
        <v>0.1</v>
      </c>
      <c r="N546" s="126">
        <v>0</v>
      </c>
      <c r="O546" s="126">
        <v>0.6</v>
      </c>
      <c r="P546" s="126">
        <v>0.88500000000000001</v>
      </c>
      <c r="Q546" s="126">
        <v>0.7</v>
      </c>
      <c r="R546" s="126">
        <v>0</v>
      </c>
      <c r="S546" s="126">
        <v>0.1</v>
      </c>
      <c r="T546" s="126">
        <v>10</v>
      </c>
      <c r="U546" s="126">
        <v>40</v>
      </c>
      <c r="V546" s="126">
        <v>25</v>
      </c>
      <c r="W546" s="126">
        <v>0.17</v>
      </c>
      <c r="X546" s="126">
        <v>0</v>
      </c>
      <c r="Y546" s="126">
        <v>0</v>
      </c>
      <c r="Z546" s="142">
        <v>6</v>
      </c>
      <c r="AA546" s="126">
        <v>0</v>
      </c>
      <c r="AB546" s="126">
        <v>0</v>
      </c>
      <c r="AC546" s="126">
        <v>0</v>
      </c>
      <c r="AD546" s="126">
        <v>0</v>
      </c>
      <c r="AE546" s="126">
        <v>0</v>
      </c>
      <c r="AF546" s="126">
        <v>6.3380000000000001</v>
      </c>
      <c r="AG546" t="s">
        <v>3372</v>
      </c>
    </row>
    <row r="547" spans="1:33" x14ac:dyDescent="0.3">
      <c r="A547">
        <v>716</v>
      </c>
      <c r="B547" t="s">
        <v>3373</v>
      </c>
      <c r="C547" t="s">
        <v>247</v>
      </c>
      <c r="D547">
        <v>25</v>
      </c>
      <c r="E547">
        <v>0</v>
      </c>
      <c r="F547">
        <v>0</v>
      </c>
      <c r="G547">
        <v>0</v>
      </c>
      <c r="H547">
        <v>0</v>
      </c>
      <c r="I547">
        <v>0</v>
      </c>
      <c r="J547" s="28">
        <v>0</v>
      </c>
      <c r="K547" s="126">
        <v>0</v>
      </c>
      <c r="L547" s="126">
        <v>0</v>
      </c>
      <c r="M547" s="126">
        <v>0</v>
      </c>
      <c r="N547" s="126">
        <v>0</v>
      </c>
      <c r="O547" s="126">
        <v>0</v>
      </c>
      <c r="P547" s="126">
        <v>0</v>
      </c>
      <c r="Q547" s="126">
        <v>0</v>
      </c>
      <c r="R547" s="126">
        <v>0</v>
      </c>
      <c r="S547" s="126">
        <v>0</v>
      </c>
      <c r="T547" s="126">
        <v>0</v>
      </c>
      <c r="U547" s="126">
        <v>-50</v>
      </c>
      <c r="V547" s="126">
        <v>0</v>
      </c>
      <c r="W547" s="126">
        <v>0</v>
      </c>
      <c r="X547" s="126">
        <v>0</v>
      </c>
      <c r="Y547" s="126">
        <v>0</v>
      </c>
      <c r="Z547" s="142">
        <v>2</v>
      </c>
      <c r="AA547" s="126">
        <v>0.95</v>
      </c>
      <c r="AB547" s="126">
        <v>0.9</v>
      </c>
      <c r="AC547" s="126">
        <v>0</v>
      </c>
      <c r="AD547" s="126">
        <v>0</v>
      </c>
      <c r="AE547" s="126">
        <v>0</v>
      </c>
      <c r="AF547" s="126">
        <v>0.15</v>
      </c>
      <c r="AG547" t="s">
        <v>3374</v>
      </c>
    </row>
    <row r="548" spans="1:33" x14ac:dyDescent="0.3">
      <c r="A548">
        <v>717</v>
      </c>
      <c r="B548" t="s">
        <v>3375</v>
      </c>
      <c r="C548" t="s">
        <v>187</v>
      </c>
      <c r="D548">
        <v>17680</v>
      </c>
      <c r="E548">
        <v>19448</v>
      </c>
      <c r="F548">
        <v>400</v>
      </c>
      <c r="G548">
        <v>6000</v>
      </c>
      <c r="H548">
        <v>130</v>
      </c>
      <c r="I548">
        <v>0.3</v>
      </c>
      <c r="J548" s="28">
        <v>48.27</v>
      </c>
      <c r="K548" s="126">
        <v>7.0000000000000001E-3</v>
      </c>
      <c r="L548" s="126">
        <v>2</v>
      </c>
      <c r="M548" s="126">
        <v>0.1</v>
      </c>
      <c r="N548" s="126">
        <v>0.30499999999999999</v>
      </c>
      <c r="O548" s="126">
        <v>0.6</v>
      </c>
      <c r="P548" s="126">
        <v>0.88500000000000001</v>
      </c>
      <c r="Q548" s="126">
        <v>0.8</v>
      </c>
      <c r="R548" s="126">
        <v>0</v>
      </c>
      <c r="S548" s="126">
        <v>0</v>
      </c>
      <c r="T548" s="126">
        <v>0</v>
      </c>
      <c r="U548" s="126">
        <v>0</v>
      </c>
      <c r="V548" s="126">
        <v>0</v>
      </c>
      <c r="W548" s="126">
        <v>0</v>
      </c>
      <c r="X548" s="126">
        <v>0</v>
      </c>
      <c r="Y548" s="126">
        <v>0</v>
      </c>
      <c r="Z548" s="142">
        <v>0</v>
      </c>
      <c r="AA548" s="126">
        <v>0</v>
      </c>
      <c r="AB548" s="126">
        <v>0</v>
      </c>
      <c r="AC548" s="126">
        <v>0</v>
      </c>
      <c r="AD548" s="126">
        <v>0</v>
      </c>
      <c r="AE548" s="126">
        <v>0</v>
      </c>
      <c r="AF548" s="126">
        <v>0.15</v>
      </c>
      <c r="AG548" t="s">
        <v>3376</v>
      </c>
    </row>
    <row r="549" spans="1:33" x14ac:dyDescent="0.3">
      <c r="A549">
        <v>718</v>
      </c>
      <c r="B549" t="s">
        <v>3377</v>
      </c>
      <c r="C549" t="s">
        <v>199</v>
      </c>
      <c r="D549">
        <v>15808</v>
      </c>
      <c r="E549">
        <v>17389</v>
      </c>
      <c r="F549">
        <v>65</v>
      </c>
      <c r="G549">
        <v>1200</v>
      </c>
      <c r="H549">
        <v>0</v>
      </c>
      <c r="I549">
        <v>4.3</v>
      </c>
      <c r="J549" s="28">
        <v>4.0199999999999996</v>
      </c>
      <c r="K549" s="126">
        <v>0.32</v>
      </c>
      <c r="L549" s="126">
        <v>2.1</v>
      </c>
      <c r="M549" s="126">
        <v>0.1</v>
      </c>
      <c r="N549" s="126">
        <v>0</v>
      </c>
      <c r="O549" s="126">
        <v>0.6</v>
      </c>
      <c r="P549" s="126">
        <v>0.88500000000000001</v>
      </c>
      <c r="Q549" s="126">
        <v>0.7</v>
      </c>
      <c r="R549" s="126">
        <v>0</v>
      </c>
      <c r="S549" s="126">
        <v>0.1</v>
      </c>
      <c r="T549" s="126">
        <v>10</v>
      </c>
      <c r="U549" s="126">
        <v>40</v>
      </c>
      <c r="V549" s="126">
        <v>25</v>
      </c>
      <c r="W549" s="126">
        <v>0.17</v>
      </c>
      <c r="X549" s="126">
        <v>0</v>
      </c>
      <c r="Y549" s="126">
        <v>0</v>
      </c>
      <c r="Z549" s="142">
        <v>6</v>
      </c>
      <c r="AA549" s="126">
        <v>0</v>
      </c>
      <c r="AB549" s="126">
        <v>0</v>
      </c>
      <c r="AC549" s="126">
        <v>0</v>
      </c>
      <c r="AD549" s="126">
        <v>0</v>
      </c>
      <c r="AE549" s="126">
        <v>0</v>
      </c>
      <c r="AF549" s="126">
        <v>6.3380000000000001</v>
      </c>
      <c r="AG549" t="s">
        <v>3378</v>
      </c>
    </row>
    <row r="550" spans="1:33" x14ac:dyDescent="0.3">
      <c r="A550">
        <v>719</v>
      </c>
      <c r="B550" t="s">
        <v>3379</v>
      </c>
      <c r="C550" t="s">
        <v>199</v>
      </c>
      <c r="D550">
        <v>8047</v>
      </c>
      <c r="E550">
        <v>8852</v>
      </c>
      <c r="F550">
        <v>60</v>
      </c>
      <c r="G550">
        <v>1200</v>
      </c>
      <c r="H550">
        <v>0</v>
      </c>
      <c r="I550">
        <v>6.1</v>
      </c>
      <c r="J550" s="28">
        <v>7.88</v>
      </c>
      <c r="K550" s="126">
        <v>0.32</v>
      </c>
      <c r="L550" s="126">
        <v>2.1</v>
      </c>
      <c r="M550" s="126">
        <v>0.1</v>
      </c>
      <c r="N550" s="126">
        <v>0</v>
      </c>
      <c r="O550" s="126">
        <v>0.6</v>
      </c>
      <c r="P550" s="126">
        <v>0.88500000000000001</v>
      </c>
      <c r="Q550" s="126">
        <v>0.75</v>
      </c>
      <c r="R550" s="126">
        <v>0</v>
      </c>
      <c r="S550" s="126">
        <v>0</v>
      </c>
      <c r="T550" s="126">
        <v>0</v>
      </c>
      <c r="U550" s="126">
        <v>60</v>
      </c>
      <c r="V550" s="126">
        <v>10</v>
      </c>
      <c r="W550" s="126">
        <v>0.86</v>
      </c>
      <c r="X550" s="126">
        <v>0</v>
      </c>
      <c r="Y550" s="126">
        <v>0</v>
      </c>
      <c r="Z550" s="142">
        <v>6</v>
      </c>
      <c r="AA550" s="126">
        <v>0</v>
      </c>
      <c r="AB550" s="126">
        <v>0</v>
      </c>
      <c r="AC550" s="126">
        <v>0</v>
      </c>
      <c r="AD550" s="126">
        <v>0</v>
      </c>
      <c r="AE550" s="126">
        <v>0</v>
      </c>
      <c r="AF550" s="126">
        <v>0.15</v>
      </c>
      <c r="AG550" t="s">
        <v>3380</v>
      </c>
    </row>
    <row r="551" spans="1:33" x14ac:dyDescent="0.3">
      <c r="A551">
        <v>720</v>
      </c>
      <c r="B551" t="s">
        <v>3381</v>
      </c>
      <c r="C551" t="s">
        <v>247</v>
      </c>
      <c r="D551">
        <v>25</v>
      </c>
      <c r="E551">
        <v>0</v>
      </c>
      <c r="F551">
        <v>0</v>
      </c>
      <c r="G551">
        <v>0</v>
      </c>
      <c r="H551">
        <v>0</v>
      </c>
      <c r="I551">
        <v>0</v>
      </c>
      <c r="J551" s="28">
        <v>0</v>
      </c>
      <c r="K551" s="126">
        <v>0</v>
      </c>
      <c r="L551" s="126">
        <v>0</v>
      </c>
      <c r="M551" s="126">
        <v>0</v>
      </c>
      <c r="N551" s="126">
        <v>0</v>
      </c>
      <c r="O551" s="126">
        <v>0</v>
      </c>
      <c r="P551" s="126">
        <v>0</v>
      </c>
      <c r="Q551" s="126">
        <v>0</v>
      </c>
      <c r="R551" s="126">
        <v>0</v>
      </c>
      <c r="S551" s="126">
        <v>0</v>
      </c>
      <c r="T551" s="126">
        <v>0</v>
      </c>
      <c r="U551" s="126">
        <v>-50</v>
      </c>
      <c r="V551" s="126">
        <v>0</v>
      </c>
      <c r="W551" s="126">
        <v>0</v>
      </c>
      <c r="X551" s="126">
        <v>0</v>
      </c>
      <c r="Y551" s="126">
        <v>0</v>
      </c>
      <c r="Z551" s="142">
        <v>2</v>
      </c>
      <c r="AA551" s="126">
        <v>0.95</v>
      </c>
      <c r="AB551" s="126">
        <v>0.9</v>
      </c>
      <c r="AC551" s="126">
        <v>0</v>
      </c>
      <c r="AD551" s="126">
        <v>0</v>
      </c>
      <c r="AE551" s="126">
        <v>0</v>
      </c>
      <c r="AF551" s="126">
        <v>0.15</v>
      </c>
      <c r="AG551" t="s">
        <v>3382</v>
      </c>
    </row>
    <row r="552" spans="1:33" x14ac:dyDescent="0.3">
      <c r="A552">
        <v>721</v>
      </c>
      <c r="B552" t="s">
        <v>3383</v>
      </c>
      <c r="C552" t="s">
        <v>187</v>
      </c>
      <c r="D552">
        <v>260</v>
      </c>
      <c r="E552">
        <v>275</v>
      </c>
      <c r="F552">
        <v>100</v>
      </c>
      <c r="G552">
        <v>2500</v>
      </c>
      <c r="H552">
        <v>0</v>
      </c>
      <c r="I552">
        <v>1</v>
      </c>
      <c r="J552" s="28">
        <v>0.2</v>
      </c>
      <c r="K552" s="126">
        <v>0.15</v>
      </c>
      <c r="L552" s="126">
        <v>1.6</v>
      </c>
      <c r="M552" s="126">
        <v>0.1</v>
      </c>
      <c r="N552" s="126">
        <v>0.30499999999999999</v>
      </c>
      <c r="O552" s="126">
        <v>0.56000000000000005</v>
      </c>
      <c r="P552" s="126">
        <v>0.88500000000000001</v>
      </c>
      <c r="Q552" s="126">
        <v>1</v>
      </c>
      <c r="R552" s="126">
        <v>0</v>
      </c>
      <c r="S552" s="126">
        <v>0</v>
      </c>
      <c r="T552" s="126">
        <v>0</v>
      </c>
      <c r="U552" s="126">
        <v>-199.898</v>
      </c>
      <c r="V552" s="126">
        <v>0</v>
      </c>
      <c r="W552" s="126">
        <v>0</v>
      </c>
      <c r="X552" s="126">
        <v>0</v>
      </c>
      <c r="Y552" s="126">
        <v>0</v>
      </c>
      <c r="Z552" s="142">
        <v>2</v>
      </c>
      <c r="AA552" s="126">
        <v>0.9</v>
      </c>
      <c r="AB552" s="126">
        <v>0.9</v>
      </c>
      <c r="AC552" s="126">
        <v>0</v>
      </c>
      <c r="AD552" s="126">
        <v>0</v>
      </c>
      <c r="AE552" s="126">
        <v>0</v>
      </c>
      <c r="AF552" s="126">
        <v>0.15</v>
      </c>
      <c r="AG552" t="s">
        <v>3384</v>
      </c>
    </row>
    <row r="553" spans="1:33" x14ac:dyDescent="0.3">
      <c r="A553">
        <v>722</v>
      </c>
      <c r="B553" t="s">
        <v>3385</v>
      </c>
      <c r="C553" t="s">
        <v>150</v>
      </c>
      <c r="D553">
        <v>84254</v>
      </c>
      <c r="E553">
        <v>92679</v>
      </c>
      <c r="F553">
        <v>660</v>
      </c>
      <c r="G553">
        <v>12000</v>
      </c>
      <c r="H553">
        <v>130</v>
      </c>
      <c r="I553">
        <v>0.3</v>
      </c>
      <c r="J553" s="28">
        <v>0</v>
      </c>
      <c r="K553" s="126">
        <v>7.0000000000000001E-3</v>
      </c>
      <c r="L553" s="126">
        <v>2</v>
      </c>
      <c r="M553" s="126">
        <v>0.1</v>
      </c>
      <c r="N553" s="126">
        <v>0.223</v>
      </c>
      <c r="O553" s="126">
        <v>0.68</v>
      </c>
      <c r="P553" s="126">
        <v>0.92</v>
      </c>
      <c r="Q553" s="126">
        <v>0</v>
      </c>
      <c r="R553" s="126">
        <v>0</v>
      </c>
      <c r="S553" s="126">
        <v>0</v>
      </c>
      <c r="T553" s="126">
        <v>0</v>
      </c>
      <c r="U553" s="126">
        <v>0</v>
      </c>
      <c r="V553" s="126">
        <v>0</v>
      </c>
      <c r="W553" s="126">
        <v>0</v>
      </c>
      <c r="X553" s="126">
        <v>0</v>
      </c>
      <c r="Y553" s="126">
        <v>0</v>
      </c>
      <c r="Z553" s="142">
        <v>4</v>
      </c>
      <c r="AA553" s="126">
        <v>0</v>
      </c>
      <c r="AB553" s="126">
        <v>0</v>
      </c>
      <c r="AC553" s="126">
        <v>0</v>
      </c>
      <c r="AD553" s="126">
        <v>0</v>
      </c>
      <c r="AE553" s="126">
        <v>0</v>
      </c>
      <c r="AF553" s="126">
        <v>0.15</v>
      </c>
      <c r="AG553" t="s">
        <v>3386</v>
      </c>
    </row>
    <row r="554" spans="1:33" x14ac:dyDescent="0.3">
      <c r="A554">
        <v>723</v>
      </c>
      <c r="B554" t="s">
        <v>3387</v>
      </c>
      <c r="C554" t="s">
        <v>187</v>
      </c>
      <c r="D554">
        <v>17680</v>
      </c>
      <c r="E554">
        <v>19448</v>
      </c>
      <c r="F554">
        <v>400</v>
      </c>
      <c r="G554">
        <v>6000</v>
      </c>
      <c r="H554">
        <v>130</v>
      </c>
      <c r="I554">
        <v>0.3</v>
      </c>
      <c r="J554" s="28">
        <v>48.27</v>
      </c>
      <c r="K554" s="126">
        <v>7.0000000000000001E-3</v>
      </c>
      <c r="L554" s="126">
        <v>2</v>
      </c>
      <c r="M554" s="126">
        <v>0.1</v>
      </c>
      <c r="N554" s="126">
        <v>0.30499999999999999</v>
      </c>
      <c r="O554" s="126">
        <v>0.6</v>
      </c>
      <c r="P554" s="126">
        <v>0.88500000000000001</v>
      </c>
      <c r="Q554" s="126">
        <v>0.8</v>
      </c>
      <c r="R554" s="126">
        <v>0</v>
      </c>
      <c r="S554" s="126">
        <v>0</v>
      </c>
      <c r="T554" s="126">
        <v>0</v>
      </c>
      <c r="U554" s="126">
        <v>0</v>
      </c>
      <c r="V554" s="126">
        <v>0</v>
      </c>
      <c r="W554" s="126">
        <v>0</v>
      </c>
      <c r="X554" s="126">
        <v>0</v>
      </c>
      <c r="Y554" s="126">
        <v>0</v>
      </c>
      <c r="Z554" s="142">
        <v>0</v>
      </c>
      <c r="AA554" s="126">
        <v>0</v>
      </c>
      <c r="AB554" s="126">
        <v>0</v>
      </c>
      <c r="AC554" s="126">
        <v>0</v>
      </c>
      <c r="AD554" s="126">
        <v>0</v>
      </c>
      <c r="AE554" s="126">
        <v>0</v>
      </c>
      <c r="AF554" s="126">
        <v>0.15</v>
      </c>
      <c r="AG554" t="s">
        <v>3388</v>
      </c>
    </row>
    <row r="555" spans="1:33" x14ac:dyDescent="0.3">
      <c r="A555">
        <v>724</v>
      </c>
      <c r="B555" t="s">
        <v>3389</v>
      </c>
      <c r="C555" t="s">
        <v>199</v>
      </c>
      <c r="D555">
        <v>19368</v>
      </c>
      <c r="E555">
        <v>21305</v>
      </c>
      <c r="F555">
        <v>70</v>
      </c>
      <c r="G555">
        <v>1200</v>
      </c>
      <c r="H555">
        <v>0</v>
      </c>
      <c r="I555">
        <v>4.3</v>
      </c>
      <c r="J555" s="28">
        <v>5.79</v>
      </c>
      <c r="K555" s="126">
        <v>0.32</v>
      </c>
      <c r="L555" s="126">
        <v>2.1</v>
      </c>
      <c r="M555" s="126">
        <v>0.1</v>
      </c>
      <c r="N555" s="126">
        <v>0</v>
      </c>
      <c r="O555" s="126">
        <v>0.6</v>
      </c>
      <c r="P555" s="126">
        <v>0.88500000000000001</v>
      </c>
      <c r="Q555" s="126">
        <v>0.7</v>
      </c>
      <c r="R555" s="126">
        <v>0</v>
      </c>
      <c r="S555" s="126">
        <v>0.2</v>
      </c>
      <c r="T555" s="126">
        <v>10</v>
      </c>
      <c r="U555" s="126">
        <v>40</v>
      </c>
      <c r="V555" s="126">
        <v>25</v>
      </c>
      <c r="W555" s="126">
        <v>0.17</v>
      </c>
      <c r="X555" s="126">
        <v>0</v>
      </c>
      <c r="Y555" s="126">
        <v>0</v>
      </c>
      <c r="Z555" s="142">
        <v>6</v>
      </c>
      <c r="AA555" s="126">
        <v>0</v>
      </c>
      <c r="AB555" s="126">
        <v>0</v>
      </c>
      <c r="AC555" s="126">
        <v>0</v>
      </c>
      <c r="AD555" s="126">
        <v>0</v>
      </c>
      <c r="AE555" s="126">
        <v>0</v>
      </c>
      <c r="AF555" s="126">
        <v>2.4380000000000002</v>
      </c>
      <c r="AG555" t="s">
        <v>3390</v>
      </c>
    </row>
    <row r="556" spans="1:33" x14ac:dyDescent="0.3">
      <c r="A556">
        <v>725</v>
      </c>
      <c r="B556" t="s">
        <v>3391</v>
      </c>
      <c r="C556" t="s">
        <v>199</v>
      </c>
      <c r="D556">
        <v>4638</v>
      </c>
      <c r="E556">
        <v>5101</v>
      </c>
      <c r="F556">
        <v>80</v>
      </c>
      <c r="G556">
        <v>1500</v>
      </c>
      <c r="H556">
        <v>0</v>
      </c>
      <c r="I556">
        <v>9.1</v>
      </c>
      <c r="J556" s="28">
        <v>10.46</v>
      </c>
      <c r="K556" s="126">
        <v>0.63</v>
      </c>
      <c r="L556" s="126">
        <v>1.3</v>
      </c>
      <c r="M556" s="126">
        <v>0.1</v>
      </c>
      <c r="N556" s="126">
        <v>0</v>
      </c>
      <c r="O556" s="126">
        <v>0.6</v>
      </c>
      <c r="P556" s="126">
        <v>0.88500000000000001</v>
      </c>
      <c r="Q556" s="126">
        <v>0.65</v>
      </c>
      <c r="R556" s="126">
        <v>0</v>
      </c>
      <c r="S556" s="126">
        <v>0</v>
      </c>
      <c r="T556" s="126">
        <v>0</v>
      </c>
      <c r="U556" s="126">
        <v>0</v>
      </c>
      <c r="V556" s="126">
        <v>0</v>
      </c>
      <c r="W556" s="126">
        <v>0</v>
      </c>
      <c r="X556" s="126">
        <v>0</v>
      </c>
      <c r="Y556" s="126">
        <v>0</v>
      </c>
      <c r="Z556" s="142">
        <v>9</v>
      </c>
      <c r="AA556" s="126">
        <v>0</v>
      </c>
      <c r="AB556" s="126">
        <v>0</v>
      </c>
      <c r="AC556" s="126">
        <v>0</v>
      </c>
      <c r="AD556" s="126">
        <v>0</v>
      </c>
      <c r="AE556" s="126">
        <v>0</v>
      </c>
      <c r="AF556" s="126">
        <v>6.0999999999999999E-2</v>
      </c>
      <c r="AG556" t="s">
        <v>3392</v>
      </c>
    </row>
    <row r="557" spans="1:33" x14ac:dyDescent="0.3">
      <c r="A557">
        <v>726</v>
      </c>
      <c r="B557" t="s">
        <v>3393</v>
      </c>
      <c r="C557" t="s">
        <v>187</v>
      </c>
      <c r="D557">
        <v>260</v>
      </c>
      <c r="E557">
        <v>275</v>
      </c>
      <c r="F557">
        <v>100</v>
      </c>
      <c r="G557">
        <v>2500</v>
      </c>
      <c r="H557">
        <v>0</v>
      </c>
      <c r="I557">
        <v>1</v>
      </c>
      <c r="J557" s="28">
        <v>0.2</v>
      </c>
      <c r="K557" s="126">
        <v>0.15</v>
      </c>
      <c r="L557" s="126">
        <v>1.6</v>
      </c>
      <c r="M557" s="126">
        <v>0.1</v>
      </c>
      <c r="N557" s="126">
        <v>0.30499999999999999</v>
      </c>
      <c r="O557" s="126">
        <v>0.56000000000000005</v>
      </c>
      <c r="P557" s="126">
        <v>0.88500000000000001</v>
      </c>
      <c r="Q557" s="126">
        <v>1</v>
      </c>
      <c r="R557" s="126">
        <v>0</v>
      </c>
      <c r="S557" s="126">
        <v>0</v>
      </c>
      <c r="T557" s="126">
        <v>0</v>
      </c>
      <c r="U557" s="126">
        <v>-199.898</v>
      </c>
      <c r="V557" s="126">
        <v>0</v>
      </c>
      <c r="W557" s="126">
        <v>0</v>
      </c>
      <c r="X557" s="126">
        <v>0</v>
      </c>
      <c r="Y557" s="126">
        <v>0</v>
      </c>
      <c r="Z557" s="142">
        <v>2</v>
      </c>
      <c r="AA557" s="126">
        <v>0.9</v>
      </c>
      <c r="AB557" s="126">
        <v>0.9</v>
      </c>
      <c r="AC557" s="126">
        <v>0</v>
      </c>
      <c r="AD557" s="126">
        <v>0</v>
      </c>
      <c r="AE557" s="126">
        <v>0</v>
      </c>
      <c r="AF557" s="126">
        <v>0.15</v>
      </c>
      <c r="AG557" t="s">
        <v>3394</v>
      </c>
    </row>
    <row r="558" spans="1:33" x14ac:dyDescent="0.3">
      <c r="A558">
        <v>727</v>
      </c>
      <c r="B558" t="s">
        <v>3395</v>
      </c>
      <c r="C558" t="s">
        <v>150</v>
      </c>
      <c r="D558">
        <v>84254</v>
      </c>
      <c r="E558">
        <v>92679</v>
      </c>
      <c r="F558">
        <v>660</v>
      </c>
      <c r="G558">
        <v>12000</v>
      </c>
      <c r="H558">
        <v>130</v>
      </c>
      <c r="I558">
        <v>0.3</v>
      </c>
      <c r="J558" s="28">
        <v>0</v>
      </c>
      <c r="K558" s="126">
        <v>7.0000000000000001E-3</v>
      </c>
      <c r="L558" s="126">
        <v>2</v>
      </c>
      <c r="M558" s="126">
        <v>0.1</v>
      </c>
      <c r="N558" s="126">
        <v>0.223</v>
      </c>
      <c r="O558" s="126">
        <v>0.68</v>
      </c>
      <c r="P558" s="126">
        <v>0.92</v>
      </c>
      <c r="Q558" s="126">
        <v>0</v>
      </c>
      <c r="R558" s="126">
        <v>0</v>
      </c>
      <c r="S558" s="126">
        <v>0</v>
      </c>
      <c r="T558" s="126">
        <v>0</v>
      </c>
      <c r="U558" s="126">
        <v>0</v>
      </c>
      <c r="V558" s="126">
        <v>0</v>
      </c>
      <c r="W558" s="126">
        <v>0</v>
      </c>
      <c r="X558" s="126">
        <v>0</v>
      </c>
      <c r="Y558" s="126">
        <v>0</v>
      </c>
      <c r="Z558" s="142">
        <v>4</v>
      </c>
      <c r="AA558" s="126">
        <v>0</v>
      </c>
      <c r="AB558" s="126">
        <v>0</v>
      </c>
      <c r="AC558" s="126">
        <v>0</v>
      </c>
      <c r="AD558" s="126">
        <v>0</v>
      </c>
      <c r="AE558" s="126">
        <v>0</v>
      </c>
      <c r="AF558" s="126">
        <v>0.15</v>
      </c>
      <c r="AG558" t="s">
        <v>3396</v>
      </c>
    </row>
    <row r="559" spans="1:33" x14ac:dyDescent="0.3">
      <c r="A559">
        <v>728</v>
      </c>
      <c r="B559" t="s">
        <v>3397</v>
      </c>
      <c r="C559" t="s">
        <v>199</v>
      </c>
      <c r="D559">
        <v>15808</v>
      </c>
      <c r="E559">
        <v>17389</v>
      </c>
      <c r="F559">
        <v>65</v>
      </c>
      <c r="G559">
        <v>1200</v>
      </c>
      <c r="H559">
        <v>0</v>
      </c>
      <c r="I559">
        <v>4.3</v>
      </c>
      <c r="J559" s="28">
        <v>4.0199999999999996</v>
      </c>
      <c r="K559" s="126">
        <v>0.32</v>
      </c>
      <c r="L559" s="126">
        <v>2.1</v>
      </c>
      <c r="M559" s="126">
        <v>0.1</v>
      </c>
      <c r="N559" s="126">
        <v>0</v>
      </c>
      <c r="O559" s="126">
        <v>0.6</v>
      </c>
      <c r="P559" s="126">
        <v>0.88500000000000001</v>
      </c>
      <c r="Q559" s="126">
        <v>0.7</v>
      </c>
      <c r="R559" s="126">
        <v>0</v>
      </c>
      <c r="S559" s="126">
        <v>0.1</v>
      </c>
      <c r="T559" s="126">
        <v>10</v>
      </c>
      <c r="U559" s="126">
        <v>40</v>
      </c>
      <c r="V559" s="126">
        <v>25</v>
      </c>
      <c r="W559" s="126">
        <v>0.17</v>
      </c>
      <c r="X559" s="126">
        <v>0</v>
      </c>
      <c r="Y559" s="126">
        <v>0</v>
      </c>
      <c r="Z559" s="142">
        <v>6</v>
      </c>
      <c r="AA559" s="126">
        <v>0</v>
      </c>
      <c r="AB559" s="126">
        <v>0</v>
      </c>
      <c r="AC559" s="126">
        <v>0</v>
      </c>
      <c r="AD559" s="126">
        <v>0</v>
      </c>
      <c r="AE559" s="126">
        <v>0</v>
      </c>
      <c r="AF559" s="126">
        <v>6.3380000000000001</v>
      </c>
      <c r="AG559" t="s">
        <v>3398</v>
      </c>
    </row>
    <row r="560" spans="1:33" x14ac:dyDescent="0.3">
      <c r="A560">
        <v>729</v>
      </c>
      <c r="B560" t="s">
        <v>3399</v>
      </c>
      <c r="C560" t="s">
        <v>199</v>
      </c>
      <c r="D560">
        <v>15535</v>
      </c>
      <c r="E560">
        <v>17088</v>
      </c>
      <c r="F560">
        <v>70</v>
      </c>
      <c r="G560">
        <v>1200</v>
      </c>
      <c r="H560">
        <v>0</v>
      </c>
      <c r="I560">
        <v>6.1</v>
      </c>
      <c r="J560" s="28">
        <v>5.31</v>
      </c>
      <c r="K560" s="126">
        <v>0.32</v>
      </c>
      <c r="L560" s="126">
        <v>2.1</v>
      </c>
      <c r="M560" s="126">
        <v>0.1</v>
      </c>
      <c r="N560" s="126">
        <v>0</v>
      </c>
      <c r="O560" s="126">
        <v>0.6</v>
      </c>
      <c r="P560" s="126">
        <v>0.88500000000000001</v>
      </c>
      <c r="Q560" s="126">
        <v>0.7</v>
      </c>
      <c r="R560" s="126">
        <v>0</v>
      </c>
      <c r="S560" s="126">
        <v>0.4</v>
      </c>
      <c r="T560" s="126">
        <v>10</v>
      </c>
      <c r="U560" s="126">
        <v>40</v>
      </c>
      <c r="V560" s="126">
        <v>25</v>
      </c>
      <c r="W560" s="126">
        <v>0.17</v>
      </c>
      <c r="X560" s="126">
        <v>0</v>
      </c>
      <c r="Y560" s="126">
        <v>0</v>
      </c>
      <c r="Z560" s="142">
        <v>6</v>
      </c>
      <c r="AA560" s="126">
        <v>0</v>
      </c>
      <c r="AB560" s="126">
        <v>0</v>
      </c>
      <c r="AC560" s="126">
        <v>0</v>
      </c>
      <c r="AD560" s="126">
        <v>0</v>
      </c>
      <c r="AE560" s="126">
        <v>0</v>
      </c>
      <c r="AF560" s="126">
        <v>6.3380000000000001</v>
      </c>
      <c r="AG560" t="s">
        <v>3400</v>
      </c>
    </row>
    <row r="561" spans="1:33" x14ac:dyDescent="0.3">
      <c r="A561">
        <v>730</v>
      </c>
      <c r="B561" t="s">
        <v>3401</v>
      </c>
      <c r="C561" t="s">
        <v>247</v>
      </c>
      <c r="D561">
        <v>25</v>
      </c>
      <c r="E561">
        <v>0</v>
      </c>
      <c r="F561">
        <v>0</v>
      </c>
      <c r="G561">
        <v>0</v>
      </c>
      <c r="H561">
        <v>0</v>
      </c>
      <c r="I561">
        <v>0</v>
      </c>
      <c r="J561" s="28">
        <v>0</v>
      </c>
      <c r="K561" s="126">
        <v>0</v>
      </c>
      <c r="L561" s="126">
        <v>0</v>
      </c>
      <c r="M561" s="126">
        <v>0</v>
      </c>
      <c r="N561" s="126">
        <v>0</v>
      </c>
      <c r="O561" s="126">
        <v>0</v>
      </c>
      <c r="P561" s="126">
        <v>0</v>
      </c>
      <c r="Q561" s="126">
        <v>0</v>
      </c>
      <c r="R561" s="126">
        <v>0</v>
      </c>
      <c r="S561" s="126">
        <v>0</v>
      </c>
      <c r="T561" s="126">
        <v>0</v>
      </c>
      <c r="U561" s="126">
        <v>-50</v>
      </c>
      <c r="V561" s="126">
        <v>0</v>
      </c>
      <c r="W561" s="126">
        <v>0</v>
      </c>
      <c r="X561" s="126">
        <v>0</v>
      </c>
      <c r="Y561" s="126">
        <v>0</v>
      </c>
      <c r="Z561" s="142">
        <v>2</v>
      </c>
      <c r="AA561" s="126">
        <v>0.95</v>
      </c>
      <c r="AB561" s="126">
        <v>0.9</v>
      </c>
      <c r="AC561" s="126">
        <v>0</v>
      </c>
      <c r="AD561" s="126">
        <v>0</v>
      </c>
      <c r="AE561" s="126">
        <v>0</v>
      </c>
      <c r="AF561" s="126">
        <v>0.15</v>
      </c>
      <c r="AG561" t="s">
        <v>3402</v>
      </c>
    </row>
    <row r="562" spans="1:33" x14ac:dyDescent="0.3">
      <c r="A562">
        <v>731</v>
      </c>
      <c r="B562" t="s">
        <v>3403</v>
      </c>
      <c r="C562" t="s">
        <v>187</v>
      </c>
      <c r="D562">
        <v>260</v>
      </c>
      <c r="E562">
        <v>275</v>
      </c>
      <c r="F562">
        <v>100</v>
      </c>
      <c r="G562">
        <v>2500</v>
      </c>
      <c r="H562">
        <v>0</v>
      </c>
      <c r="I562">
        <v>1</v>
      </c>
      <c r="J562" s="28">
        <v>0.2</v>
      </c>
      <c r="K562" s="126">
        <v>0.15</v>
      </c>
      <c r="L562" s="126">
        <v>1.6</v>
      </c>
      <c r="M562" s="126">
        <v>0.1</v>
      </c>
      <c r="N562" s="126">
        <v>0.30499999999999999</v>
      </c>
      <c r="O562" s="126">
        <v>0.56000000000000005</v>
      </c>
      <c r="P562" s="126">
        <v>0.88500000000000001</v>
      </c>
      <c r="Q562" s="126">
        <v>1</v>
      </c>
      <c r="R562" s="126">
        <v>0</v>
      </c>
      <c r="S562" s="126">
        <v>0</v>
      </c>
      <c r="T562" s="126">
        <v>0</v>
      </c>
      <c r="U562" s="126">
        <v>-199.898</v>
      </c>
      <c r="V562" s="126">
        <v>0</v>
      </c>
      <c r="W562" s="126">
        <v>0</v>
      </c>
      <c r="X562" s="126">
        <v>0</v>
      </c>
      <c r="Y562" s="126">
        <v>0</v>
      </c>
      <c r="Z562" s="142">
        <v>2</v>
      </c>
      <c r="AA562" s="126">
        <v>0.9</v>
      </c>
      <c r="AB562" s="126">
        <v>0.9</v>
      </c>
      <c r="AC562" s="126">
        <v>0</v>
      </c>
      <c r="AD562" s="126">
        <v>0</v>
      </c>
      <c r="AE562" s="126">
        <v>0</v>
      </c>
      <c r="AF562" s="126">
        <v>0.15</v>
      </c>
      <c r="AG562" t="s">
        <v>3404</v>
      </c>
    </row>
    <row r="563" spans="1:33" x14ac:dyDescent="0.3">
      <c r="A563">
        <v>732</v>
      </c>
      <c r="B563" t="s">
        <v>3405</v>
      </c>
      <c r="C563" t="s">
        <v>150</v>
      </c>
      <c r="D563">
        <v>71619</v>
      </c>
      <c r="E563">
        <v>78781</v>
      </c>
      <c r="F563">
        <v>660</v>
      </c>
      <c r="G563">
        <v>12000</v>
      </c>
      <c r="H563">
        <v>119</v>
      </c>
      <c r="I563">
        <v>0.3</v>
      </c>
      <c r="J563" s="28">
        <v>0</v>
      </c>
      <c r="K563" s="126">
        <v>7.0000000000000001E-3</v>
      </c>
      <c r="L563" s="126">
        <v>2</v>
      </c>
      <c r="M563" s="126">
        <v>0.1</v>
      </c>
      <c r="N563" s="126">
        <v>0.223</v>
      </c>
      <c r="O563" s="126">
        <v>0.68</v>
      </c>
      <c r="P563" s="126">
        <v>0.92</v>
      </c>
      <c r="Q563" s="126">
        <v>0</v>
      </c>
      <c r="R563" s="126">
        <v>0</v>
      </c>
      <c r="S563" s="126">
        <v>0</v>
      </c>
      <c r="T563" s="126">
        <v>0</v>
      </c>
      <c r="U563" s="126">
        <v>0</v>
      </c>
      <c r="V563" s="126">
        <v>0</v>
      </c>
      <c r="W563" s="126">
        <v>0</v>
      </c>
      <c r="X563" s="126">
        <v>0</v>
      </c>
      <c r="Y563" s="126">
        <v>0</v>
      </c>
      <c r="Z563" s="142">
        <v>4</v>
      </c>
      <c r="AA563" s="126">
        <v>0</v>
      </c>
      <c r="AB563" s="126">
        <v>0</v>
      </c>
      <c r="AC563" s="126">
        <v>0</v>
      </c>
      <c r="AD563" s="126">
        <v>0</v>
      </c>
      <c r="AE563" s="126">
        <v>0</v>
      </c>
      <c r="AF563" s="126">
        <v>0.15</v>
      </c>
      <c r="AG563" t="s">
        <v>3406</v>
      </c>
    </row>
    <row r="564" spans="1:33" x14ac:dyDescent="0.3">
      <c r="A564">
        <v>733</v>
      </c>
      <c r="B564" t="s">
        <v>3405</v>
      </c>
      <c r="C564" t="s">
        <v>150</v>
      </c>
      <c r="D564">
        <v>84254</v>
      </c>
      <c r="E564">
        <v>92679</v>
      </c>
      <c r="F564">
        <v>660</v>
      </c>
      <c r="G564">
        <v>12000</v>
      </c>
      <c r="H564">
        <v>130</v>
      </c>
      <c r="I564">
        <v>0.3</v>
      </c>
      <c r="J564" s="28">
        <v>0</v>
      </c>
      <c r="K564" s="126">
        <v>7.0000000000000001E-3</v>
      </c>
      <c r="L564" s="126">
        <v>2</v>
      </c>
      <c r="M564" s="126">
        <v>0.1</v>
      </c>
      <c r="N564" s="126">
        <v>0.223</v>
      </c>
      <c r="O564" s="126">
        <v>0.68</v>
      </c>
      <c r="P564" s="126">
        <v>0.92</v>
      </c>
      <c r="Q564" s="126">
        <v>0</v>
      </c>
      <c r="R564" s="126">
        <v>0</v>
      </c>
      <c r="S564" s="126">
        <v>0</v>
      </c>
      <c r="T564" s="126">
        <v>0</v>
      </c>
      <c r="U564" s="126">
        <v>0</v>
      </c>
      <c r="V564" s="126">
        <v>0</v>
      </c>
      <c r="W564" s="126">
        <v>0</v>
      </c>
      <c r="X564" s="126">
        <v>0</v>
      </c>
      <c r="Y564" s="126">
        <v>0</v>
      </c>
      <c r="Z564" s="142">
        <v>4</v>
      </c>
      <c r="AA564" s="126">
        <v>0</v>
      </c>
      <c r="AB564" s="126">
        <v>0</v>
      </c>
      <c r="AC564" s="126">
        <v>0</v>
      </c>
      <c r="AD564" s="126">
        <v>0</v>
      </c>
      <c r="AE564" s="126">
        <v>0</v>
      </c>
      <c r="AF564" s="126">
        <v>0.15</v>
      </c>
      <c r="AG564" t="s">
        <v>3407</v>
      </c>
    </row>
    <row r="565" spans="1:33" x14ac:dyDescent="0.3">
      <c r="A565">
        <v>734</v>
      </c>
      <c r="B565" t="s">
        <v>3408</v>
      </c>
      <c r="C565" t="s">
        <v>199</v>
      </c>
      <c r="D565">
        <v>0</v>
      </c>
      <c r="E565">
        <v>0</v>
      </c>
      <c r="F565">
        <v>0</v>
      </c>
      <c r="G565">
        <v>0</v>
      </c>
      <c r="H565">
        <v>0</v>
      </c>
      <c r="I565">
        <v>0</v>
      </c>
      <c r="J565" s="28">
        <v>0</v>
      </c>
      <c r="K565" s="126">
        <v>0</v>
      </c>
      <c r="L565" s="126">
        <v>0</v>
      </c>
      <c r="M565" s="126">
        <v>0</v>
      </c>
      <c r="N565" s="126">
        <v>0</v>
      </c>
      <c r="O565" s="126">
        <v>0</v>
      </c>
      <c r="P565" s="126">
        <v>0</v>
      </c>
      <c r="Q565" s="126">
        <v>0</v>
      </c>
      <c r="R565" s="126">
        <v>0</v>
      </c>
      <c r="S565" s="126">
        <v>0</v>
      </c>
      <c r="T565" s="126">
        <v>0</v>
      </c>
      <c r="U565" s="126">
        <v>0</v>
      </c>
      <c r="V565" s="126">
        <v>0</v>
      </c>
      <c r="W565" s="126">
        <v>0</v>
      </c>
      <c r="X565" s="126">
        <v>0</v>
      </c>
      <c r="Y565" s="126">
        <v>0</v>
      </c>
      <c r="Z565" s="142">
        <v>27</v>
      </c>
      <c r="AA565" s="126">
        <v>0</v>
      </c>
      <c r="AB565" s="126">
        <v>0</v>
      </c>
      <c r="AC565" s="126">
        <v>0</v>
      </c>
      <c r="AD565" s="126">
        <v>0</v>
      </c>
      <c r="AE565" s="126">
        <v>0</v>
      </c>
      <c r="AF565" s="126">
        <v>6.0999999999999999E-2</v>
      </c>
      <c r="AG565" t="s">
        <v>3408</v>
      </c>
    </row>
    <row r="566" spans="1:33" x14ac:dyDescent="0.3">
      <c r="A566">
        <v>735</v>
      </c>
      <c r="B566" t="s">
        <v>336</v>
      </c>
      <c r="C566" t="s">
        <v>199</v>
      </c>
      <c r="D566">
        <v>17</v>
      </c>
      <c r="E566">
        <v>19</v>
      </c>
      <c r="F566">
        <v>840</v>
      </c>
      <c r="G566">
        <v>15000</v>
      </c>
      <c r="H566">
        <v>3</v>
      </c>
      <c r="I566">
        <v>7</v>
      </c>
      <c r="J566" s="28">
        <v>3</v>
      </c>
      <c r="K566" s="126">
        <v>0.63</v>
      </c>
      <c r="L566" s="126">
        <v>1.3</v>
      </c>
      <c r="M566" s="126">
        <v>0</v>
      </c>
      <c r="N566" s="126">
        <v>0.42</v>
      </c>
      <c r="O566" s="126">
        <v>0.68</v>
      </c>
      <c r="P566" s="126">
        <v>0.92</v>
      </c>
      <c r="Q566" s="126">
        <v>0.82499999999999996</v>
      </c>
      <c r="R566" s="126">
        <v>0</v>
      </c>
      <c r="S566" s="126">
        <v>0</v>
      </c>
      <c r="T566" s="126">
        <v>0</v>
      </c>
      <c r="U566" s="126">
        <v>0</v>
      </c>
      <c r="V566" s="126">
        <v>0</v>
      </c>
      <c r="W566" s="126">
        <v>0</v>
      </c>
      <c r="X566" s="126">
        <v>0</v>
      </c>
      <c r="Y566" s="126">
        <v>0</v>
      </c>
      <c r="Z566" s="142">
        <v>9</v>
      </c>
      <c r="AA566" s="126">
        <v>0</v>
      </c>
      <c r="AB566" s="126">
        <v>0</v>
      </c>
      <c r="AC566" s="126">
        <v>0</v>
      </c>
      <c r="AD566" s="126">
        <v>0</v>
      </c>
      <c r="AE566" s="126">
        <v>5</v>
      </c>
      <c r="AF566" s="126">
        <v>0</v>
      </c>
      <c r="AG566" t="s">
        <v>3409</v>
      </c>
    </row>
    <row r="567" spans="1:33" x14ac:dyDescent="0.3">
      <c r="A567">
        <v>736</v>
      </c>
      <c r="B567" t="s">
        <v>3410</v>
      </c>
      <c r="C567" t="s">
        <v>247</v>
      </c>
      <c r="D567">
        <v>7</v>
      </c>
      <c r="E567">
        <v>0</v>
      </c>
      <c r="F567">
        <v>0</v>
      </c>
      <c r="G567">
        <v>0</v>
      </c>
      <c r="H567">
        <v>0</v>
      </c>
      <c r="I567">
        <v>0</v>
      </c>
      <c r="J567" s="28">
        <v>0</v>
      </c>
      <c r="K567" s="126">
        <v>0</v>
      </c>
      <c r="L567" s="126">
        <v>0</v>
      </c>
      <c r="M567" s="126">
        <v>0</v>
      </c>
      <c r="N567" s="126">
        <v>0</v>
      </c>
      <c r="O567" s="126">
        <v>0</v>
      </c>
      <c r="P567" s="126">
        <v>0</v>
      </c>
      <c r="Q567" s="126">
        <v>0</v>
      </c>
      <c r="R567" s="126">
        <v>0</v>
      </c>
      <c r="S567" s="126">
        <v>0</v>
      </c>
      <c r="T567" s="126">
        <v>0</v>
      </c>
      <c r="U567" s="126">
        <v>0</v>
      </c>
      <c r="V567" s="126">
        <v>0</v>
      </c>
      <c r="W567" s="126">
        <v>0</v>
      </c>
      <c r="X567" s="126">
        <v>0</v>
      </c>
      <c r="Y567" s="126">
        <v>0</v>
      </c>
      <c r="Z567" s="142">
        <v>7</v>
      </c>
      <c r="AA567" s="126">
        <v>0.95</v>
      </c>
      <c r="AB567" s="126">
        <v>0</v>
      </c>
      <c r="AC567" s="126">
        <v>0</v>
      </c>
      <c r="AD567" s="126">
        <v>0</v>
      </c>
      <c r="AE567" s="126">
        <v>2.54</v>
      </c>
      <c r="AF567" s="126">
        <v>0</v>
      </c>
      <c r="AG567" t="s">
        <v>3410</v>
      </c>
    </row>
    <row r="568" spans="1:33" x14ac:dyDescent="0.3">
      <c r="A568">
        <v>737</v>
      </c>
      <c r="B568" t="s">
        <v>248</v>
      </c>
      <c r="C568" t="s">
        <v>187</v>
      </c>
      <c r="D568">
        <v>25027</v>
      </c>
      <c r="E568">
        <v>27529</v>
      </c>
      <c r="F568">
        <v>100</v>
      </c>
      <c r="G568">
        <v>2500</v>
      </c>
      <c r="H568">
        <v>8</v>
      </c>
      <c r="I568">
        <v>0</v>
      </c>
      <c r="J568" s="28">
        <v>9.1</v>
      </c>
      <c r="K568" s="126">
        <v>0.2</v>
      </c>
      <c r="L568" s="126">
        <v>1.6</v>
      </c>
      <c r="M568" s="126">
        <v>0.1</v>
      </c>
      <c r="N568" s="126">
        <v>0</v>
      </c>
      <c r="O568" s="126">
        <v>0.6</v>
      </c>
      <c r="P568" s="126">
        <v>0.88500000000000001</v>
      </c>
      <c r="Q568" s="126">
        <v>0.8</v>
      </c>
      <c r="R568" s="126">
        <v>0</v>
      </c>
      <c r="S568" s="126">
        <v>0</v>
      </c>
      <c r="T568" s="126">
        <v>0</v>
      </c>
      <c r="U568" s="126">
        <v>0</v>
      </c>
      <c r="V568" s="126">
        <v>0</v>
      </c>
      <c r="W568" s="126">
        <v>0</v>
      </c>
      <c r="X568" s="126">
        <v>0</v>
      </c>
      <c r="Y568" s="126">
        <v>0</v>
      </c>
      <c r="Z568" s="142">
        <v>7</v>
      </c>
      <c r="AA568" s="126">
        <v>0.95</v>
      </c>
      <c r="AB568" s="126">
        <v>0</v>
      </c>
      <c r="AC568" s="126">
        <v>0</v>
      </c>
      <c r="AD568" s="126">
        <v>0</v>
      </c>
      <c r="AE568" s="126">
        <v>2.54</v>
      </c>
      <c r="AF568" s="126">
        <v>0</v>
      </c>
      <c r="AG568" t="s">
        <v>248</v>
      </c>
    </row>
    <row r="569" spans="1:33" x14ac:dyDescent="0.3">
      <c r="A569">
        <v>738</v>
      </c>
      <c r="B569" t="s">
        <v>238</v>
      </c>
      <c r="C569" t="s">
        <v>187</v>
      </c>
      <c r="D569">
        <v>78942</v>
      </c>
      <c r="E569">
        <v>86837</v>
      </c>
      <c r="F569">
        <v>50</v>
      </c>
      <c r="G569">
        <v>2000</v>
      </c>
      <c r="H569">
        <v>6</v>
      </c>
      <c r="I569">
        <v>0</v>
      </c>
      <c r="J569" s="28">
        <v>9.1</v>
      </c>
      <c r="K569" s="126">
        <v>0.63</v>
      </c>
      <c r="L569" s="126">
        <v>1.3</v>
      </c>
      <c r="M569" s="126">
        <v>0.1</v>
      </c>
      <c r="N569" s="126">
        <v>0</v>
      </c>
      <c r="O569" s="126">
        <v>0.56000000000000005</v>
      </c>
      <c r="P569" s="126">
        <v>0.88500000000000001</v>
      </c>
      <c r="Q569" s="126">
        <v>0.67</v>
      </c>
      <c r="R569" s="126">
        <v>0</v>
      </c>
      <c r="S569" s="126">
        <v>0</v>
      </c>
      <c r="T569" s="126">
        <v>0</v>
      </c>
      <c r="U569" s="126">
        <v>0</v>
      </c>
      <c r="V569" s="126">
        <v>0</v>
      </c>
      <c r="W569" s="126">
        <v>0</v>
      </c>
      <c r="X569" s="126">
        <v>0</v>
      </c>
      <c r="Y569" s="126">
        <v>0</v>
      </c>
      <c r="Z569" s="142">
        <v>9</v>
      </c>
      <c r="AA569" s="126">
        <v>0</v>
      </c>
      <c r="AB569" s="126">
        <v>0</v>
      </c>
      <c r="AC569" s="126">
        <v>0</v>
      </c>
      <c r="AD569" s="126">
        <v>0</v>
      </c>
      <c r="AE569" s="126">
        <v>5</v>
      </c>
      <c r="AF569" s="126">
        <v>0</v>
      </c>
      <c r="AG569" t="s">
        <v>238</v>
      </c>
    </row>
    <row r="570" spans="1:33" x14ac:dyDescent="0.3">
      <c r="A570">
        <v>739</v>
      </c>
      <c r="B570" t="s">
        <v>207</v>
      </c>
      <c r="C570" t="s">
        <v>199</v>
      </c>
      <c r="D570">
        <v>13557</v>
      </c>
      <c r="E570">
        <v>14913</v>
      </c>
      <c r="F570">
        <v>30</v>
      </c>
      <c r="G570">
        <v>1200</v>
      </c>
      <c r="H570">
        <v>5</v>
      </c>
      <c r="I570">
        <v>0</v>
      </c>
      <c r="J570" s="28">
        <v>6.1</v>
      </c>
      <c r="K570" s="126">
        <v>0.32</v>
      </c>
      <c r="L570" s="126">
        <v>2.1</v>
      </c>
      <c r="M570" s="126">
        <v>0.1</v>
      </c>
      <c r="N570" s="126">
        <v>0</v>
      </c>
      <c r="O570" s="126">
        <v>0.6</v>
      </c>
      <c r="P570" s="126">
        <v>0.88500000000000001</v>
      </c>
      <c r="Q570" s="126">
        <v>0.8</v>
      </c>
      <c r="R570" s="126">
        <v>0</v>
      </c>
      <c r="S570" s="126">
        <v>0</v>
      </c>
      <c r="T570" s="126">
        <v>0</v>
      </c>
      <c r="U570" s="126">
        <v>40</v>
      </c>
      <c r="V570" s="126">
        <v>25</v>
      </c>
      <c r="W570" s="126">
        <v>0.17</v>
      </c>
      <c r="X570" s="126">
        <v>0</v>
      </c>
      <c r="Y570" s="126">
        <v>0</v>
      </c>
      <c r="Z570" s="142">
        <v>6</v>
      </c>
      <c r="AA570" s="126">
        <v>0</v>
      </c>
      <c r="AB570" s="126">
        <v>0</v>
      </c>
      <c r="AC570" s="126">
        <v>0</v>
      </c>
      <c r="AD570" s="126">
        <v>0</v>
      </c>
      <c r="AE570" s="126">
        <v>6.79</v>
      </c>
      <c r="AF570" s="126">
        <v>0</v>
      </c>
      <c r="AG570" t="s">
        <v>207</v>
      </c>
    </row>
    <row r="571" spans="1:33" x14ac:dyDescent="0.3">
      <c r="A571">
        <v>740</v>
      </c>
      <c r="B571" t="s">
        <v>332</v>
      </c>
      <c r="C571" t="s">
        <v>311</v>
      </c>
      <c r="D571">
        <v>13463</v>
      </c>
      <c r="E571">
        <v>14809</v>
      </c>
      <c r="F571">
        <v>200</v>
      </c>
      <c r="G571">
        <v>2000</v>
      </c>
      <c r="H571">
        <v>2</v>
      </c>
      <c r="I571">
        <v>0</v>
      </c>
      <c r="J571" s="28">
        <v>0.9</v>
      </c>
      <c r="K571" s="126">
        <v>0.19</v>
      </c>
      <c r="L571" s="126">
        <v>1.3</v>
      </c>
      <c r="M571" s="126">
        <v>1.1000000000000001</v>
      </c>
      <c r="N571" s="126">
        <v>0</v>
      </c>
      <c r="O571" s="126">
        <v>0.6</v>
      </c>
      <c r="P571" s="126">
        <v>1.097</v>
      </c>
      <c r="Q571" s="126">
        <v>0.95</v>
      </c>
      <c r="R571" s="126">
        <v>0</v>
      </c>
      <c r="S571" s="126">
        <v>0</v>
      </c>
      <c r="T571" s="126">
        <v>0</v>
      </c>
      <c r="U571" s="126">
        <v>0</v>
      </c>
      <c r="V571" s="126">
        <v>0</v>
      </c>
      <c r="W571" s="126">
        <v>0</v>
      </c>
      <c r="X571" s="126">
        <v>0</v>
      </c>
      <c r="Y571" s="126">
        <v>0</v>
      </c>
      <c r="Z571" s="142">
        <v>8</v>
      </c>
      <c r="AA571" s="126">
        <v>0</v>
      </c>
      <c r="AB571" s="126">
        <v>0</v>
      </c>
      <c r="AC571" s="126">
        <v>0</v>
      </c>
      <c r="AD571" s="126">
        <v>0</v>
      </c>
      <c r="AE571" s="126">
        <v>10</v>
      </c>
      <c r="AF571" s="126">
        <v>0</v>
      </c>
      <c r="AG571" t="s">
        <v>332</v>
      </c>
    </row>
    <row r="572" spans="1:33" x14ac:dyDescent="0.3">
      <c r="A572">
        <v>741</v>
      </c>
      <c r="B572" t="s">
        <v>239</v>
      </c>
      <c r="C572" t="s">
        <v>199</v>
      </c>
      <c r="D572">
        <v>5594</v>
      </c>
      <c r="E572">
        <v>6154</v>
      </c>
      <c r="F572">
        <v>50</v>
      </c>
      <c r="G572">
        <v>1200</v>
      </c>
      <c r="H572">
        <v>6</v>
      </c>
      <c r="I572">
        <v>0</v>
      </c>
      <c r="J572" s="28">
        <v>9.1</v>
      </c>
      <c r="K572" s="126">
        <v>0.63</v>
      </c>
      <c r="L572" s="126">
        <v>1.3</v>
      </c>
      <c r="M572" s="126">
        <v>0.1</v>
      </c>
      <c r="N572" s="126">
        <v>0</v>
      </c>
      <c r="O572" s="126">
        <v>0.6</v>
      </c>
      <c r="P572" s="126">
        <v>0.88500000000000001</v>
      </c>
      <c r="Q572" s="126">
        <v>0.65</v>
      </c>
      <c r="R572" s="126">
        <v>0</v>
      </c>
      <c r="S572" s="126">
        <v>0.3</v>
      </c>
      <c r="T572" s="126">
        <v>13</v>
      </c>
      <c r="U572" s="126">
        <v>75</v>
      </c>
      <c r="V572" s="126">
        <v>25</v>
      </c>
      <c r="W572" s="126">
        <v>0.3</v>
      </c>
      <c r="X572" s="126">
        <v>0</v>
      </c>
      <c r="Y572" s="126">
        <v>0</v>
      </c>
      <c r="Z572" s="142">
        <v>9</v>
      </c>
      <c r="AA572" s="126">
        <v>0</v>
      </c>
      <c r="AB572" s="126">
        <v>0</v>
      </c>
      <c r="AC572" s="126">
        <v>0</v>
      </c>
      <c r="AD572" s="126">
        <v>0</v>
      </c>
      <c r="AE572" s="126">
        <v>5</v>
      </c>
      <c r="AF572" s="126">
        <v>0.15</v>
      </c>
      <c r="AG572" t="s">
        <v>239</v>
      </c>
    </row>
    <row r="573" spans="1:33" x14ac:dyDescent="0.3">
      <c r="A573">
        <v>742</v>
      </c>
      <c r="B573" t="s">
        <v>285</v>
      </c>
      <c r="C573" t="s">
        <v>199</v>
      </c>
      <c r="D573">
        <v>63200</v>
      </c>
      <c r="E573">
        <v>69520</v>
      </c>
      <c r="F573">
        <v>100</v>
      </c>
      <c r="G573">
        <v>2000</v>
      </c>
      <c r="H573">
        <v>16</v>
      </c>
      <c r="I573">
        <v>0</v>
      </c>
      <c r="J573" s="28">
        <v>0.3</v>
      </c>
      <c r="K573" s="126">
        <v>0.43</v>
      </c>
      <c r="L573" s="126">
        <v>1.8</v>
      </c>
      <c r="M573" s="126">
        <v>0.1</v>
      </c>
      <c r="N573" s="126">
        <v>0</v>
      </c>
      <c r="O573" s="126">
        <v>0.6</v>
      </c>
      <c r="P573" s="126">
        <v>0.88500000000000001</v>
      </c>
      <c r="Q573" s="126">
        <v>0.82499999999999996</v>
      </c>
      <c r="R573" s="126">
        <v>0</v>
      </c>
      <c r="S573" s="126">
        <v>0</v>
      </c>
      <c r="T573" s="126">
        <v>0</v>
      </c>
      <c r="U573" s="126">
        <v>0</v>
      </c>
      <c r="V573" s="126">
        <v>0</v>
      </c>
      <c r="W573" s="126">
        <v>0</v>
      </c>
      <c r="X573" s="126">
        <v>0</v>
      </c>
      <c r="Y573" s="126">
        <v>0</v>
      </c>
      <c r="Z573" s="142">
        <v>12</v>
      </c>
      <c r="AA573" s="126">
        <v>0</v>
      </c>
      <c r="AB573" s="126">
        <v>0</v>
      </c>
      <c r="AC573" s="126">
        <v>0</v>
      </c>
      <c r="AD573" s="126">
        <v>0</v>
      </c>
      <c r="AE573" s="126">
        <v>0</v>
      </c>
      <c r="AF573" s="126">
        <v>0.15</v>
      </c>
      <c r="AG573" t="s">
        <v>285</v>
      </c>
    </row>
    <row r="574" spans="1:33" x14ac:dyDescent="0.3">
      <c r="A574">
        <v>743</v>
      </c>
      <c r="B574" t="s">
        <v>290</v>
      </c>
      <c r="C574" t="s">
        <v>187</v>
      </c>
      <c r="D574">
        <v>9558</v>
      </c>
      <c r="E574">
        <v>10514</v>
      </c>
      <c r="F574">
        <v>100</v>
      </c>
      <c r="G574">
        <v>1500</v>
      </c>
      <c r="H574">
        <v>3</v>
      </c>
      <c r="I574">
        <v>4</v>
      </c>
      <c r="J574" s="28">
        <v>3</v>
      </c>
      <c r="K574" s="126">
        <v>0.59</v>
      </c>
      <c r="L574" s="126">
        <v>1.3</v>
      </c>
      <c r="M574" s="126">
        <v>0</v>
      </c>
      <c r="N574" s="126">
        <v>0</v>
      </c>
      <c r="O574" s="126">
        <v>0.68</v>
      </c>
      <c r="P574" s="126">
        <v>0.9</v>
      </c>
      <c r="Q574" s="126">
        <v>0.65</v>
      </c>
      <c r="R574" s="126">
        <v>0</v>
      </c>
      <c r="S574" s="126">
        <v>0</v>
      </c>
      <c r="T574" s="126">
        <v>0</v>
      </c>
      <c r="U574" s="126">
        <v>100</v>
      </c>
      <c r="V574" s="126">
        <v>0</v>
      </c>
      <c r="W574" s="126">
        <v>0</v>
      </c>
      <c r="X574" s="126">
        <v>0</v>
      </c>
      <c r="Y574" s="126">
        <v>0</v>
      </c>
      <c r="Z574" s="142">
        <v>2</v>
      </c>
      <c r="AA574" s="126">
        <v>0.95</v>
      </c>
      <c r="AB574" s="126">
        <v>0.5</v>
      </c>
      <c r="AC574" s="126">
        <v>0</v>
      </c>
      <c r="AD574" s="126">
        <v>0</v>
      </c>
      <c r="AE574" s="126">
        <v>16.47</v>
      </c>
      <c r="AF574" s="126">
        <v>27.3</v>
      </c>
      <c r="AG574" t="s">
        <v>290</v>
      </c>
    </row>
    <row r="575" spans="1:33" x14ac:dyDescent="0.3">
      <c r="A575">
        <v>745</v>
      </c>
      <c r="B575" t="s">
        <v>200</v>
      </c>
      <c r="C575" t="s">
        <v>199</v>
      </c>
      <c r="D575">
        <v>1155</v>
      </c>
      <c r="E575">
        <v>1270</v>
      </c>
      <c r="F575">
        <v>26</v>
      </c>
      <c r="G575">
        <v>390</v>
      </c>
      <c r="H575">
        <v>6</v>
      </c>
      <c r="I575">
        <v>0</v>
      </c>
      <c r="J575" s="28">
        <v>1.4</v>
      </c>
      <c r="K575" s="126">
        <v>0.32</v>
      </c>
      <c r="L575" s="126">
        <v>2.1</v>
      </c>
      <c r="M575" s="126">
        <v>0</v>
      </c>
      <c r="N575" s="126">
        <v>0</v>
      </c>
      <c r="O575" s="126">
        <v>0.68</v>
      </c>
      <c r="P575" s="126">
        <v>0.92</v>
      </c>
      <c r="Q575" s="126">
        <v>0.65</v>
      </c>
      <c r="R575" s="126">
        <v>0</v>
      </c>
      <c r="S575" s="126">
        <v>0.2</v>
      </c>
      <c r="T575" s="126">
        <v>10</v>
      </c>
      <c r="U575" s="126">
        <v>40</v>
      </c>
      <c r="V575" s="126">
        <v>25</v>
      </c>
      <c r="W575" s="126">
        <v>0.17</v>
      </c>
      <c r="X575" s="126">
        <v>0</v>
      </c>
      <c r="Y575" s="126">
        <v>0</v>
      </c>
      <c r="Z575" s="142">
        <v>5</v>
      </c>
      <c r="AA575" s="126">
        <v>0</v>
      </c>
      <c r="AB575" s="126">
        <v>0</v>
      </c>
      <c r="AC575" s="126">
        <v>0</v>
      </c>
      <c r="AD575" s="126">
        <v>0</v>
      </c>
      <c r="AE575" s="126">
        <v>6.79</v>
      </c>
      <c r="AF575" s="126">
        <v>2.4380000000000002</v>
      </c>
      <c r="AG575" t="s">
        <v>200</v>
      </c>
    </row>
    <row r="576" spans="1:33" x14ac:dyDescent="0.3">
      <c r="A576">
        <v>745</v>
      </c>
      <c r="B576" t="s">
        <v>222</v>
      </c>
      <c r="C576" t="s">
        <v>199</v>
      </c>
      <c r="D576">
        <v>16155</v>
      </c>
      <c r="E576">
        <v>17771</v>
      </c>
      <c r="F576">
        <v>100</v>
      </c>
      <c r="G576">
        <v>1500</v>
      </c>
      <c r="H576">
        <v>3</v>
      </c>
      <c r="I576">
        <v>0</v>
      </c>
      <c r="J576" s="28">
        <v>3</v>
      </c>
      <c r="K576" s="126">
        <v>0.28000000000000003</v>
      </c>
      <c r="L576" s="126">
        <v>1.4</v>
      </c>
      <c r="M576" s="126">
        <v>0</v>
      </c>
      <c r="N576" s="126">
        <v>0</v>
      </c>
      <c r="O576" s="126">
        <v>0.8</v>
      </c>
      <c r="P576" s="126">
        <v>0.96</v>
      </c>
      <c r="Q576" s="126">
        <v>0.65</v>
      </c>
      <c r="R576" s="126">
        <v>0</v>
      </c>
      <c r="S576" s="126">
        <v>0.5</v>
      </c>
      <c r="T576" s="126">
        <v>20</v>
      </c>
      <c r="U576" s="126">
        <v>150</v>
      </c>
      <c r="V576" s="126">
        <v>0</v>
      </c>
      <c r="W576" s="126">
        <v>0</v>
      </c>
      <c r="X576" s="126">
        <v>0</v>
      </c>
      <c r="Y576" s="126">
        <v>0</v>
      </c>
      <c r="Z576" s="142">
        <v>2</v>
      </c>
      <c r="AA576" s="126">
        <v>0.95</v>
      </c>
      <c r="AB576" s="126">
        <v>0.5</v>
      </c>
      <c r="AC576" s="126">
        <v>0</v>
      </c>
      <c r="AD576" s="126">
        <v>0</v>
      </c>
      <c r="AE576" s="126">
        <v>16.47</v>
      </c>
      <c r="AF576" s="126">
        <v>27.3</v>
      </c>
      <c r="AG576" t="s">
        <v>222</v>
      </c>
    </row>
    <row r="577" spans="1:33" x14ac:dyDescent="0.3">
      <c r="A577">
        <v>746</v>
      </c>
      <c r="B577" t="s">
        <v>314</v>
      </c>
      <c r="C577" t="s">
        <v>187</v>
      </c>
      <c r="D577">
        <v>166089</v>
      </c>
      <c r="E577">
        <v>182698</v>
      </c>
      <c r="F577">
        <v>400</v>
      </c>
      <c r="G577">
        <v>6000</v>
      </c>
      <c r="H577">
        <v>8</v>
      </c>
      <c r="I577">
        <v>82</v>
      </c>
      <c r="J577" s="28">
        <v>3.7</v>
      </c>
      <c r="K577" s="126">
        <v>0.19</v>
      </c>
      <c r="L577" s="126">
        <v>1.4</v>
      </c>
      <c r="M577" s="126">
        <v>0.1</v>
      </c>
      <c r="N577" s="126">
        <v>0.42</v>
      </c>
      <c r="O577" s="126">
        <v>0.6</v>
      </c>
      <c r="P577" s="126">
        <v>0.88500000000000001</v>
      </c>
      <c r="Q577" s="126">
        <v>1</v>
      </c>
      <c r="R577" s="126">
        <v>0</v>
      </c>
      <c r="S577" s="126">
        <v>0</v>
      </c>
      <c r="T577" s="126">
        <v>0</v>
      </c>
      <c r="U577" s="126">
        <v>0</v>
      </c>
      <c r="V577" s="126">
        <v>0</v>
      </c>
      <c r="W577" s="126">
        <v>0</v>
      </c>
      <c r="X577" s="126">
        <v>0</v>
      </c>
      <c r="Y577" s="126">
        <v>0</v>
      </c>
      <c r="Z577" s="142">
        <v>2</v>
      </c>
      <c r="AA577" s="126">
        <v>0.95</v>
      </c>
      <c r="AB577" s="126">
        <v>0.95</v>
      </c>
      <c r="AC577" s="126">
        <v>0</v>
      </c>
      <c r="AD577" s="126">
        <v>0</v>
      </c>
      <c r="AE577" s="126">
        <v>16.47</v>
      </c>
      <c r="AF577" s="126">
        <v>0.15</v>
      </c>
      <c r="AG577" t="s">
        <v>314</v>
      </c>
    </row>
    <row r="578" spans="1:33" x14ac:dyDescent="0.3">
      <c r="A578">
        <v>747</v>
      </c>
      <c r="B578" t="s">
        <v>317</v>
      </c>
      <c r="C578" t="s">
        <v>199</v>
      </c>
      <c r="D578">
        <v>8703</v>
      </c>
      <c r="E578">
        <v>9573</v>
      </c>
      <c r="F578">
        <v>400</v>
      </c>
      <c r="G578">
        <v>3600</v>
      </c>
      <c r="H578">
        <v>2</v>
      </c>
      <c r="I578">
        <v>0</v>
      </c>
      <c r="J578" s="28">
        <v>2.4</v>
      </c>
      <c r="K578" s="126">
        <v>0.19</v>
      </c>
      <c r="L578" s="126">
        <v>1.3</v>
      </c>
      <c r="M578" s="126">
        <v>0</v>
      </c>
      <c r="N578" s="126">
        <v>0</v>
      </c>
      <c r="O578" s="126">
        <v>0.6</v>
      </c>
      <c r="P578" s="126">
        <v>0.88500000000000001</v>
      </c>
      <c r="Q578" s="126">
        <v>1</v>
      </c>
      <c r="R578" s="126">
        <v>0</v>
      </c>
      <c r="S578" s="126">
        <v>0</v>
      </c>
      <c r="T578" s="126">
        <v>0</v>
      </c>
      <c r="U578" s="126">
        <v>0</v>
      </c>
      <c r="V578" s="126">
        <v>0</v>
      </c>
      <c r="W578" s="126">
        <v>0</v>
      </c>
      <c r="X578" s="126">
        <v>0</v>
      </c>
      <c r="Y578" s="126">
        <v>0</v>
      </c>
      <c r="Z578" s="142">
        <v>12</v>
      </c>
      <c r="AA578" s="126">
        <v>0</v>
      </c>
      <c r="AB578" s="126">
        <v>0</v>
      </c>
      <c r="AC578" s="126">
        <v>0</v>
      </c>
      <c r="AD578" s="126">
        <v>0</v>
      </c>
      <c r="AE578" s="126">
        <v>0</v>
      </c>
      <c r="AF578" s="126">
        <v>0.15</v>
      </c>
      <c r="AG578" t="s">
        <v>317</v>
      </c>
    </row>
    <row r="579" spans="1:33" x14ac:dyDescent="0.3">
      <c r="A579">
        <v>748</v>
      </c>
      <c r="B579" t="s">
        <v>328</v>
      </c>
      <c r="C579" t="s">
        <v>199</v>
      </c>
      <c r="D579">
        <v>28970</v>
      </c>
      <c r="E579">
        <v>31867</v>
      </c>
      <c r="F579">
        <v>100</v>
      </c>
      <c r="G579">
        <v>2500</v>
      </c>
      <c r="H579">
        <v>5</v>
      </c>
      <c r="I579">
        <v>0</v>
      </c>
      <c r="J579" s="28">
        <v>1.5</v>
      </c>
      <c r="K579" s="126">
        <v>0.15</v>
      </c>
      <c r="L579" s="126">
        <v>1.6</v>
      </c>
      <c r="M579" s="126">
        <v>0.1</v>
      </c>
      <c r="N579" s="126">
        <v>0</v>
      </c>
      <c r="O579" s="126">
        <v>0.56000000000000005</v>
      </c>
      <c r="P579" s="126">
        <v>0.88500000000000001</v>
      </c>
      <c r="Q579" s="126">
        <v>0.6</v>
      </c>
      <c r="R579" s="126">
        <v>0</v>
      </c>
      <c r="S579" s="126">
        <v>0</v>
      </c>
      <c r="T579" s="126">
        <v>0</v>
      </c>
      <c r="U579" s="126">
        <v>200</v>
      </c>
      <c r="V579" s="126">
        <v>0</v>
      </c>
      <c r="W579" s="126">
        <v>0</v>
      </c>
      <c r="X579" s="126">
        <v>0</v>
      </c>
      <c r="Y579" s="126">
        <v>0</v>
      </c>
      <c r="Z579" s="142">
        <v>3</v>
      </c>
      <c r="AA579" s="126">
        <v>0.95</v>
      </c>
      <c r="AB579" s="126">
        <v>0.9</v>
      </c>
      <c r="AC579" s="126">
        <v>0</v>
      </c>
      <c r="AD579" s="126">
        <v>0</v>
      </c>
      <c r="AE579" s="126">
        <v>16.47</v>
      </c>
      <c r="AF579" s="126">
        <v>0.15</v>
      </c>
      <c r="AG579" t="s">
        <v>3411</v>
      </c>
    </row>
    <row r="580" spans="1:33" x14ac:dyDescent="0.3">
      <c r="A580">
        <v>749</v>
      </c>
      <c r="B580" t="s">
        <v>254</v>
      </c>
      <c r="C580" t="s">
        <v>187</v>
      </c>
      <c r="D580">
        <v>147841</v>
      </c>
      <c r="E580">
        <v>162625</v>
      </c>
      <c r="F580">
        <v>205</v>
      </c>
      <c r="G580">
        <v>2000</v>
      </c>
      <c r="H580">
        <v>5</v>
      </c>
      <c r="I580">
        <v>119</v>
      </c>
      <c r="J580" s="28">
        <v>5.5</v>
      </c>
      <c r="K580" s="126">
        <v>0.04</v>
      </c>
      <c r="L580" s="126">
        <v>2.1</v>
      </c>
      <c r="M580" s="126">
        <v>0.1</v>
      </c>
      <c r="N580" s="126">
        <v>0.42</v>
      </c>
      <c r="O580" s="126">
        <v>0.64</v>
      </c>
      <c r="P580" s="126">
        <v>0.88500000000000001</v>
      </c>
      <c r="Q580" s="126">
        <v>0.7</v>
      </c>
      <c r="R580" s="126">
        <v>0</v>
      </c>
      <c r="S580" s="126">
        <v>0</v>
      </c>
      <c r="T580" s="126">
        <v>0</v>
      </c>
      <c r="U580" s="126">
        <v>-50</v>
      </c>
      <c r="V580" s="126">
        <v>0</v>
      </c>
      <c r="W580" s="126">
        <v>0</v>
      </c>
      <c r="X580" s="126">
        <v>0</v>
      </c>
      <c r="Y580" s="126">
        <v>0</v>
      </c>
      <c r="Z580" s="142">
        <v>2</v>
      </c>
      <c r="AA580" s="126">
        <v>0.95</v>
      </c>
      <c r="AB580" s="126">
        <v>0</v>
      </c>
      <c r="AC580" s="126">
        <v>0</v>
      </c>
      <c r="AD580" s="126">
        <v>0</v>
      </c>
      <c r="AE580" s="126">
        <v>16.47</v>
      </c>
      <c r="AF580" s="126">
        <v>0.15</v>
      </c>
      <c r="AG580" t="s">
        <v>254</v>
      </c>
    </row>
    <row r="581" spans="1:33" x14ac:dyDescent="0.3">
      <c r="A581">
        <v>750</v>
      </c>
      <c r="B581" t="s">
        <v>230</v>
      </c>
      <c r="C581" t="s">
        <v>199</v>
      </c>
      <c r="D581">
        <v>10525</v>
      </c>
      <c r="E581">
        <v>11578</v>
      </c>
      <c r="F581">
        <v>100</v>
      </c>
      <c r="G581">
        <v>2000</v>
      </c>
      <c r="H581">
        <v>6</v>
      </c>
      <c r="I581">
        <v>0</v>
      </c>
      <c r="J581" s="28">
        <v>5.5</v>
      </c>
      <c r="K581" s="126">
        <v>0.28000000000000003</v>
      </c>
      <c r="L581" s="126">
        <v>1.4</v>
      </c>
      <c r="M581" s="126">
        <v>0.1</v>
      </c>
      <c r="N581" s="126">
        <v>0</v>
      </c>
      <c r="O581" s="126">
        <v>0.6</v>
      </c>
      <c r="P581" s="126">
        <v>0.88500000000000001</v>
      </c>
      <c r="Q581" s="126">
        <v>0.8</v>
      </c>
      <c r="R581" s="126">
        <v>0</v>
      </c>
      <c r="S581" s="126">
        <v>0.25</v>
      </c>
      <c r="T581" s="126">
        <v>15</v>
      </c>
      <c r="U581" s="126">
        <v>350</v>
      </c>
      <c r="V581" s="126">
        <v>0</v>
      </c>
      <c r="W581" s="126">
        <v>0</v>
      </c>
      <c r="X581" s="126">
        <v>0</v>
      </c>
      <c r="Y581" s="126">
        <v>0</v>
      </c>
      <c r="Z581" s="142">
        <v>0</v>
      </c>
      <c r="AA581" s="126">
        <v>0</v>
      </c>
      <c r="AB581" s="126">
        <v>0</v>
      </c>
      <c r="AC581" s="126">
        <v>0</v>
      </c>
      <c r="AD581" s="126">
        <v>0</v>
      </c>
      <c r="AE581" s="126">
        <v>14.592000000000001</v>
      </c>
      <c r="AF581" s="126">
        <v>45.5</v>
      </c>
      <c r="AG581" t="s">
        <v>230</v>
      </c>
    </row>
    <row r="582" spans="1:33" x14ac:dyDescent="0.3">
      <c r="A582">
        <v>751</v>
      </c>
      <c r="B582" t="s">
        <v>338</v>
      </c>
      <c r="C582" t="s">
        <v>187</v>
      </c>
      <c r="D582">
        <v>7</v>
      </c>
      <c r="E582">
        <v>8</v>
      </c>
      <c r="F582">
        <v>660</v>
      </c>
      <c r="G582">
        <v>12000</v>
      </c>
      <c r="H582">
        <v>12</v>
      </c>
      <c r="I582">
        <v>119</v>
      </c>
      <c r="J582" s="28">
        <v>30</v>
      </c>
      <c r="K582" s="126">
        <v>0.41</v>
      </c>
      <c r="L582" s="126">
        <v>1.3</v>
      </c>
      <c r="M582" s="126">
        <v>0.1</v>
      </c>
      <c r="N582" s="126">
        <v>0.42</v>
      </c>
      <c r="O582" s="126">
        <v>0.68</v>
      </c>
      <c r="P582" s="126">
        <v>0.92</v>
      </c>
      <c r="Q582" s="126">
        <v>0.9</v>
      </c>
      <c r="R582" s="126">
        <v>0</v>
      </c>
      <c r="S582" s="126">
        <v>0</v>
      </c>
      <c r="T582" s="126">
        <v>0</v>
      </c>
      <c r="U582" s="126">
        <v>0</v>
      </c>
      <c r="V582" s="126">
        <v>0</v>
      </c>
      <c r="W582" s="126">
        <v>0</v>
      </c>
      <c r="X582" s="126">
        <v>0</v>
      </c>
      <c r="Y582" s="126">
        <v>0</v>
      </c>
      <c r="Z582" s="142">
        <v>7</v>
      </c>
      <c r="AA582" s="126">
        <v>0</v>
      </c>
      <c r="AB582" s="126">
        <v>0</v>
      </c>
      <c r="AC582" s="126">
        <v>0</v>
      </c>
      <c r="AD582" s="126">
        <v>0</v>
      </c>
      <c r="AE582" s="126">
        <v>2.54</v>
      </c>
      <c r="AF582" s="126">
        <v>0.15</v>
      </c>
      <c r="AG582" t="s">
        <v>338</v>
      </c>
    </row>
    <row r="583" spans="1:33" x14ac:dyDescent="0.3">
      <c r="A583">
        <v>752</v>
      </c>
      <c r="B583" t="s">
        <v>325</v>
      </c>
      <c r="C583" t="s">
        <v>199</v>
      </c>
      <c r="D583">
        <v>0</v>
      </c>
      <c r="E583">
        <v>0</v>
      </c>
      <c r="F583">
        <v>0</v>
      </c>
      <c r="G583">
        <v>0</v>
      </c>
      <c r="H583">
        <v>0</v>
      </c>
      <c r="I583">
        <v>0</v>
      </c>
      <c r="J583" s="28">
        <v>0</v>
      </c>
      <c r="K583" s="126">
        <v>0</v>
      </c>
      <c r="L583" s="126">
        <v>0</v>
      </c>
      <c r="M583" s="126">
        <v>0</v>
      </c>
      <c r="N583" s="126">
        <v>0</v>
      </c>
      <c r="O583" s="126">
        <v>0</v>
      </c>
      <c r="P583" s="126">
        <v>0</v>
      </c>
      <c r="Q583" s="126">
        <v>0</v>
      </c>
      <c r="R583" s="126">
        <v>0</v>
      </c>
      <c r="S583" s="126">
        <v>0.5</v>
      </c>
      <c r="T583" s="126">
        <v>5</v>
      </c>
      <c r="U583" s="126">
        <v>75</v>
      </c>
      <c r="V583" s="126">
        <v>0</v>
      </c>
      <c r="W583" s="126">
        <v>0</v>
      </c>
      <c r="X583" s="126">
        <v>0</v>
      </c>
      <c r="Y583" s="126">
        <v>0</v>
      </c>
      <c r="Z583" s="142">
        <v>16</v>
      </c>
      <c r="AA583" s="126">
        <v>0</v>
      </c>
      <c r="AB583" s="126">
        <v>0</v>
      </c>
      <c r="AC583" s="126">
        <v>0.3</v>
      </c>
      <c r="AD583" s="126">
        <v>0</v>
      </c>
      <c r="AE583" s="126">
        <v>13.984</v>
      </c>
      <c r="AF583" s="126">
        <v>0</v>
      </c>
      <c r="AG583" t="s">
        <v>325</v>
      </c>
    </row>
    <row r="584" spans="1:33" x14ac:dyDescent="0.3">
      <c r="A584">
        <v>753</v>
      </c>
      <c r="B584" t="s">
        <v>3412</v>
      </c>
      <c r="C584" t="s">
        <v>247</v>
      </c>
      <c r="D584">
        <v>20</v>
      </c>
      <c r="E584">
        <v>0</v>
      </c>
      <c r="F584">
        <v>0</v>
      </c>
      <c r="G584">
        <v>0</v>
      </c>
      <c r="H584">
        <v>0</v>
      </c>
      <c r="I584">
        <v>0</v>
      </c>
      <c r="J584" s="28">
        <v>0</v>
      </c>
      <c r="K584" s="126">
        <v>0</v>
      </c>
      <c r="L584" s="126">
        <v>0</v>
      </c>
      <c r="M584" s="126">
        <v>0</v>
      </c>
      <c r="N584" s="126">
        <v>0</v>
      </c>
      <c r="O584" s="126">
        <v>0</v>
      </c>
      <c r="P584" s="126">
        <v>0</v>
      </c>
      <c r="Q584" s="126">
        <v>0</v>
      </c>
      <c r="R584" s="126">
        <v>0</v>
      </c>
      <c r="S584" s="126">
        <v>0.7</v>
      </c>
      <c r="T584" s="126">
        <v>50</v>
      </c>
      <c r="U584" s="126">
        <v>0</v>
      </c>
      <c r="V584" s="126">
        <v>0</v>
      </c>
      <c r="W584" s="126">
        <v>0</v>
      </c>
      <c r="X584" s="126">
        <v>0</v>
      </c>
      <c r="Y584" s="126">
        <v>0</v>
      </c>
      <c r="Z584" s="142">
        <v>0</v>
      </c>
      <c r="AA584" s="126">
        <v>0</v>
      </c>
      <c r="AB584" s="126">
        <v>0</v>
      </c>
      <c r="AC584" s="126">
        <v>0</v>
      </c>
      <c r="AD584" s="126">
        <v>0</v>
      </c>
      <c r="AE584" s="126">
        <v>17.024000000000001</v>
      </c>
      <c r="AF584" s="126">
        <v>39</v>
      </c>
      <c r="AG584" t="s">
        <v>3412</v>
      </c>
    </row>
    <row r="585" spans="1:33" x14ac:dyDescent="0.3">
      <c r="A585">
        <v>754</v>
      </c>
      <c r="B585" t="s">
        <v>231</v>
      </c>
      <c r="C585" t="s">
        <v>199</v>
      </c>
      <c r="D585">
        <v>21009</v>
      </c>
      <c r="E585">
        <v>23110</v>
      </c>
      <c r="F585">
        <v>50</v>
      </c>
      <c r="G585">
        <v>2500</v>
      </c>
      <c r="H585">
        <v>7</v>
      </c>
      <c r="I585">
        <v>0</v>
      </c>
      <c r="J585" s="28">
        <v>2.1</v>
      </c>
      <c r="K585" s="126">
        <v>0.18</v>
      </c>
      <c r="L585" s="126">
        <v>1.7</v>
      </c>
      <c r="M585" s="126">
        <v>0.1</v>
      </c>
      <c r="N585" s="126">
        <v>0</v>
      </c>
      <c r="O585" s="126">
        <v>0.6</v>
      </c>
      <c r="P585" s="126">
        <v>0.88500000000000001</v>
      </c>
      <c r="Q585" s="126">
        <v>0.8</v>
      </c>
      <c r="R585" s="126">
        <v>0</v>
      </c>
      <c r="S585" s="126">
        <v>0.55000000000000004</v>
      </c>
      <c r="T585" s="126">
        <v>20</v>
      </c>
      <c r="U585" s="126">
        <v>150</v>
      </c>
      <c r="V585" s="126">
        <v>50</v>
      </c>
      <c r="W585" s="126">
        <v>0.3</v>
      </c>
      <c r="X585" s="126">
        <v>0</v>
      </c>
      <c r="Y585" s="126">
        <v>0</v>
      </c>
      <c r="Z585" s="142">
        <v>0</v>
      </c>
      <c r="AA585" s="126">
        <v>0</v>
      </c>
      <c r="AB585" s="126">
        <v>0</v>
      </c>
      <c r="AC585" s="126">
        <v>0</v>
      </c>
      <c r="AD585" s="126">
        <v>0</v>
      </c>
      <c r="AE585" s="126">
        <v>17.024000000000001</v>
      </c>
      <c r="AF585" s="126">
        <v>26</v>
      </c>
      <c r="AG585" t="s">
        <v>231</v>
      </c>
    </row>
    <row r="586" spans="1:33" x14ac:dyDescent="0.3">
      <c r="A586">
        <v>755</v>
      </c>
      <c r="B586" t="s">
        <v>3413</v>
      </c>
      <c r="C586" t="s">
        <v>187</v>
      </c>
      <c r="D586">
        <v>147841</v>
      </c>
      <c r="E586">
        <v>17771</v>
      </c>
      <c r="F586">
        <v>100</v>
      </c>
      <c r="G586">
        <v>2500</v>
      </c>
      <c r="H586">
        <v>0</v>
      </c>
      <c r="I586">
        <v>2.7</v>
      </c>
      <c r="J586" s="28">
        <v>9.65</v>
      </c>
      <c r="K586" s="126">
        <v>0.18</v>
      </c>
      <c r="L586" s="126">
        <v>1.6</v>
      </c>
      <c r="M586" s="126">
        <v>0.1</v>
      </c>
      <c r="N586" s="126">
        <v>0</v>
      </c>
      <c r="O586" s="126">
        <v>0.6</v>
      </c>
      <c r="P586" s="126">
        <v>0.88500000000000001</v>
      </c>
      <c r="Q586" s="126">
        <v>0.8</v>
      </c>
      <c r="R586" s="126">
        <v>0</v>
      </c>
      <c r="S586" s="126">
        <v>0</v>
      </c>
      <c r="T586" s="126">
        <v>0</v>
      </c>
      <c r="U586" s="126">
        <v>-50</v>
      </c>
      <c r="V586" s="126">
        <v>0</v>
      </c>
      <c r="W586" s="126">
        <v>0</v>
      </c>
      <c r="X586" s="126">
        <v>0</v>
      </c>
      <c r="Y586" s="126">
        <v>0</v>
      </c>
      <c r="Z586" s="142">
        <v>22</v>
      </c>
      <c r="AA586" s="126">
        <v>0.9</v>
      </c>
      <c r="AB586" s="126">
        <v>0.3</v>
      </c>
      <c r="AC586" s="126">
        <v>0</v>
      </c>
      <c r="AD586" s="126">
        <v>0</v>
      </c>
      <c r="AE586" s="126">
        <v>0</v>
      </c>
      <c r="AF586" s="126">
        <v>0.15</v>
      </c>
      <c r="AG586" t="s">
        <v>3413</v>
      </c>
    </row>
    <row r="587" spans="1:33" x14ac:dyDescent="0.3">
      <c r="A587">
        <v>756</v>
      </c>
      <c r="B587" t="s">
        <v>3414</v>
      </c>
      <c r="C587" t="s">
        <v>199</v>
      </c>
      <c r="D587">
        <v>0</v>
      </c>
      <c r="E587">
        <v>0</v>
      </c>
      <c r="F587">
        <v>0</v>
      </c>
      <c r="G587">
        <v>0</v>
      </c>
      <c r="H587">
        <v>0</v>
      </c>
      <c r="I587">
        <v>0</v>
      </c>
      <c r="J587" s="28">
        <v>0</v>
      </c>
      <c r="K587" s="126">
        <v>0</v>
      </c>
      <c r="L587" s="126">
        <v>0</v>
      </c>
      <c r="M587" s="126">
        <v>0</v>
      </c>
      <c r="N587" s="126">
        <v>0</v>
      </c>
      <c r="O587" s="126">
        <v>0</v>
      </c>
      <c r="P587" s="126">
        <v>0</v>
      </c>
      <c r="Q587" s="126">
        <v>0</v>
      </c>
      <c r="R587" s="126">
        <v>0</v>
      </c>
      <c r="S587" s="126">
        <v>0</v>
      </c>
      <c r="T587" s="126">
        <v>0</v>
      </c>
      <c r="U587" s="126">
        <v>0</v>
      </c>
      <c r="V587" s="126">
        <v>0</v>
      </c>
      <c r="W587" s="126">
        <v>0</v>
      </c>
      <c r="X587" s="126">
        <v>0</v>
      </c>
      <c r="Y587" s="126">
        <v>0</v>
      </c>
      <c r="Z587" s="142">
        <v>25</v>
      </c>
      <c r="AA587" s="126">
        <v>0</v>
      </c>
      <c r="AB587" s="126">
        <v>0</v>
      </c>
      <c r="AC587" s="126">
        <v>0</v>
      </c>
      <c r="AD587" s="126">
        <v>0</v>
      </c>
      <c r="AE587" s="126">
        <v>0</v>
      </c>
      <c r="AF587" s="126">
        <v>0</v>
      </c>
      <c r="AG587" t="s">
        <v>2491</v>
      </c>
    </row>
    <row r="588" spans="1:33" x14ac:dyDescent="0.3">
      <c r="A588">
        <v>757</v>
      </c>
      <c r="B588" t="s">
        <v>3415</v>
      </c>
      <c r="C588" t="s">
        <v>199</v>
      </c>
      <c r="D588">
        <v>0</v>
      </c>
      <c r="E588">
        <v>0</v>
      </c>
      <c r="F588">
        <v>0</v>
      </c>
      <c r="G588">
        <v>0</v>
      </c>
      <c r="H588">
        <v>0</v>
      </c>
      <c r="I588">
        <v>0</v>
      </c>
      <c r="J588" s="28">
        <v>0</v>
      </c>
      <c r="K588" s="126">
        <v>0</v>
      </c>
      <c r="L588" s="126">
        <v>0</v>
      </c>
      <c r="M588" s="126">
        <v>0</v>
      </c>
      <c r="N588" s="126">
        <v>0</v>
      </c>
      <c r="O588" s="126">
        <v>0</v>
      </c>
      <c r="P588" s="126">
        <v>0</v>
      </c>
      <c r="Q588" s="126">
        <v>0</v>
      </c>
      <c r="R588" s="126">
        <v>0</v>
      </c>
      <c r="S588" s="126">
        <v>0</v>
      </c>
      <c r="T588" s="126">
        <v>0</v>
      </c>
      <c r="U588" s="126">
        <v>0</v>
      </c>
      <c r="V588" s="126">
        <v>0</v>
      </c>
      <c r="W588" s="126">
        <v>0</v>
      </c>
      <c r="X588" s="126">
        <v>0</v>
      </c>
      <c r="Y588" s="126">
        <v>0</v>
      </c>
      <c r="Z588" s="142">
        <v>26</v>
      </c>
      <c r="AA588" s="126">
        <v>0</v>
      </c>
      <c r="AB588" s="126">
        <v>0</v>
      </c>
      <c r="AC588" s="126">
        <v>0</v>
      </c>
      <c r="AD588" s="126">
        <v>0</v>
      </c>
      <c r="AE588" s="126">
        <v>0</v>
      </c>
      <c r="AF588" s="126">
        <v>0</v>
      </c>
      <c r="AG588" t="s">
        <v>3416</v>
      </c>
    </row>
    <row r="589" spans="1:33" x14ac:dyDescent="0.3">
      <c r="A589">
        <v>758</v>
      </c>
      <c r="B589" t="s">
        <v>265</v>
      </c>
      <c r="C589" t="s">
        <v>199</v>
      </c>
      <c r="D589">
        <v>81923</v>
      </c>
      <c r="E589">
        <v>90115</v>
      </c>
      <c r="F589">
        <v>60</v>
      </c>
      <c r="G589">
        <v>2000</v>
      </c>
      <c r="H589">
        <v>3</v>
      </c>
      <c r="I589">
        <v>0</v>
      </c>
      <c r="J589" s="28">
        <v>4.9000000000000004</v>
      </c>
      <c r="K589" s="126">
        <v>0.12</v>
      </c>
      <c r="L589" s="126">
        <v>2.2999999999999998</v>
      </c>
      <c r="M589" s="126">
        <v>0.1</v>
      </c>
      <c r="N589" s="126">
        <v>0</v>
      </c>
      <c r="O589" s="126">
        <v>0.64</v>
      </c>
      <c r="P589" s="126">
        <v>0.88500000000000001</v>
      </c>
      <c r="Q589" s="126">
        <v>0.55000000000000004</v>
      </c>
      <c r="R589" s="126">
        <v>0</v>
      </c>
      <c r="S589" s="126">
        <v>0</v>
      </c>
      <c r="T589" s="126">
        <v>0</v>
      </c>
      <c r="U589" s="126">
        <v>100</v>
      </c>
      <c r="V589" s="126">
        <v>0</v>
      </c>
      <c r="W589" s="126">
        <v>0</v>
      </c>
      <c r="X589" s="126">
        <v>0</v>
      </c>
      <c r="Y589" s="126">
        <v>0</v>
      </c>
      <c r="Z589" s="142">
        <v>2</v>
      </c>
      <c r="AA589" s="126">
        <v>0.95</v>
      </c>
      <c r="AB589" s="126">
        <v>0.4</v>
      </c>
      <c r="AC589" s="126">
        <v>0</v>
      </c>
      <c r="AD589" s="126">
        <v>0</v>
      </c>
      <c r="AE589" s="126">
        <v>16.47</v>
      </c>
      <c r="AF589" s="126">
        <v>0.15</v>
      </c>
      <c r="AG589" t="s">
        <v>265</v>
      </c>
    </row>
    <row r="590" spans="1:33" x14ac:dyDescent="0.3">
      <c r="A590">
        <v>759</v>
      </c>
      <c r="B590" t="s">
        <v>264</v>
      </c>
      <c r="C590" t="s">
        <v>199</v>
      </c>
      <c r="D590">
        <v>8649</v>
      </c>
      <c r="E590">
        <v>9514</v>
      </c>
      <c r="F590">
        <v>50</v>
      </c>
      <c r="G590">
        <v>2000</v>
      </c>
      <c r="H590">
        <v>4</v>
      </c>
      <c r="I590">
        <v>0</v>
      </c>
      <c r="J590" s="28">
        <v>4.9000000000000004</v>
      </c>
      <c r="K590" s="126">
        <v>0.59</v>
      </c>
      <c r="L590" s="126">
        <v>1.3</v>
      </c>
      <c r="M590" s="126">
        <v>0.1</v>
      </c>
      <c r="N590" s="126">
        <v>0</v>
      </c>
      <c r="O590" s="126">
        <v>0.6</v>
      </c>
      <c r="P590" s="126">
        <v>0.88500000000000001</v>
      </c>
      <c r="Q590" s="126">
        <v>0.8</v>
      </c>
      <c r="R590" s="126">
        <v>0</v>
      </c>
      <c r="S590" s="126">
        <v>0.5</v>
      </c>
      <c r="T590" s="126">
        <v>20</v>
      </c>
      <c r="U590" s="126">
        <v>180</v>
      </c>
      <c r="V590" s="126">
        <v>0</v>
      </c>
      <c r="W590" s="126">
        <v>0</v>
      </c>
      <c r="X590" s="126">
        <v>0</v>
      </c>
      <c r="Y590" s="126">
        <v>0</v>
      </c>
      <c r="Z590" s="142">
        <v>0</v>
      </c>
      <c r="AA590" s="126">
        <v>0</v>
      </c>
      <c r="AB590" s="126">
        <v>0</v>
      </c>
      <c r="AC590" s="126">
        <v>0</v>
      </c>
      <c r="AD590" s="126">
        <v>0</v>
      </c>
      <c r="AE590" s="126">
        <v>16.538</v>
      </c>
      <c r="AF590" s="126">
        <v>27.3</v>
      </c>
      <c r="AG590" t="s">
        <v>264</v>
      </c>
    </row>
    <row r="591" spans="1:33" x14ac:dyDescent="0.3">
      <c r="A591">
        <v>760</v>
      </c>
      <c r="B591" t="s">
        <v>266</v>
      </c>
      <c r="C591" t="s">
        <v>199</v>
      </c>
      <c r="D591">
        <v>5717</v>
      </c>
      <c r="E591">
        <v>6288</v>
      </c>
      <c r="F591">
        <v>40</v>
      </c>
      <c r="G591">
        <v>1200</v>
      </c>
      <c r="H591">
        <v>4</v>
      </c>
      <c r="I591">
        <v>0</v>
      </c>
      <c r="J591" s="28">
        <v>4.9000000000000004</v>
      </c>
      <c r="K591" s="126">
        <v>0.06</v>
      </c>
      <c r="L591" s="126">
        <v>2</v>
      </c>
      <c r="M591" s="126">
        <v>0.1</v>
      </c>
      <c r="N591" s="126">
        <v>0</v>
      </c>
      <c r="O591" s="126">
        <v>0.6</v>
      </c>
      <c r="P591" s="126">
        <v>0.88500000000000001</v>
      </c>
      <c r="Q591" s="126">
        <v>0.8</v>
      </c>
      <c r="R591" s="126">
        <v>0</v>
      </c>
      <c r="S591" s="126">
        <v>0</v>
      </c>
      <c r="T591" s="126">
        <v>0</v>
      </c>
      <c r="U591" s="126">
        <v>180</v>
      </c>
      <c r="V591" s="126">
        <v>0</v>
      </c>
      <c r="W591" s="126">
        <v>0</v>
      </c>
      <c r="X591" s="126">
        <v>0</v>
      </c>
      <c r="Y591" s="126">
        <v>0</v>
      </c>
      <c r="Z591" s="142">
        <v>0</v>
      </c>
      <c r="AA591" s="126">
        <v>0</v>
      </c>
      <c r="AB591" s="126">
        <v>0</v>
      </c>
      <c r="AC591" s="126">
        <v>0</v>
      </c>
      <c r="AD591" s="126">
        <v>0</v>
      </c>
      <c r="AE591" s="126">
        <v>4.3780000000000001</v>
      </c>
      <c r="AF591" s="126">
        <v>0</v>
      </c>
      <c r="AG591" t="s">
        <v>266</v>
      </c>
    </row>
    <row r="592" spans="1:33" x14ac:dyDescent="0.3">
      <c r="A592">
        <v>761</v>
      </c>
      <c r="B592" t="s">
        <v>267</v>
      </c>
      <c r="C592" t="s">
        <v>199</v>
      </c>
      <c r="D592">
        <v>16320</v>
      </c>
      <c r="E592">
        <v>17952</v>
      </c>
      <c r="F592">
        <v>70</v>
      </c>
      <c r="G592">
        <v>1200</v>
      </c>
      <c r="H592">
        <v>4</v>
      </c>
      <c r="I592">
        <v>0</v>
      </c>
      <c r="J592" s="28">
        <v>4.9000000000000004</v>
      </c>
      <c r="K592" s="126">
        <v>0.06</v>
      </c>
      <c r="L592" s="126">
        <v>2</v>
      </c>
      <c r="M592" s="126">
        <v>0.1</v>
      </c>
      <c r="N592" s="126">
        <v>0</v>
      </c>
      <c r="O592" s="126">
        <v>0.6</v>
      </c>
      <c r="P592" s="126">
        <v>0.88500000000000001</v>
      </c>
      <c r="Q592" s="126">
        <v>0.8</v>
      </c>
      <c r="R592" s="126">
        <v>0</v>
      </c>
      <c r="S592" s="126">
        <v>0</v>
      </c>
      <c r="T592" s="126">
        <v>0</v>
      </c>
      <c r="U592" s="126">
        <v>180</v>
      </c>
      <c r="V592" s="126">
        <v>0</v>
      </c>
      <c r="W592" s="126">
        <v>0</v>
      </c>
      <c r="X592" s="126">
        <v>0</v>
      </c>
      <c r="Y592" s="126">
        <v>0</v>
      </c>
      <c r="Z592" s="142">
        <v>0</v>
      </c>
      <c r="AA592" s="126">
        <v>0</v>
      </c>
      <c r="AB592" s="126">
        <v>0</v>
      </c>
      <c r="AC592" s="126">
        <v>0</v>
      </c>
      <c r="AD592" s="126">
        <v>0</v>
      </c>
      <c r="AE592" s="126">
        <v>4.3780000000000001</v>
      </c>
      <c r="AF592" s="126">
        <v>27.3</v>
      </c>
      <c r="AG592" t="s">
        <v>267</v>
      </c>
    </row>
    <row r="593" spans="1:33" x14ac:dyDescent="0.3">
      <c r="A593">
        <v>762</v>
      </c>
      <c r="B593" t="s">
        <v>268</v>
      </c>
      <c r="C593" t="s">
        <v>199</v>
      </c>
      <c r="D593">
        <v>7329</v>
      </c>
      <c r="E593">
        <v>8062</v>
      </c>
      <c r="F593">
        <v>50</v>
      </c>
      <c r="G593">
        <v>1200</v>
      </c>
      <c r="H593">
        <v>2</v>
      </c>
      <c r="I593">
        <v>0</v>
      </c>
      <c r="J593" s="28">
        <v>4.9000000000000004</v>
      </c>
      <c r="K593" s="126">
        <v>0.46</v>
      </c>
      <c r="L593" s="126">
        <v>1.7</v>
      </c>
      <c r="M593" s="126">
        <v>0.1</v>
      </c>
      <c r="N593" s="126">
        <v>0</v>
      </c>
      <c r="O593" s="126">
        <v>0.6</v>
      </c>
      <c r="P593" s="126">
        <v>0.88500000000000001</v>
      </c>
      <c r="Q593" s="126">
        <v>0.8</v>
      </c>
      <c r="R593" s="126">
        <v>0</v>
      </c>
      <c r="S593" s="126">
        <v>0</v>
      </c>
      <c r="T593" s="126">
        <v>0</v>
      </c>
      <c r="U593" s="126">
        <v>180</v>
      </c>
      <c r="V593" s="126">
        <v>0</v>
      </c>
      <c r="W593" s="126">
        <v>0</v>
      </c>
      <c r="X593" s="126">
        <v>0</v>
      </c>
      <c r="Y593" s="126">
        <v>0</v>
      </c>
      <c r="Z593" s="142">
        <v>0</v>
      </c>
      <c r="AA593" s="126">
        <v>0</v>
      </c>
      <c r="AB593" s="126">
        <v>0</v>
      </c>
      <c r="AC593" s="126">
        <v>0</v>
      </c>
      <c r="AD593" s="126">
        <v>0</v>
      </c>
      <c r="AE593" s="126">
        <v>4.3780000000000001</v>
      </c>
      <c r="AF593" s="126">
        <v>0.15</v>
      </c>
      <c r="AG593" t="s">
        <v>268</v>
      </c>
    </row>
    <row r="594" spans="1:33" x14ac:dyDescent="0.3">
      <c r="A594">
        <v>763</v>
      </c>
      <c r="B594" t="s">
        <v>269</v>
      </c>
      <c r="C594" t="s">
        <v>199</v>
      </c>
      <c r="D594">
        <v>63208</v>
      </c>
      <c r="E594">
        <v>69528</v>
      </c>
      <c r="F594">
        <v>100</v>
      </c>
      <c r="G594">
        <v>2000</v>
      </c>
      <c r="H594">
        <v>16</v>
      </c>
      <c r="I594">
        <v>0</v>
      </c>
      <c r="J594" s="28">
        <v>4.9000000000000004</v>
      </c>
      <c r="K594" s="126">
        <v>0.19</v>
      </c>
      <c r="L594" s="126">
        <v>1.3</v>
      </c>
      <c r="M594" s="126">
        <v>0.1</v>
      </c>
      <c r="N594" s="126">
        <v>0</v>
      </c>
      <c r="O594" s="126">
        <v>0.6</v>
      </c>
      <c r="P594" s="126">
        <v>0.88500000000000001</v>
      </c>
      <c r="Q594" s="126">
        <v>0.82499999999999996</v>
      </c>
      <c r="R594" s="126">
        <v>0</v>
      </c>
      <c r="S594" s="126">
        <v>0</v>
      </c>
      <c r="T594" s="126">
        <v>0</v>
      </c>
      <c r="U594" s="126">
        <v>0</v>
      </c>
      <c r="V594" s="126">
        <v>0</v>
      </c>
      <c r="W594" s="126">
        <v>0</v>
      </c>
      <c r="X594" s="126">
        <v>0</v>
      </c>
      <c r="Y594" s="126">
        <v>0</v>
      </c>
      <c r="Z594" s="142">
        <v>12</v>
      </c>
      <c r="AA594" s="126">
        <v>0</v>
      </c>
      <c r="AB594" s="126">
        <v>0</v>
      </c>
      <c r="AC594" s="126">
        <v>0</v>
      </c>
      <c r="AD594" s="126">
        <v>0</v>
      </c>
      <c r="AE594" s="126">
        <v>0</v>
      </c>
      <c r="AF594" s="126">
        <v>0.15</v>
      </c>
      <c r="AG594" t="s">
        <v>269</v>
      </c>
    </row>
    <row r="595" spans="1:33" x14ac:dyDescent="0.3">
      <c r="A595">
        <v>764</v>
      </c>
      <c r="B595" t="s">
        <v>3417</v>
      </c>
      <c r="C595" t="s">
        <v>199</v>
      </c>
      <c r="D595">
        <v>8263</v>
      </c>
      <c r="E595">
        <v>9090</v>
      </c>
      <c r="F595">
        <v>250</v>
      </c>
      <c r="G595">
        <v>2500</v>
      </c>
      <c r="H595">
        <v>0</v>
      </c>
      <c r="I595">
        <v>5.5</v>
      </c>
      <c r="J595" s="28">
        <v>5.63</v>
      </c>
      <c r="K595" s="126">
        <v>0.17</v>
      </c>
      <c r="L595" s="126">
        <v>2.2000000000000002</v>
      </c>
      <c r="M595" s="126">
        <v>0.1</v>
      </c>
      <c r="N595" s="126">
        <v>0</v>
      </c>
      <c r="O595" s="126">
        <v>0.6</v>
      </c>
      <c r="P595" s="126">
        <v>0.88500000000000001</v>
      </c>
      <c r="Q595" s="126">
        <v>0.8</v>
      </c>
      <c r="R595" s="126">
        <v>0</v>
      </c>
      <c r="S595" s="126">
        <v>0.25</v>
      </c>
      <c r="T595" s="126">
        <v>10</v>
      </c>
      <c r="U595" s="126">
        <v>0</v>
      </c>
      <c r="V595" s="126">
        <v>0</v>
      </c>
      <c r="W595" s="126">
        <v>0</v>
      </c>
      <c r="X595" s="126">
        <v>0</v>
      </c>
      <c r="Y595" s="126">
        <v>0</v>
      </c>
      <c r="Z595" s="142">
        <v>18</v>
      </c>
      <c r="AA595" s="126">
        <v>0</v>
      </c>
      <c r="AB595" s="126">
        <v>0</v>
      </c>
      <c r="AC595" s="126">
        <v>0</v>
      </c>
      <c r="AD595" s="126">
        <v>0</v>
      </c>
      <c r="AE595" s="126">
        <v>0</v>
      </c>
      <c r="AF595" s="126">
        <v>0</v>
      </c>
      <c r="AG595" t="s">
        <v>3417</v>
      </c>
    </row>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55" r:id="rId3" name="cmdRun">
          <controlPr defaultSize="0" autoLine="0" r:id="rId4">
            <anchor moveWithCells="1">
              <from>
                <xdr:col>10</xdr:col>
                <xdr:colOff>274320</xdr:colOff>
                <xdr:row>0</xdr:row>
                <xdr:rowOff>251460</xdr:rowOff>
              </from>
              <to>
                <xdr:col>12</xdr:col>
                <xdr:colOff>45720</xdr:colOff>
                <xdr:row>1</xdr:row>
                <xdr:rowOff>243840</xdr:rowOff>
              </to>
            </anchor>
          </controlPr>
        </control>
      </mc:Choice>
      <mc:Fallback>
        <control shapeId="49155" r:id="rId3" name="cmdRun"/>
      </mc:Fallback>
    </mc:AlternateContent>
    <mc:AlternateContent xmlns:mc="http://schemas.openxmlformats.org/markup-compatibility/2006">
      <mc:Choice Requires="x14">
        <control shapeId="49153" r:id="rId5" name="cmdReadTil">
          <controlPr defaultSize="0" autoLine="0" r:id="rId6">
            <anchor moveWithCells="1">
              <from>
                <xdr:col>6</xdr:col>
                <xdr:colOff>533400</xdr:colOff>
                <xdr:row>0</xdr:row>
                <xdr:rowOff>251460</xdr:rowOff>
              </from>
              <to>
                <xdr:col>8</xdr:col>
                <xdr:colOff>335280</xdr:colOff>
                <xdr:row>1</xdr:row>
                <xdr:rowOff>243840</xdr:rowOff>
              </to>
            </anchor>
          </controlPr>
        </control>
      </mc:Choice>
      <mc:Fallback>
        <control shapeId="49153" r:id="rId5" name="cmdReadTil"/>
      </mc:Fallback>
    </mc:AlternateContent>
    <mc:AlternateContent xmlns:mc="http://schemas.openxmlformats.org/markup-compatibility/2006">
      <mc:Choice Requires="x14">
        <control shapeId="49154" r:id="rId7" name="cmdWriteTil">
          <controlPr defaultSize="0" autoLine="0" r:id="rId8">
            <anchor moveWithCells="1">
              <from>
                <xdr:col>8</xdr:col>
                <xdr:colOff>373380</xdr:colOff>
                <xdr:row>0</xdr:row>
                <xdr:rowOff>251460</xdr:rowOff>
              </from>
              <to>
                <xdr:col>10</xdr:col>
                <xdr:colOff>160020</xdr:colOff>
                <xdr:row>1</xdr:row>
                <xdr:rowOff>243840</xdr:rowOff>
              </to>
            </anchor>
          </controlPr>
        </control>
      </mc:Choice>
      <mc:Fallback>
        <control shapeId="49154" r:id="rId7" name="cmdWriteTil"/>
      </mc:Fallback>
    </mc:AlternateContent>
    <mc:AlternateContent xmlns:mc="http://schemas.openxmlformats.org/markup-compatibility/2006">
      <mc:Choice Requires="x14">
        <control shapeId="49191" r:id="rId9" name="cmbBoxTil">
          <controlPr defaultSize="0" autoLine="0" linkedCell="B2" r:id="rId10">
            <anchor moveWithCells="1">
              <from>
                <xdr:col>1</xdr:col>
                <xdr:colOff>22860</xdr:colOff>
                <xdr:row>1</xdr:row>
                <xdr:rowOff>22860</xdr:rowOff>
              </from>
              <to>
                <xdr:col>2</xdr:col>
                <xdr:colOff>495300</xdr:colOff>
                <xdr:row>2</xdr:row>
                <xdr:rowOff>7620</xdr:rowOff>
              </to>
            </anchor>
          </controlPr>
        </control>
      </mc:Choice>
      <mc:Fallback>
        <control shapeId="49191" r:id="rId9" name="cmbBoxTil"/>
      </mc:Fallback>
    </mc:AlternateContent>
    <mc:AlternateContent xmlns:mc="http://schemas.openxmlformats.org/markup-compatibility/2006">
      <mc:Choice Requires="x14">
        <control shapeId="49192" r:id="rId11" name="cmdGetTil">
          <controlPr defaultSize="0" autoLine="0" r:id="rId12">
            <anchor moveWithCells="1">
              <from>
                <xdr:col>5</xdr:col>
                <xdr:colOff>22860</xdr:colOff>
                <xdr:row>0</xdr:row>
                <xdr:rowOff>251460</xdr:rowOff>
              </from>
              <to>
                <xdr:col>6</xdr:col>
                <xdr:colOff>434340</xdr:colOff>
                <xdr:row>1</xdr:row>
                <xdr:rowOff>243840</xdr:rowOff>
              </to>
            </anchor>
          </controlPr>
        </control>
      </mc:Choice>
      <mc:Fallback>
        <control shapeId="49192" r:id="rId11" name="cmdGetTil"/>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O159"/>
  <sheetViews>
    <sheetView zoomScaleNormal="100" workbookViewId="0">
      <pane xSplit="13" ySplit="5" topLeftCell="N6" activePane="bottomRight" state="frozen"/>
      <selection pane="topRight" activeCell="N1" sqref="N1"/>
      <selection pane="bottomLeft" activeCell="A6" sqref="A6"/>
      <selection pane="bottomRight"/>
    </sheetView>
  </sheetViews>
  <sheetFormatPr defaultColWidth="9.109375" defaultRowHeight="14.4" x14ac:dyDescent="0.3"/>
  <cols>
    <col min="1" max="1" width="11.6640625" style="12" customWidth="1"/>
    <col min="2" max="2" width="10.5546875" style="12" customWidth="1"/>
    <col min="3" max="12" width="9" style="118" bestFit="1" customWidth="1"/>
    <col min="13" max="13" width="9" style="141" bestFit="1" customWidth="1"/>
    <col min="14" max="18" width="9" style="118" bestFit="1" customWidth="1"/>
    <col min="19" max="19" width="10.33203125" style="119" bestFit="1" customWidth="1"/>
    <col min="20" max="24" width="9" style="119" bestFit="1" customWidth="1"/>
    <col min="25" max="26" width="11.5546875" style="119" bestFit="1" customWidth="1"/>
    <col min="27" max="27" width="10.33203125" style="119" bestFit="1" customWidth="1"/>
    <col min="28" max="40" width="9" style="119" bestFit="1" customWidth="1"/>
    <col min="41" max="41" width="9.33203125" style="12" bestFit="1" customWidth="1"/>
    <col min="42" max="49" width="9" style="118" bestFit="1" customWidth="1"/>
    <col min="50" max="50" width="10.33203125" style="118" bestFit="1" customWidth="1"/>
    <col min="51" max="58" width="9" style="118" bestFit="1" customWidth="1"/>
    <col min="59" max="59" width="9" style="118" customWidth="1"/>
    <col min="60" max="66" width="9.109375" style="12"/>
    <col min="67" max="67" width="27.33203125" style="12" bestFit="1" customWidth="1"/>
    <col min="68" max="16384" width="9.109375" style="12"/>
  </cols>
  <sheetData>
    <row r="1" spans="1:67" ht="25.2" customHeight="1" x14ac:dyDescent="0.3">
      <c r="A1" s="158" t="s">
        <v>1833</v>
      </c>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P1" s="12"/>
      <c r="AQ1" s="12"/>
      <c r="AR1" s="12"/>
      <c r="AS1" s="12"/>
      <c r="AT1" s="12"/>
      <c r="AU1" s="12"/>
      <c r="AV1" s="12"/>
      <c r="AW1" s="12"/>
      <c r="AX1" s="12"/>
      <c r="AY1" s="12"/>
      <c r="AZ1" s="12"/>
      <c r="BA1" s="12"/>
      <c r="BB1" s="12"/>
      <c r="BC1" s="12"/>
      <c r="BD1" s="12"/>
      <c r="BE1" s="12"/>
      <c r="BF1" s="12"/>
      <c r="BG1" s="12"/>
    </row>
    <row r="2" spans="1:67" ht="19.95" customHeight="1" x14ac:dyDescent="0.3">
      <c r="A2" s="132" t="s">
        <v>1637</v>
      </c>
      <c r="B2" s="128" t="s">
        <v>1636</v>
      </c>
      <c r="C2" s="128"/>
      <c r="D2" s="132"/>
      <c r="E2" s="128"/>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P2" s="12"/>
      <c r="AQ2" s="12"/>
      <c r="AR2" s="12"/>
      <c r="AS2" s="12"/>
      <c r="AT2" s="12"/>
      <c r="AU2" s="12"/>
      <c r="AV2" s="12"/>
      <c r="AW2" s="12"/>
      <c r="AZ2" s="12"/>
      <c r="BA2" s="12"/>
      <c r="BB2" s="12"/>
      <c r="BC2" s="12"/>
      <c r="BD2" s="12"/>
      <c r="BE2" s="12"/>
      <c r="BF2" s="12"/>
      <c r="BG2" s="12"/>
    </row>
    <row r="3" spans="1:67" ht="15" customHeight="1" x14ac:dyDescent="0.3">
      <c r="A3" s="133" t="s">
        <v>1462</v>
      </c>
      <c r="B3" s="129"/>
      <c r="C3" s="159" t="s">
        <v>1463</v>
      </c>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P3" s="12"/>
      <c r="AQ3" s="12"/>
      <c r="AR3" s="12"/>
      <c r="AS3" s="12"/>
      <c r="AT3" s="12"/>
      <c r="AU3" s="12"/>
      <c r="AV3" s="12"/>
      <c r="AW3" s="12"/>
      <c r="AX3" s="12"/>
      <c r="AY3" s="12"/>
      <c r="AZ3" s="12"/>
      <c r="BA3" s="12"/>
      <c r="BB3" s="12"/>
      <c r="BC3" s="12"/>
      <c r="BD3" s="12"/>
      <c r="BE3" s="12"/>
      <c r="BF3" s="12"/>
      <c r="BG3" s="12"/>
    </row>
    <row r="4" spans="1:67" s="160" customFormat="1" x14ac:dyDescent="0.3">
      <c r="A4" s="46" t="s">
        <v>347</v>
      </c>
      <c r="B4" s="160" t="s">
        <v>2146</v>
      </c>
      <c r="C4" s="160">
        <v>1</v>
      </c>
      <c r="D4" s="160">
        <v>2</v>
      </c>
      <c r="E4" s="160">
        <v>3</v>
      </c>
      <c r="F4" s="160">
        <v>4</v>
      </c>
      <c r="G4" s="160">
        <v>5</v>
      </c>
      <c r="H4" s="160">
        <v>6</v>
      </c>
      <c r="I4" s="160">
        <v>7</v>
      </c>
      <c r="J4" s="160">
        <v>8</v>
      </c>
      <c r="K4" s="160">
        <v>9</v>
      </c>
      <c r="L4" s="160">
        <v>10</v>
      </c>
      <c r="M4" s="160">
        <v>11</v>
      </c>
      <c r="N4" s="160">
        <v>12</v>
      </c>
      <c r="O4" s="160">
        <v>13</v>
      </c>
      <c r="P4" s="160">
        <v>14</v>
      </c>
      <c r="Q4" s="160">
        <v>15</v>
      </c>
      <c r="R4" s="160">
        <v>16</v>
      </c>
      <c r="S4" s="160">
        <v>17</v>
      </c>
      <c r="T4" s="160">
        <v>18</v>
      </c>
      <c r="U4" s="160">
        <v>19</v>
      </c>
      <c r="V4" s="160">
        <v>20</v>
      </c>
      <c r="W4" s="160">
        <v>21</v>
      </c>
      <c r="X4" s="160">
        <v>22</v>
      </c>
      <c r="Y4" s="160">
        <v>23</v>
      </c>
      <c r="Z4" s="160">
        <v>24</v>
      </c>
      <c r="AA4" s="160">
        <v>25</v>
      </c>
      <c r="AB4" s="160">
        <v>26</v>
      </c>
      <c r="AC4" s="160">
        <v>27</v>
      </c>
      <c r="AD4" s="160">
        <v>28</v>
      </c>
      <c r="AE4" s="160">
        <v>29</v>
      </c>
      <c r="AF4" s="160">
        <v>30</v>
      </c>
      <c r="AG4" s="160">
        <v>31</v>
      </c>
      <c r="AH4" s="160">
        <v>32</v>
      </c>
      <c r="AI4" s="160">
        <v>33</v>
      </c>
      <c r="AJ4" s="160">
        <v>34</v>
      </c>
      <c r="AK4" s="160">
        <v>35</v>
      </c>
      <c r="AL4" s="160">
        <v>36</v>
      </c>
      <c r="AM4" s="160">
        <v>37</v>
      </c>
      <c r="AN4" s="160">
        <v>38</v>
      </c>
      <c r="AO4" s="160">
        <v>39</v>
      </c>
      <c r="AP4" s="160">
        <v>40</v>
      </c>
      <c r="AQ4" s="160">
        <v>41</v>
      </c>
      <c r="AR4" s="160">
        <v>42</v>
      </c>
      <c r="AS4" s="160">
        <v>43</v>
      </c>
      <c r="AT4" s="160">
        <v>44</v>
      </c>
      <c r="AU4" s="160">
        <v>45</v>
      </c>
      <c r="AV4" s="160">
        <v>46</v>
      </c>
      <c r="AW4" s="160">
        <v>47</v>
      </c>
      <c r="AX4" s="160">
        <v>48</v>
      </c>
      <c r="AY4" s="160">
        <v>49</v>
      </c>
      <c r="AZ4" s="160">
        <v>50</v>
      </c>
      <c r="BA4" s="160">
        <v>51</v>
      </c>
      <c r="BB4" s="160">
        <v>52</v>
      </c>
      <c r="BC4" s="160">
        <v>53</v>
      </c>
      <c r="BD4" s="160">
        <v>54</v>
      </c>
      <c r="BE4" s="160">
        <v>55</v>
      </c>
      <c r="BF4" s="160">
        <v>56</v>
      </c>
      <c r="BG4" s="160">
        <v>57</v>
      </c>
      <c r="BH4" s="160">
        <v>58</v>
      </c>
      <c r="BI4" s="160">
        <v>59</v>
      </c>
      <c r="BJ4" s="160">
        <v>60</v>
      </c>
      <c r="BK4" s="160">
        <v>61</v>
      </c>
      <c r="BL4" s="160">
        <v>62</v>
      </c>
      <c r="BM4" s="160">
        <v>63</v>
      </c>
      <c r="BN4" s="160">
        <v>64</v>
      </c>
      <c r="BO4" s="160">
        <v>65</v>
      </c>
    </row>
    <row r="5" spans="1:67" s="161" customFormat="1" x14ac:dyDescent="0.3">
      <c r="A5" s="161" t="s">
        <v>116</v>
      </c>
      <c r="B5" s="161" t="s">
        <v>117</v>
      </c>
      <c r="C5" s="161" t="s">
        <v>348</v>
      </c>
      <c r="D5" s="161" t="s">
        <v>349</v>
      </c>
      <c r="E5" s="161" t="s">
        <v>350</v>
      </c>
      <c r="F5" s="161" t="s">
        <v>351</v>
      </c>
      <c r="G5" s="161" t="s">
        <v>352</v>
      </c>
      <c r="H5" s="161" t="s">
        <v>353</v>
      </c>
      <c r="I5" s="161" t="s">
        <v>354</v>
      </c>
      <c r="J5" s="161" t="s">
        <v>355</v>
      </c>
      <c r="K5" s="161" t="s">
        <v>356</v>
      </c>
      <c r="L5" s="161" t="s">
        <v>357</v>
      </c>
      <c r="M5" s="161" t="s">
        <v>358</v>
      </c>
      <c r="N5" s="161" t="s">
        <v>359</v>
      </c>
      <c r="O5" s="161" t="s">
        <v>360</v>
      </c>
      <c r="P5" s="161" t="s">
        <v>361</v>
      </c>
      <c r="Q5" s="161" t="s">
        <v>362</v>
      </c>
      <c r="R5" s="161" t="s">
        <v>363</v>
      </c>
      <c r="S5" s="161" t="s">
        <v>364</v>
      </c>
      <c r="T5" s="161" t="s">
        <v>365</v>
      </c>
      <c r="U5" s="161" t="s">
        <v>366</v>
      </c>
      <c r="V5" s="161" t="s">
        <v>367</v>
      </c>
      <c r="W5" s="161" t="s">
        <v>368</v>
      </c>
      <c r="X5" s="161" t="s">
        <v>369</v>
      </c>
      <c r="Y5" s="161" t="s">
        <v>370</v>
      </c>
      <c r="Z5" s="161" t="s">
        <v>371</v>
      </c>
      <c r="AA5" s="161" t="s">
        <v>372</v>
      </c>
      <c r="AB5" s="161" t="s">
        <v>373</v>
      </c>
      <c r="AC5" s="161" t="s">
        <v>374</v>
      </c>
      <c r="AD5" s="161" t="s">
        <v>375</v>
      </c>
      <c r="AE5" s="161" t="s">
        <v>376</v>
      </c>
      <c r="AF5" s="161" t="s">
        <v>377</v>
      </c>
      <c r="AG5" s="161" t="s">
        <v>378</v>
      </c>
      <c r="AH5" s="161" t="s">
        <v>379</v>
      </c>
      <c r="AI5" s="161" t="s">
        <v>380</v>
      </c>
      <c r="AJ5" s="161" t="s">
        <v>381</v>
      </c>
      <c r="AK5" s="161" t="s">
        <v>382</v>
      </c>
      <c r="AL5" s="161" t="s">
        <v>383</v>
      </c>
      <c r="AM5" s="161" t="s">
        <v>384</v>
      </c>
      <c r="AN5" s="161" t="s">
        <v>385</v>
      </c>
      <c r="AO5" s="161" t="s">
        <v>386</v>
      </c>
      <c r="AP5" s="161" t="s">
        <v>387</v>
      </c>
      <c r="AQ5" s="161" t="s">
        <v>388</v>
      </c>
      <c r="AR5" s="161" t="s">
        <v>389</v>
      </c>
      <c r="AS5" s="161" t="s">
        <v>390</v>
      </c>
      <c r="AT5" s="161" t="s">
        <v>391</v>
      </c>
      <c r="AU5" s="161" t="s">
        <v>392</v>
      </c>
      <c r="AV5" s="161" t="s">
        <v>393</v>
      </c>
      <c r="AW5" s="161" t="s">
        <v>394</v>
      </c>
      <c r="AX5" s="161" t="s">
        <v>395</v>
      </c>
      <c r="AY5" s="161" t="s">
        <v>396</v>
      </c>
      <c r="AZ5" s="161" t="s">
        <v>397</v>
      </c>
      <c r="BA5" s="161" t="s">
        <v>398</v>
      </c>
      <c r="BB5" s="161" t="s">
        <v>399</v>
      </c>
      <c r="BC5" s="161" t="s">
        <v>400</v>
      </c>
      <c r="BD5" s="161" t="s">
        <v>401</v>
      </c>
      <c r="BE5" s="161" t="s">
        <v>402</v>
      </c>
      <c r="BF5" s="161" t="s">
        <v>403</v>
      </c>
      <c r="BG5" s="161" t="s">
        <v>3863</v>
      </c>
      <c r="BH5" s="161" t="s">
        <v>3864</v>
      </c>
      <c r="BI5" s="161" t="s">
        <v>3865</v>
      </c>
      <c r="BJ5" s="161" t="s">
        <v>3866</v>
      </c>
      <c r="BK5" s="161" t="s">
        <v>3867</v>
      </c>
      <c r="BL5" s="161" t="s">
        <v>3868</v>
      </c>
      <c r="BM5" s="161" t="s">
        <v>3869</v>
      </c>
      <c r="BN5" s="161" t="s">
        <v>3870</v>
      </c>
      <c r="BO5" s="161" t="s">
        <v>1451</v>
      </c>
    </row>
    <row r="6" spans="1:67" x14ac:dyDescent="0.3">
      <c r="A6" s="12">
        <v>1</v>
      </c>
      <c r="B6" s="12" t="s">
        <v>404</v>
      </c>
      <c r="C6" s="118">
        <v>25</v>
      </c>
      <c r="D6" s="118">
        <v>0.3</v>
      </c>
      <c r="E6" s="118">
        <v>25</v>
      </c>
      <c r="F6" s="118">
        <v>10</v>
      </c>
      <c r="G6" s="118">
        <v>5</v>
      </c>
      <c r="H6" s="118">
        <v>0.9</v>
      </c>
      <c r="I6" s="118">
        <v>15.05</v>
      </c>
      <c r="J6" s="118">
        <v>50.95</v>
      </c>
      <c r="K6" s="118">
        <v>0.1</v>
      </c>
      <c r="L6" s="118">
        <v>1</v>
      </c>
      <c r="M6" s="141">
        <v>3</v>
      </c>
      <c r="N6" s="118">
        <v>7.0000000000000001E-3</v>
      </c>
      <c r="O6" s="118">
        <v>0.85</v>
      </c>
      <c r="P6" s="118">
        <v>35</v>
      </c>
      <c r="Q6" s="118">
        <v>0.8</v>
      </c>
      <c r="R6" s="118">
        <v>2</v>
      </c>
      <c r="S6" s="119">
        <v>660.34</v>
      </c>
      <c r="T6" s="119">
        <v>6.9900000000000004E-2</v>
      </c>
      <c r="U6" s="119">
        <v>7.7000000000000002E-3</v>
      </c>
      <c r="V6" s="119">
        <v>1.9599999999999999E-2</v>
      </c>
      <c r="W6" s="119">
        <v>0.23</v>
      </c>
      <c r="X6" s="119">
        <v>0.6</v>
      </c>
      <c r="Y6" s="119">
        <v>0.63</v>
      </c>
      <c r="Z6" s="119">
        <v>198.08</v>
      </c>
      <c r="AA6" s="119">
        <v>100</v>
      </c>
      <c r="AB6" s="119">
        <v>0.13</v>
      </c>
      <c r="AC6" s="119">
        <v>5.2400000000000002E-2</v>
      </c>
      <c r="AD6" s="119">
        <v>2.6499999999999999E-2</v>
      </c>
      <c r="AE6" s="119">
        <v>2.58E-2</v>
      </c>
      <c r="AF6" s="119">
        <v>7.4000000000000003E-3</v>
      </c>
      <c r="AG6" s="119">
        <v>3.7000000000000002E-3</v>
      </c>
      <c r="AH6" s="119">
        <v>3.5000000000000001E-3</v>
      </c>
      <c r="AI6" s="119">
        <v>0.03</v>
      </c>
      <c r="AJ6" s="119">
        <v>2.5000000000000001E-2</v>
      </c>
      <c r="AK6" s="119">
        <v>1.7999999999999999E-2</v>
      </c>
      <c r="AL6" s="119">
        <v>1.266</v>
      </c>
      <c r="AM6" s="119">
        <v>0.63300000000000001</v>
      </c>
      <c r="AN6" s="119">
        <v>0.72899999999999998</v>
      </c>
      <c r="AO6" s="12">
        <v>1</v>
      </c>
      <c r="AP6" s="118">
        <v>5.15</v>
      </c>
      <c r="AQ6" s="118">
        <v>15.95</v>
      </c>
      <c r="AR6" s="118">
        <v>5</v>
      </c>
      <c r="AS6" s="118">
        <v>0.5</v>
      </c>
      <c r="AT6" s="118">
        <v>4.75</v>
      </c>
      <c r="AU6" s="118">
        <v>0.4</v>
      </c>
      <c r="AV6" s="118">
        <v>0.2</v>
      </c>
      <c r="AW6" s="118">
        <v>25</v>
      </c>
      <c r="AX6" s="118">
        <v>30.43</v>
      </c>
      <c r="AY6" s="118">
        <v>50.71</v>
      </c>
      <c r="AZ6" s="118">
        <v>0.2</v>
      </c>
      <c r="BA6" s="118">
        <v>5</v>
      </c>
      <c r="BB6" s="118">
        <v>0.01</v>
      </c>
      <c r="BC6" s="118">
        <v>0.1</v>
      </c>
      <c r="BD6" s="118">
        <v>0</v>
      </c>
      <c r="BE6" s="118">
        <v>0</v>
      </c>
      <c r="BF6" s="118">
        <v>0</v>
      </c>
      <c r="BG6" s="118">
        <v>0.25</v>
      </c>
      <c r="BH6" s="12">
        <v>0</v>
      </c>
      <c r="BI6" s="12">
        <v>0</v>
      </c>
      <c r="BJ6" s="12">
        <v>0</v>
      </c>
      <c r="BK6" s="12">
        <v>0</v>
      </c>
      <c r="BL6" s="12">
        <v>0</v>
      </c>
      <c r="BM6" s="12">
        <v>0</v>
      </c>
      <c r="BN6" s="12">
        <v>0</v>
      </c>
      <c r="BO6" s="12" t="s">
        <v>1509</v>
      </c>
    </row>
    <row r="7" spans="1:67" x14ac:dyDescent="0.3">
      <c r="A7" s="12">
        <v>2</v>
      </c>
      <c r="B7" s="12" t="s">
        <v>405</v>
      </c>
      <c r="C7" s="118">
        <v>40</v>
      </c>
      <c r="D7" s="118">
        <v>0.5</v>
      </c>
      <c r="E7" s="118">
        <v>25</v>
      </c>
      <c r="F7" s="118">
        <v>8</v>
      </c>
      <c r="G7" s="118">
        <v>6</v>
      </c>
      <c r="H7" s="118">
        <v>0.8</v>
      </c>
      <c r="I7" s="118">
        <v>15.05</v>
      </c>
      <c r="J7" s="118">
        <v>50.95</v>
      </c>
      <c r="K7" s="118">
        <v>1</v>
      </c>
      <c r="L7" s="118">
        <v>1</v>
      </c>
      <c r="M7" s="141">
        <v>3</v>
      </c>
      <c r="N7" s="118">
        <v>7.0000000000000001E-3</v>
      </c>
      <c r="O7" s="118">
        <v>0.85</v>
      </c>
      <c r="P7" s="118">
        <v>20</v>
      </c>
      <c r="Q7" s="118">
        <v>2</v>
      </c>
      <c r="R7" s="118">
        <v>2</v>
      </c>
      <c r="S7" s="119">
        <v>660.45</v>
      </c>
      <c r="T7" s="119">
        <v>1.2999999999999999E-2</v>
      </c>
      <c r="U7" s="119">
        <v>2.5000000000000001E-3</v>
      </c>
      <c r="V7" s="119">
        <v>3.2000000000000002E-3</v>
      </c>
      <c r="W7" s="119">
        <v>0.1</v>
      </c>
      <c r="X7" s="119">
        <v>0.6</v>
      </c>
      <c r="Y7" s="119">
        <v>3.45</v>
      </c>
      <c r="Z7" s="119">
        <v>103.16</v>
      </c>
      <c r="AA7" s="119">
        <v>80.22</v>
      </c>
      <c r="AB7" s="119">
        <v>0.15</v>
      </c>
      <c r="AC7" s="119">
        <v>4.3999999999999997E-2</v>
      </c>
      <c r="AD7" s="119">
        <v>1.4999999999999999E-2</v>
      </c>
      <c r="AE7" s="119">
        <v>0.01</v>
      </c>
      <c r="AF7" s="119">
        <v>6.1999999999999998E-3</v>
      </c>
      <c r="AG7" s="119">
        <v>2.3E-3</v>
      </c>
      <c r="AH7" s="119">
        <v>1.8E-3</v>
      </c>
      <c r="AI7" s="119">
        <v>0.04</v>
      </c>
      <c r="AJ7" s="119">
        <v>0.02</v>
      </c>
      <c r="AK7" s="119">
        <v>1.15E-2</v>
      </c>
      <c r="AL7" s="119">
        <v>0.433</v>
      </c>
      <c r="AM7" s="119">
        <v>0.433</v>
      </c>
      <c r="AN7" s="119">
        <v>0.21299999999999999</v>
      </c>
      <c r="AO7" s="12">
        <v>4</v>
      </c>
      <c r="AP7" s="118">
        <v>5.15</v>
      </c>
      <c r="AQ7" s="118">
        <v>15.95</v>
      </c>
      <c r="AR7" s="118">
        <v>8</v>
      </c>
      <c r="AS7" s="118">
        <v>0.5</v>
      </c>
      <c r="AT7" s="118">
        <v>4.75</v>
      </c>
      <c r="AU7" s="118">
        <v>0.4</v>
      </c>
      <c r="AV7" s="118">
        <v>0.2</v>
      </c>
      <c r="AW7" s="118">
        <v>25</v>
      </c>
      <c r="AX7" s="118">
        <v>4.47</v>
      </c>
      <c r="AY7" s="118">
        <v>7.77</v>
      </c>
      <c r="AZ7" s="118">
        <v>0.12</v>
      </c>
      <c r="BA7" s="118">
        <v>1.7</v>
      </c>
      <c r="BB7" s="118">
        <v>0.01</v>
      </c>
      <c r="BC7" s="118">
        <v>0.1</v>
      </c>
      <c r="BD7" s="118">
        <v>10.199999999999999</v>
      </c>
      <c r="BE7" s="118">
        <v>0</v>
      </c>
      <c r="BF7" s="118">
        <v>0</v>
      </c>
      <c r="BG7" s="118">
        <v>1.05</v>
      </c>
      <c r="BH7" s="12">
        <v>1</v>
      </c>
      <c r="BI7" s="12">
        <v>0</v>
      </c>
      <c r="BJ7" s="12">
        <v>0</v>
      </c>
      <c r="BK7" s="12">
        <v>0</v>
      </c>
      <c r="BL7" s="12">
        <v>0</v>
      </c>
      <c r="BM7" s="12">
        <v>0</v>
      </c>
      <c r="BN7" s="12">
        <v>0</v>
      </c>
      <c r="BO7" s="12" t="s">
        <v>405</v>
      </c>
    </row>
    <row r="8" spans="1:67" x14ac:dyDescent="0.3">
      <c r="A8" s="12">
        <v>3</v>
      </c>
      <c r="B8" s="12" t="s">
        <v>1633</v>
      </c>
      <c r="C8" s="118">
        <v>37</v>
      </c>
      <c r="D8" s="118">
        <v>0.5</v>
      </c>
      <c r="E8" s="118">
        <v>27.5</v>
      </c>
      <c r="F8" s="118">
        <v>10</v>
      </c>
      <c r="G8" s="118">
        <v>5.5</v>
      </c>
      <c r="H8" s="118">
        <v>0.8</v>
      </c>
      <c r="I8" s="118">
        <v>15.01</v>
      </c>
      <c r="J8" s="118">
        <v>60.95</v>
      </c>
      <c r="K8" s="118">
        <v>0.5</v>
      </c>
      <c r="L8" s="118">
        <v>0.5</v>
      </c>
      <c r="M8" s="141">
        <v>2</v>
      </c>
      <c r="N8" s="118">
        <v>7.0000000000000001E-3</v>
      </c>
      <c r="O8" s="118">
        <v>0.85</v>
      </c>
      <c r="P8" s="118">
        <v>5</v>
      </c>
      <c r="Q8" s="118">
        <v>1.4</v>
      </c>
      <c r="R8" s="118">
        <v>2</v>
      </c>
      <c r="S8" s="119">
        <v>660.36</v>
      </c>
      <c r="T8" s="119">
        <v>1.9900000000000001E-2</v>
      </c>
      <c r="U8" s="119">
        <v>3.2000000000000002E-3</v>
      </c>
      <c r="V8" s="119">
        <v>3.8999999999999998E-3</v>
      </c>
      <c r="W8" s="119">
        <v>0.35</v>
      </c>
      <c r="X8" s="119">
        <v>0.6</v>
      </c>
      <c r="Y8" s="119">
        <v>3.66</v>
      </c>
      <c r="Z8" s="119">
        <v>92.83</v>
      </c>
      <c r="AA8" s="119">
        <v>75</v>
      </c>
      <c r="AB8" s="119">
        <v>0.13</v>
      </c>
      <c r="AC8" s="119">
        <v>4.3999999999999997E-2</v>
      </c>
      <c r="AD8" s="119">
        <v>1.6400000000000001E-2</v>
      </c>
      <c r="AE8" s="119">
        <v>1.2800000000000001E-2</v>
      </c>
      <c r="AF8" s="119">
        <v>6.0000000000000001E-3</v>
      </c>
      <c r="AG8" s="119">
        <v>2.2000000000000001E-3</v>
      </c>
      <c r="AH8" s="119">
        <v>1.8E-3</v>
      </c>
      <c r="AI8" s="119">
        <v>0.04</v>
      </c>
      <c r="AJ8" s="119">
        <v>3.5000000000000003E-2</v>
      </c>
      <c r="AK8" s="119">
        <v>1.2999999999999999E-2</v>
      </c>
      <c r="AL8" s="119">
        <v>0.65700000000000003</v>
      </c>
      <c r="AM8" s="119">
        <v>0.65700000000000003</v>
      </c>
      <c r="AN8" s="119">
        <v>0.32</v>
      </c>
      <c r="AO8" s="12">
        <v>4</v>
      </c>
      <c r="AP8" s="118">
        <v>5.15</v>
      </c>
      <c r="AQ8" s="118">
        <v>15.95</v>
      </c>
      <c r="AR8" s="118">
        <v>7</v>
      </c>
      <c r="AS8" s="118">
        <v>0.5</v>
      </c>
      <c r="AT8" s="118">
        <v>4.75</v>
      </c>
      <c r="AU8" s="118">
        <v>0.4</v>
      </c>
      <c r="AV8" s="118">
        <v>0.2</v>
      </c>
      <c r="AW8" s="118">
        <v>100</v>
      </c>
      <c r="AX8" s="118">
        <v>3.2</v>
      </c>
      <c r="AY8" s="118">
        <v>10.9</v>
      </c>
      <c r="AZ8" s="118">
        <v>0.2</v>
      </c>
      <c r="BA8" s="118">
        <v>4.8</v>
      </c>
      <c r="BB8" s="118">
        <v>0.01</v>
      </c>
      <c r="BC8" s="118">
        <v>0.1</v>
      </c>
      <c r="BD8" s="118">
        <v>0</v>
      </c>
      <c r="BE8" s="118">
        <v>0</v>
      </c>
      <c r="BF8" s="118">
        <v>0</v>
      </c>
      <c r="BG8" s="118">
        <v>0</v>
      </c>
      <c r="BH8" s="12">
        <v>1</v>
      </c>
      <c r="BI8" s="12">
        <v>0</v>
      </c>
      <c r="BJ8" s="12">
        <v>0</v>
      </c>
      <c r="BK8" s="12">
        <v>0</v>
      </c>
      <c r="BL8" s="12">
        <v>0</v>
      </c>
      <c r="BM8" s="12">
        <v>0</v>
      </c>
      <c r="BN8" s="12">
        <v>0</v>
      </c>
      <c r="BO8" s="12" t="s">
        <v>1634</v>
      </c>
    </row>
    <row r="9" spans="1:67" x14ac:dyDescent="0.3">
      <c r="A9" s="12">
        <v>4</v>
      </c>
      <c r="B9" s="12" t="s">
        <v>406</v>
      </c>
      <c r="C9" s="118">
        <v>25</v>
      </c>
      <c r="D9" s="118">
        <v>0.6</v>
      </c>
      <c r="E9" s="118">
        <v>27.5</v>
      </c>
      <c r="F9" s="118">
        <v>12.5</v>
      </c>
      <c r="G9" s="118">
        <v>6</v>
      </c>
      <c r="H9" s="118">
        <v>0.95</v>
      </c>
      <c r="I9" s="118">
        <v>15.01</v>
      </c>
      <c r="J9" s="118">
        <v>50.95</v>
      </c>
      <c r="K9" s="118">
        <v>0.5</v>
      </c>
      <c r="L9" s="118">
        <v>0.5</v>
      </c>
      <c r="M9" s="141">
        <v>3</v>
      </c>
      <c r="N9" s="118">
        <v>0.02</v>
      </c>
      <c r="O9" s="118">
        <v>0.85</v>
      </c>
      <c r="P9" s="118">
        <v>25</v>
      </c>
      <c r="Q9" s="118">
        <v>1</v>
      </c>
      <c r="R9" s="118">
        <v>2.2000000000000002</v>
      </c>
      <c r="S9" s="119">
        <v>660.3</v>
      </c>
      <c r="T9" s="119">
        <v>1.4E-2</v>
      </c>
      <c r="U9" s="119">
        <v>2E-3</v>
      </c>
      <c r="V9" s="119">
        <v>1.4E-2</v>
      </c>
      <c r="W9" s="119">
        <v>0.3</v>
      </c>
      <c r="X9" s="119">
        <v>0.6</v>
      </c>
      <c r="Y9" s="119">
        <v>2.82</v>
      </c>
      <c r="Z9" s="119">
        <v>1212.75</v>
      </c>
      <c r="AA9" s="119">
        <v>116.87</v>
      </c>
      <c r="AB9" s="119">
        <v>0.01</v>
      </c>
      <c r="AC9" s="119">
        <v>5.8000000000000003E-2</v>
      </c>
      <c r="AD9" s="119">
        <v>1.9E-2</v>
      </c>
      <c r="AE9" s="119">
        <v>1.77E-2</v>
      </c>
      <c r="AF9" s="119">
        <v>8.0999999999999996E-3</v>
      </c>
      <c r="AG9" s="119">
        <v>2.7000000000000001E-3</v>
      </c>
      <c r="AH9" s="119">
        <v>2.5000000000000001E-3</v>
      </c>
      <c r="AI9" s="119">
        <v>0.04</v>
      </c>
      <c r="AJ9" s="119">
        <v>0.03</v>
      </c>
      <c r="AK9" s="119">
        <v>2.5999999999999999E-2</v>
      </c>
      <c r="AL9" s="119">
        <v>1.1379999999999999</v>
      </c>
      <c r="AM9" s="119">
        <v>0.60299999999999998</v>
      </c>
      <c r="AN9" s="119">
        <v>0.33200000000000002</v>
      </c>
      <c r="AO9" s="12">
        <v>9</v>
      </c>
      <c r="AP9" s="118">
        <v>5.15</v>
      </c>
      <c r="AQ9" s="118">
        <v>15.95</v>
      </c>
      <c r="AR9" s="118">
        <v>3</v>
      </c>
      <c r="AS9" s="118">
        <v>1</v>
      </c>
      <c r="AT9" s="118">
        <v>4.3</v>
      </c>
      <c r="AU9" s="118">
        <v>0.4</v>
      </c>
      <c r="AV9" s="118">
        <v>0.2</v>
      </c>
      <c r="AW9" s="118">
        <v>100</v>
      </c>
      <c r="AX9" s="118">
        <v>3.2</v>
      </c>
      <c r="AY9" s="118">
        <v>10.9</v>
      </c>
      <c r="AZ9" s="118">
        <v>0.05</v>
      </c>
      <c r="BA9" s="118">
        <v>7.7</v>
      </c>
      <c r="BB9" s="118">
        <v>0.01</v>
      </c>
      <c r="BC9" s="118">
        <v>0.1</v>
      </c>
      <c r="BD9" s="118">
        <v>0</v>
      </c>
      <c r="BE9" s="118">
        <v>0.27</v>
      </c>
      <c r="BF9" s="118">
        <v>0.38</v>
      </c>
      <c r="BG9" s="118">
        <v>0.65</v>
      </c>
      <c r="BH9" s="12">
        <v>0</v>
      </c>
      <c r="BI9" s="12">
        <v>0</v>
      </c>
      <c r="BJ9" s="12">
        <v>0</v>
      </c>
      <c r="BK9" s="12">
        <v>0</v>
      </c>
      <c r="BL9" s="12">
        <v>0</v>
      </c>
      <c r="BM9" s="12">
        <v>0</v>
      </c>
      <c r="BN9" s="12">
        <v>0</v>
      </c>
      <c r="BO9" s="12" t="s">
        <v>1510</v>
      </c>
    </row>
    <row r="10" spans="1:67" x14ac:dyDescent="0.3">
      <c r="A10" s="12">
        <v>5</v>
      </c>
      <c r="B10" s="12" t="s">
        <v>407</v>
      </c>
      <c r="C10" s="118">
        <v>25</v>
      </c>
      <c r="D10" s="118">
        <v>0.4</v>
      </c>
      <c r="E10" s="118">
        <v>27.5</v>
      </c>
      <c r="F10" s="118">
        <v>12.5</v>
      </c>
      <c r="G10" s="118">
        <v>6</v>
      </c>
      <c r="H10" s="118">
        <v>0.95</v>
      </c>
      <c r="I10" s="118">
        <v>15.01</v>
      </c>
      <c r="J10" s="118">
        <v>50.95</v>
      </c>
      <c r="K10" s="118">
        <v>0.5</v>
      </c>
      <c r="L10" s="118">
        <v>0.5</v>
      </c>
      <c r="M10" s="141">
        <v>3</v>
      </c>
      <c r="N10" s="118">
        <v>0.02</v>
      </c>
      <c r="O10" s="118">
        <v>0.85</v>
      </c>
      <c r="P10" s="118">
        <v>25</v>
      </c>
      <c r="Q10" s="118">
        <v>1</v>
      </c>
      <c r="R10" s="118">
        <v>2.2000000000000002</v>
      </c>
      <c r="S10" s="119">
        <v>660.3</v>
      </c>
      <c r="T10" s="119">
        <v>1.9E-2</v>
      </c>
      <c r="U10" s="119">
        <v>2.8999999999999998E-3</v>
      </c>
      <c r="V10" s="119">
        <v>1.4E-2</v>
      </c>
      <c r="W10" s="119">
        <v>0.3</v>
      </c>
      <c r="X10" s="119">
        <v>0.6</v>
      </c>
      <c r="Y10" s="119">
        <v>2.82</v>
      </c>
      <c r="Z10" s="119">
        <v>1212.75</v>
      </c>
      <c r="AA10" s="119">
        <v>116.87</v>
      </c>
      <c r="AB10" s="119">
        <v>0.01</v>
      </c>
      <c r="AC10" s="119">
        <v>5.8000000000000003E-2</v>
      </c>
      <c r="AD10" s="119">
        <v>1.9E-2</v>
      </c>
      <c r="AE10" s="119">
        <v>1.77E-2</v>
      </c>
      <c r="AF10" s="119">
        <v>8.0999999999999996E-3</v>
      </c>
      <c r="AG10" s="119">
        <v>2.7000000000000001E-3</v>
      </c>
      <c r="AH10" s="119">
        <v>2.5000000000000001E-3</v>
      </c>
      <c r="AI10" s="119">
        <v>0.04</v>
      </c>
      <c r="AJ10" s="119">
        <v>0.03</v>
      </c>
      <c r="AK10" s="119">
        <v>2.5999999999999999E-2</v>
      </c>
      <c r="AL10" s="119">
        <v>1.1379999999999999</v>
      </c>
      <c r="AM10" s="119">
        <v>0.60299999999999998</v>
      </c>
      <c r="AN10" s="119">
        <v>0.33200000000000002</v>
      </c>
      <c r="AO10" s="12">
        <v>9</v>
      </c>
      <c r="AP10" s="118">
        <v>5.15</v>
      </c>
      <c r="AQ10" s="118">
        <v>15.95</v>
      </c>
      <c r="AR10" s="118">
        <v>3</v>
      </c>
      <c r="AS10" s="118">
        <v>1</v>
      </c>
      <c r="AT10" s="118">
        <v>4.3</v>
      </c>
      <c r="AU10" s="118">
        <v>0.4</v>
      </c>
      <c r="AV10" s="118">
        <v>0.2</v>
      </c>
      <c r="AW10" s="118">
        <v>100</v>
      </c>
      <c r="AX10" s="118">
        <v>3.2</v>
      </c>
      <c r="AY10" s="118">
        <v>10.9</v>
      </c>
      <c r="AZ10" s="118">
        <v>0.05</v>
      </c>
      <c r="BA10" s="118">
        <v>7.7</v>
      </c>
      <c r="BB10" s="118">
        <v>0.01</v>
      </c>
      <c r="BC10" s="118">
        <v>0.1</v>
      </c>
      <c r="BD10" s="118">
        <v>0</v>
      </c>
      <c r="BE10" s="118">
        <v>0.38</v>
      </c>
      <c r="BF10" s="118">
        <v>0.38</v>
      </c>
      <c r="BG10" s="118">
        <v>0.65</v>
      </c>
      <c r="BH10" s="12">
        <v>0</v>
      </c>
      <c r="BI10" s="12">
        <v>0</v>
      </c>
      <c r="BJ10" s="12">
        <v>0</v>
      </c>
      <c r="BK10" s="12">
        <v>0</v>
      </c>
      <c r="BL10" s="12">
        <v>0</v>
      </c>
      <c r="BM10" s="12">
        <v>0</v>
      </c>
      <c r="BN10" s="12">
        <v>0</v>
      </c>
      <c r="BO10" s="12" t="s">
        <v>1511</v>
      </c>
    </row>
    <row r="11" spans="1:67" x14ac:dyDescent="0.3">
      <c r="A11" s="12">
        <v>6</v>
      </c>
      <c r="B11" s="12" t="s">
        <v>408</v>
      </c>
      <c r="C11" s="118">
        <v>30</v>
      </c>
      <c r="D11" s="118">
        <v>0</v>
      </c>
      <c r="E11" s="118">
        <v>25</v>
      </c>
      <c r="F11" s="118">
        <v>9</v>
      </c>
      <c r="G11" s="118">
        <v>5</v>
      </c>
      <c r="H11" s="118">
        <v>0.85</v>
      </c>
      <c r="I11" s="118">
        <v>15.01</v>
      </c>
      <c r="J11" s="118">
        <v>50.95</v>
      </c>
      <c r="K11" s="118">
        <v>1</v>
      </c>
      <c r="L11" s="118">
        <v>0.5</v>
      </c>
      <c r="M11" s="141">
        <v>4</v>
      </c>
      <c r="N11" s="118">
        <v>0.01</v>
      </c>
      <c r="O11" s="118">
        <v>0.85</v>
      </c>
      <c r="P11" s="118">
        <v>30</v>
      </c>
      <c r="Q11" s="118">
        <v>0.5</v>
      </c>
      <c r="R11" s="118">
        <v>2</v>
      </c>
      <c r="S11" s="119">
        <v>660.25</v>
      </c>
      <c r="T11" s="119">
        <v>6.5000000000000002E-2</v>
      </c>
      <c r="U11" s="119">
        <v>8.9999999999999993E-3</v>
      </c>
      <c r="V11" s="119">
        <v>6.0000000000000001E-3</v>
      </c>
      <c r="W11" s="119">
        <v>0.3</v>
      </c>
      <c r="X11" s="119">
        <v>0.6</v>
      </c>
      <c r="Y11" s="119">
        <v>1.8</v>
      </c>
      <c r="Z11" s="119">
        <v>498.33</v>
      </c>
      <c r="AA11" s="119">
        <v>551</v>
      </c>
      <c r="AB11" s="119">
        <v>0.06</v>
      </c>
      <c r="AC11" s="119">
        <v>3.2899999999999999E-2</v>
      </c>
      <c r="AD11" s="119">
        <v>1.67E-2</v>
      </c>
      <c r="AE11" s="119">
        <v>1.6199999999999999E-2</v>
      </c>
      <c r="AF11" s="119">
        <v>3.8999999999999998E-3</v>
      </c>
      <c r="AG11" s="119">
        <v>2E-3</v>
      </c>
      <c r="AH11" s="119">
        <v>1.9E-3</v>
      </c>
      <c r="AI11" s="119">
        <v>0.03</v>
      </c>
      <c r="AJ11" s="119">
        <v>2.5000000000000001E-2</v>
      </c>
      <c r="AK11" s="119">
        <v>1.6E-2</v>
      </c>
      <c r="AL11" s="119">
        <v>1.266</v>
      </c>
      <c r="AM11" s="119">
        <v>0.63300000000000001</v>
      </c>
      <c r="AN11" s="119">
        <v>0.72899999999999998</v>
      </c>
      <c r="AO11" s="12">
        <v>1</v>
      </c>
      <c r="AP11" s="118">
        <v>5.15</v>
      </c>
      <c r="AQ11" s="118">
        <v>15.95</v>
      </c>
      <c r="AR11" s="118">
        <v>4</v>
      </c>
      <c r="AS11" s="118">
        <v>0.5</v>
      </c>
      <c r="AT11" s="118">
        <v>4.75</v>
      </c>
      <c r="AU11" s="118">
        <v>0.4</v>
      </c>
      <c r="AV11" s="118">
        <v>0.6</v>
      </c>
      <c r="AW11" s="118">
        <v>100</v>
      </c>
      <c r="AX11" s="118">
        <v>3.1</v>
      </c>
      <c r="AY11" s="118">
        <v>10.9</v>
      </c>
      <c r="AZ11" s="118">
        <v>0.28999999999999998</v>
      </c>
      <c r="BA11" s="118">
        <v>3.2</v>
      </c>
      <c r="BB11" s="118">
        <v>0.01</v>
      </c>
      <c r="BC11" s="118">
        <v>0.1</v>
      </c>
      <c r="BD11" s="118">
        <v>0</v>
      </c>
      <c r="BE11" s="118">
        <v>0</v>
      </c>
      <c r="BF11" s="118">
        <v>0</v>
      </c>
      <c r="BG11" s="118">
        <v>0</v>
      </c>
      <c r="BH11" s="12">
        <v>0</v>
      </c>
      <c r="BI11" s="12">
        <v>0</v>
      </c>
      <c r="BJ11" s="12">
        <v>0</v>
      </c>
      <c r="BK11" s="12">
        <v>0</v>
      </c>
      <c r="BL11" s="12">
        <v>0</v>
      </c>
      <c r="BM11" s="12">
        <v>0</v>
      </c>
      <c r="BN11" s="12">
        <v>0</v>
      </c>
      <c r="BO11" s="12" t="s">
        <v>1512</v>
      </c>
    </row>
    <row r="12" spans="1:67" x14ac:dyDescent="0.3">
      <c r="A12" s="12">
        <v>7</v>
      </c>
      <c r="B12" s="12" t="s">
        <v>409</v>
      </c>
      <c r="C12" s="118">
        <v>49</v>
      </c>
      <c r="D12" s="118">
        <v>0.3</v>
      </c>
      <c r="E12" s="118">
        <v>25</v>
      </c>
      <c r="F12" s="118">
        <v>10</v>
      </c>
      <c r="G12" s="118">
        <v>5</v>
      </c>
      <c r="H12" s="118">
        <v>0.55000000000000004</v>
      </c>
      <c r="I12" s="118">
        <v>15.01</v>
      </c>
      <c r="J12" s="118">
        <v>50.95</v>
      </c>
      <c r="K12" s="118">
        <v>1</v>
      </c>
      <c r="L12" s="118">
        <v>2</v>
      </c>
      <c r="M12" s="141">
        <v>3</v>
      </c>
      <c r="N12" s="118">
        <v>7.0000000000000001E-3</v>
      </c>
      <c r="O12" s="118">
        <v>0.85</v>
      </c>
      <c r="P12" s="118">
        <v>8</v>
      </c>
      <c r="Q12" s="118">
        <v>2.5</v>
      </c>
      <c r="R12" s="118">
        <v>2.2000000000000002</v>
      </c>
      <c r="S12" s="119">
        <v>660.66</v>
      </c>
      <c r="T12" s="119">
        <v>2.87E-2</v>
      </c>
      <c r="U12" s="119">
        <v>5.5999999999999999E-3</v>
      </c>
      <c r="V12" s="119">
        <v>7.1000000000000004E-3</v>
      </c>
      <c r="W12" s="119">
        <v>0.27</v>
      </c>
      <c r="X12" s="119">
        <v>0.6</v>
      </c>
      <c r="Y12" s="119">
        <v>8.7100000000000009</v>
      </c>
      <c r="Z12" s="119">
        <v>271.22000000000003</v>
      </c>
      <c r="AA12" s="119">
        <v>5</v>
      </c>
      <c r="AB12" s="119">
        <v>0.06</v>
      </c>
      <c r="AC12" s="119">
        <v>0.05</v>
      </c>
      <c r="AD12" s="119">
        <v>2.3E-2</v>
      </c>
      <c r="AE12" s="119">
        <v>1.46E-2</v>
      </c>
      <c r="AF12" s="119">
        <v>6.3E-3</v>
      </c>
      <c r="AG12" s="119">
        <v>2.8999999999999998E-3</v>
      </c>
      <c r="AH12" s="119">
        <v>2.3E-3</v>
      </c>
      <c r="AI12" s="119">
        <v>2.9000000000000001E-2</v>
      </c>
      <c r="AJ12" s="119">
        <v>0.02</v>
      </c>
      <c r="AK12" s="119">
        <v>0.01</v>
      </c>
      <c r="AL12" s="119">
        <v>3.39</v>
      </c>
      <c r="AM12" s="119">
        <v>3.39</v>
      </c>
      <c r="AN12" s="119">
        <v>1.61</v>
      </c>
      <c r="AO12" s="12">
        <v>4</v>
      </c>
      <c r="AP12" s="118">
        <v>5.15</v>
      </c>
      <c r="AQ12" s="118">
        <v>15.95</v>
      </c>
      <c r="AR12" s="118">
        <v>7</v>
      </c>
      <c r="AS12" s="118">
        <v>0.5</v>
      </c>
      <c r="AT12" s="118">
        <v>4.75</v>
      </c>
      <c r="AU12" s="118">
        <v>0.4</v>
      </c>
      <c r="AV12" s="118">
        <v>0.2</v>
      </c>
      <c r="AW12" s="118">
        <v>100</v>
      </c>
      <c r="AX12" s="118">
        <v>2.6</v>
      </c>
      <c r="AY12" s="118">
        <v>6.95</v>
      </c>
      <c r="AZ12" s="118">
        <v>0.05</v>
      </c>
      <c r="BA12" s="118">
        <v>7.7</v>
      </c>
      <c r="BB12" s="118">
        <v>0.01</v>
      </c>
      <c r="BC12" s="118">
        <v>0.1</v>
      </c>
      <c r="BD12" s="118">
        <v>0</v>
      </c>
      <c r="BE12" s="118">
        <v>0</v>
      </c>
      <c r="BF12" s="118">
        <v>0</v>
      </c>
      <c r="BG12" s="118">
        <v>0.3</v>
      </c>
      <c r="BH12" s="12">
        <v>0</v>
      </c>
      <c r="BI12" s="12">
        <v>0</v>
      </c>
      <c r="BJ12" s="12">
        <v>0</v>
      </c>
      <c r="BK12" s="12">
        <v>0</v>
      </c>
      <c r="BL12" s="12">
        <v>0</v>
      </c>
      <c r="BM12" s="12">
        <v>0</v>
      </c>
      <c r="BN12" s="12">
        <v>0</v>
      </c>
      <c r="BO12" s="12" t="s">
        <v>1513</v>
      </c>
    </row>
    <row r="13" spans="1:67" x14ac:dyDescent="0.3">
      <c r="A13" s="12">
        <v>8</v>
      </c>
      <c r="B13" s="12" t="s">
        <v>410</v>
      </c>
      <c r="C13" s="118">
        <v>60</v>
      </c>
      <c r="D13" s="118">
        <v>0.25</v>
      </c>
      <c r="E13" s="118">
        <v>25</v>
      </c>
      <c r="F13" s="118">
        <v>6</v>
      </c>
      <c r="G13" s="118">
        <v>5</v>
      </c>
      <c r="H13" s="118">
        <v>0.55000000000000004</v>
      </c>
      <c r="I13" s="118">
        <v>15.01</v>
      </c>
      <c r="J13" s="118">
        <v>50.95</v>
      </c>
      <c r="K13" s="118">
        <v>1</v>
      </c>
      <c r="L13" s="118">
        <v>2</v>
      </c>
      <c r="M13" s="141">
        <v>3</v>
      </c>
      <c r="N13" s="118">
        <v>7.0000000000000001E-3</v>
      </c>
      <c r="O13" s="118">
        <v>0.85</v>
      </c>
      <c r="P13" s="118">
        <v>8</v>
      </c>
      <c r="Q13" s="118">
        <v>2.5</v>
      </c>
      <c r="R13" s="118">
        <v>2.2000000000000002</v>
      </c>
      <c r="S13" s="119">
        <v>660.81</v>
      </c>
      <c r="T13" s="119">
        <v>2.87E-2</v>
      </c>
      <c r="U13" s="119">
        <v>5.5999999999999999E-3</v>
      </c>
      <c r="V13" s="119">
        <v>7.1000000000000004E-3</v>
      </c>
      <c r="W13" s="119">
        <v>0.22</v>
      </c>
      <c r="X13" s="119">
        <v>0.6</v>
      </c>
      <c r="Y13" s="119">
        <v>8.7100000000000009</v>
      </c>
      <c r="Z13" s="119">
        <v>271.22000000000003</v>
      </c>
      <c r="AA13" s="119">
        <v>5</v>
      </c>
      <c r="AB13" s="119">
        <v>0.06</v>
      </c>
      <c r="AC13" s="119">
        <v>0.05</v>
      </c>
      <c r="AD13" s="119">
        <v>2.3E-2</v>
      </c>
      <c r="AE13" s="119">
        <v>1.46E-2</v>
      </c>
      <c r="AF13" s="119">
        <v>6.3E-3</v>
      </c>
      <c r="AG13" s="119">
        <v>2.8999999999999998E-3</v>
      </c>
      <c r="AH13" s="119">
        <v>2.3E-3</v>
      </c>
      <c r="AI13" s="119">
        <v>2.9000000000000001E-2</v>
      </c>
      <c r="AJ13" s="119">
        <v>0.02</v>
      </c>
      <c r="AK13" s="119">
        <v>0.01</v>
      </c>
      <c r="AL13" s="119">
        <v>3.39</v>
      </c>
      <c r="AM13" s="119">
        <v>3.39</v>
      </c>
      <c r="AN13" s="119">
        <v>1.61</v>
      </c>
      <c r="AO13" s="12">
        <v>4</v>
      </c>
      <c r="AP13" s="118">
        <v>5.15</v>
      </c>
      <c r="AQ13" s="118">
        <v>15.95</v>
      </c>
      <c r="AR13" s="118">
        <v>7</v>
      </c>
      <c r="AS13" s="118">
        <v>0.5</v>
      </c>
      <c r="AT13" s="118">
        <v>4.75</v>
      </c>
      <c r="AU13" s="118">
        <v>0.4</v>
      </c>
      <c r="AV13" s="118">
        <v>0.2</v>
      </c>
      <c r="AW13" s="118">
        <v>100</v>
      </c>
      <c r="AX13" s="118">
        <v>2.63</v>
      </c>
      <c r="AY13" s="118">
        <v>6.99</v>
      </c>
      <c r="AZ13" s="118">
        <v>0.05</v>
      </c>
      <c r="BA13" s="118">
        <v>7.7</v>
      </c>
      <c r="BB13" s="118">
        <v>0.01</v>
      </c>
      <c r="BC13" s="118">
        <v>0.1</v>
      </c>
      <c r="BD13" s="118">
        <v>0</v>
      </c>
      <c r="BE13" s="118">
        <v>0</v>
      </c>
      <c r="BF13" s="118">
        <v>0</v>
      </c>
      <c r="BG13" s="118">
        <v>0.3</v>
      </c>
      <c r="BH13" s="12">
        <v>0</v>
      </c>
      <c r="BI13" s="12">
        <v>0</v>
      </c>
      <c r="BJ13" s="12">
        <v>0</v>
      </c>
      <c r="BK13" s="12">
        <v>0</v>
      </c>
      <c r="BL13" s="12">
        <v>0</v>
      </c>
      <c r="BM13" s="12">
        <v>0</v>
      </c>
      <c r="BN13" s="12">
        <v>0</v>
      </c>
      <c r="BO13" s="12" t="s">
        <v>3827</v>
      </c>
    </row>
    <row r="14" spans="1:67" x14ac:dyDescent="0.3">
      <c r="A14" s="12">
        <v>9</v>
      </c>
      <c r="B14" s="12" t="s">
        <v>411</v>
      </c>
      <c r="C14" s="118">
        <v>30</v>
      </c>
      <c r="D14" s="118">
        <v>0.4</v>
      </c>
      <c r="E14" s="118">
        <v>125</v>
      </c>
      <c r="F14" s="118">
        <v>100</v>
      </c>
      <c r="G14" s="118">
        <v>0</v>
      </c>
      <c r="H14" s="118">
        <v>0.55000000000000004</v>
      </c>
      <c r="I14" s="118">
        <v>15.01</v>
      </c>
      <c r="J14" s="118">
        <v>50.95</v>
      </c>
      <c r="K14" s="118">
        <v>1</v>
      </c>
      <c r="L14" s="118">
        <v>1</v>
      </c>
      <c r="M14" s="141">
        <v>3</v>
      </c>
      <c r="N14" s="118">
        <v>1.2999999999999999E-2</v>
      </c>
      <c r="O14" s="118">
        <v>0.85</v>
      </c>
      <c r="P14" s="118">
        <v>0.01</v>
      </c>
      <c r="Q14" s="118">
        <v>2</v>
      </c>
      <c r="R14" s="118">
        <v>10</v>
      </c>
      <c r="S14" s="119">
        <v>660.35</v>
      </c>
      <c r="T14" s="119">
        <v>2.8000000000000001E-2</v>
      </c>
      <c r="U14" s="119">
        <v>6.0000000000000001E-3</v>
      </c>
      <c r="V14" s="119">
        <v>7.0000000000000001E-3</v>
      </c>
      <c r="W14" s="119">
        <v>0.3</v>
      </c>
      <c r="X14" s="119">
        <v>0.6</v>
      </c>
      <c r="Y14" s="119">
        <v>4.41</v>
      </c>
      <c r="Z14" s="119">
        <v>190</v>
      </c>
      <c r="AA14" s="119">
        <v>5</v>
      </c>
      <c r="AB14" s="119">
        <v>0.06</v>
      </c>
      <c r="AC14" s="119">
        <v>0.05</v>
      </c>
      <c r="AD14" s="119">
        <v>2.3E-2</v>
      </c>
      <c r="AE14" s="119">
        <v>1.4999999999999999E-2</v>
      </c>
      <c r="AF14" s="119">
        <v>6.0000000000000001E-3</v>
      </c>
      <c r="AG14" s="119">
        <v>3.0000000000000001E-3</v>
      </c>
      <c r="AH14" s="119">
        <v>2E-3</v>
      </c>
      <c r="AI14" s="119">
        <v>2.9000000000000001E-2</v>
      </c>
      <c r="AJ14" s="119">
        <v>0.02</v>
      </c>
      <c r="AK14" s="119">
        <v>0.01</v>
      </c>
      <c r="AL14" s="119">
        <v>1.1379999999999999</v>
      </c>
      <c r="AM14" s="119">
        <v>0.60299999999999998</v>
      </c>
      <c r="AN14" s="119">
        <v>0.33200000000000002</v>
      </c>
      <c r="AO14" s="12">
        <v>4</v>
      </c>
      <c r="AP14" s="118">
        <v>5.15</v>
      </c>
      <c r="AQ14" s="118">
        <v>15.95</v>
      </c>
      <c r="AR14" s="118">
        <v>7</v>
      </c>
      <c r="AS14" s="118">
        <v>0.5</v>
      </c>
      <c r="AT14" s="118">
        <v>4.75</v>
      </c>
      <c r="AU14" s="118">
        <v>0.4</v>
      </c>
      <c r="AV14" s="118">
        <v>0.2</v>
      </c>
      <c r="AW14" s="118">
        <v>0</v>
      </c>
      <c r="AX14" s="118">
        <v>1.1000000000000001</v>
      </c>
      <c r="AY14" s="118">
        <v>4.9000000000000004</v>
      </c>
      <c r="AZ14" s="118">
        <v>0.05</v>
      </c>
      <c r="BA14" s="118">
        <v>7.7</v>
      </c>
      <c r="BB14" s="118">
        <v>0.01</v>
      </c>
      <c r="BC14" s="118">
        <v>0.1</v>
      </c>
      <c r="BD14" s="118">
        <v>0</v>
      </c>
      <c r="BE14" s="118">
        <v>0</v>
      </c>
      <c r="BF14" s="118">
        <v>0</v>
      </c>
      <c r="BG14" s="118">
        <v>0.3</v>
      </c>
      <c r="BH14" s="12">
        <v>0</v>
      </c>
      <c r="BI14" s="12">
        <v>0</v>
      </c>
      <c r="BJ14" s="12">
        <v>0</v>
      </c>
      <c r="BK14" s="12">
        <v>0</v>
      </c>
      <c r="BL14" s="12">
        <v>0</v>
      </c>
      <c r="BM14" s="12">
        <v>0</v>
      </c>
      <c r="BN14" s="12">
        <v>0</v>
      </c>
      <c r="BO14" s="12" t="s">
        <v>1514</v>
      </c>
    </row>
    <row r="15" spans="1:67" x14ac:dyDescent="0.3">
      <c r="A15" s="12">
        <v>10</v>
      </c>
      <c r="B15" s="12" t="s">
        <v>412</v>
      </c>
      <c r="C15" s="118">
        <v>35</v>
      </c>
      <c r="D15" s="118">
        <v>0.45</v>
      </c>
      <c r="E15" s="118">
        <v>15</v>
      </c>
      <c r="F15" s="118">
        <v>0</v>
      </c>
      <c r="G15" s="118">
        <v>6</v>
      </c>
      <c r="H15" s="118">
        <v>0.6</v>
      </c>
      <c r="I15" s="118">
        <v>15.01</v>
      </c>
      <c r="J15" s="118">
        <v>50.95</v>
      </c>
      <c r="K15" s="118">
        <v>1</v>
      </c>
      <c r="L15" s="118">
        <v>1</v>
      </c>
      <c r="M15" s="141">
        <v>2</v>
      </c>
      <c r="N15" s="118">
        <v>7.0000000000000001E-3</v>
      </c>
      <c r="O15" s="118">
        <v>0.85</v>
      </c>
      <c r="P15" s="118">
        <v>90</v>
      </c>
      <c r="Q15" s="118">
        <v>1</v>
      </c>
      <c r="R15" s="118">
        <v>2</v>
      </c>
      <c r="S15" s="119">
        <v>660.47</v>
      </c>
      <c r="T15" s="119">
        <v>2.4899999999999999E-2</v>
      </c>
      <c r="U15" s="119">
        <v>3.3E-3</v>
      </c>
      <c r="V15" s="119">
        <v>4.1999999999999997E-3</v>
      </c>
      <c r="W15" s="119">
        <v>0.21</v>
      </c>
      <c r="X15" s="119">
        <v>0.6</v>
      </c>
      <c r="Y15" s="119">
        <v>0.26</v>
      </c>
      <c r="Z15" s="119">
        <v>153.62</v>
      </c>
      <c r="AA15" s="119">
        <v>20</v>
      </c>
      <c r="AB15" s="119">
        <v>0.12</v>
      </c>
      <c r="AC15" s="119">
        <v>0.06</v>
      </c>
      <c r="AD15" s="119">
        <v>2.3E-2</v>
      </c>
      <c r="AE15" s="119">
        <v>1.34E-2</v>
      </c>
      <c r="AF15" s="119">
        <v>8.3999999999999995E-3</v>
      </c>
      <c r="AG15" s="119">
        <v>3.2000000000000002E-3</v>
      </c>
      <c r="AH15" s="119">
        <v>1.9E-3</v>
      </c>
      <c r="AI15" s="119">
        <v>4.4999999999999998E-2</v>
      </c>
      <c r="AJ15" s="119">
        <v>2.5000000000000001E-2</v>
      </c>
      <c r="AK15" s="119">
        <v>1.15E-2</v>
      </c>
      <c r="AL15" s="119">
        <v>3.39</v>
      </c>
      <c r="AM15" s="119">
        <v>3.39</v>
      </c>
      <c r="AN15" s="119">
        <v>1.61</v>
      </c>
      <c r="AO15" s="12">
        <v>5</v>
      </c>
      <c r="AP15" s="118">
        <v>5.01</v>
      </c>
      <c r="AQ15" s="118">
        <v>15.1</v>
      </c>
      <c r="AR15" s="118">
        <v>6</v>
      </c>
      <c r="AS15" s="118">
        <v>0.5</v>
      </c>
      <c r="AT15" s="118">
        <v>4.75</v>
      </c>
      <c r="AU15" s="118">
        <v>0.4</v>
      </c>
      <c r="AV15" s="118">
        <v>0.2</v>
      </c>
      <c r="AW15" s="118">
        <v>100</v>
      </c>
      <c r="AX15" s="118">
        <v>125.6</v>
      </c>
      <c r="AY15" s="118">
        <v>250.95</v>
      </c>
      <c r="AZ15" s="118">
        <v>7.0000000000000007E-2</v>
      </c>
      <c r="BA15" s="118">
        <v>6</v>
      </c>
      <c r="BB15" s="118">
        <v>0.01</v>
      </c>
      <c r="BC15" s="118">
        <v>0.1</v>
      </c>
      <c r="BD15" s="118">
        <v>0</v>
      </c>
      <c r="BE15" s="118">
        <v>0</v>
      </c>
      <c r="BF15" s="118">
        <v>0</v>
      </c>
      <c r="BG15" s="118">
        <v>0.11</v>
      </c>
      <c r="BH15" s="12">
        <v>1</v>
      </c>
      <c r="BI15" s="12">
        <v>0</v>
      </c>
      <c r="BJ15" s="12">
        <v>0</v>
      </c>
      <c r="BK15" s="12">
        <v>0</v>
      </c>
      <c r="BL15" s="12">
        <v>0</v>
      </c>
      <c r="BM15" s="12">
        <v>0</v>
      </c>
      <c r="BN15" s="12">
        <v>0</v>
      </c>
      <c r="BO15" s="12" t="s">
        <v>1515</v>
      </c>
    </row>
    <row r="16" spans="1:67" x14ac:dyDescent="0.3">
      <c r="A16" s="12">
        <v>11</v>
      </c>
      <c r="B16" s="12" t="s">
        <v>413</v>
      </c>
      <c r="C16" s="118">
        <v>35</v>
      </c>
      <c r="D16" s="118">
        <v>0.45</v>
      </c>
      <c r="E16" s="118">
        <v>20</v>
      </c>
      <c r="F16" s="118">
        <v>5</v>
      </c>
      <c r="G16" s="118">
        <v>6</v>
      </c>
      <c r="H16" s="118">
        <v>0.6</v>
      </c>
      <c r="I16" s="118">
        <v>15.01</v>
      </c>
      <c r="J16" s="118">
        <v>50.95</v>
      </c>
      <c r="K16" s="118">
        <v>1</v>
      </c>
      <c r="L16" s="118">
        <v>1</v>
      </c>
      <c r="M16" s="141">
        <v>2</v>
      </c>
      <c r="N16" s="118">
        <v>7.0000000000000001E-3</v>
      </c>
      <c r="O16" s="118">
        <v>0.85</v>
      </c>
      <c r="P16" s="118">
        <v>90</v>
      </c>
      <c r="Q16" s="118">
        <v>1</v>
      </c>
      <c r="R16" s="118">
        <v>2</v>
      </c>
      <c r="S16" s="119">
        <v>660.41</v>
      </c>
      <c r="T16" s="119">
        <v>3.0300000000000001E-2</v>
      </c>
      <c r="U16" s="119">
        <v>3.8E-3</v>
      </c>
      <c r="V16" s="119">
        <v>3.8999999999999998E-3</v>
      </c>
      <c r="W16" s="119">
        <v>0.21</v>
      </c>
      <c r="X16" s="119">
        <v>0.6</v>
      </c>
      <c r="Y16" s="119">
        <v>0.22</v>
      </c>
      <c r="Z16" s="119">
        <v>157.66</v>
      </c>
      <c r="AA16" s="119">
        <v>20</v>
      </c>
      <c r="AB16" s="119">
        <v>0.12</v>
      </c>
      <c r="AC16" s="119">
        <v>6.6299999999999998E-2</v>
      </c>
      <c r="AD16" s="119">
        <v>2.5000000000000001E-2</v>
      </c>
      <c r="AE16" s="119">
        <v>1.4800000000000001E-2</v>
      </c>
      <c r="AF16" s="119">
        <v>8.3999999999999995E-3</v>
      </c>
      <c r="AG16" s="119">
        <v>3.2000000000000002E-3</v>
      </c>
      <c r="AH16" s="119">
        <v>1.9E-3</v>
      </c>
      <c r="AI16" s="119">
        <v>4.4999999999999998E-2</v>
      </c>
      <c r="AJ16" s="119">
        <v>2.5000000000000001E-2</v>
      </c>
      <c r="AK16" s="119">
        <v>1.15E-2</v>
      </c>
      <c r="AL16" s="119">
        <v>3.39</v>
      </c>
      <c r="AM16" s="119">
        <v>3.39</v>
      </c>
      <c r="AN16" s="119">
        <v>1.61</v>
      </c>
      <c r="AO16" s="12">
        <v>5</v>
      </c>
      <c r="AP16" s="118">
        <v>5.01</v>
      </c>
      <c r="AQ16" s="118">
        <v>15.1</v>
      </c>
      <c r="AR16" s="118">
        <v>10</v>
      </c>
      <c r="AS16" s="118">
        <v>0.5</v>
      </c>
      <c r="AT16" s="118">
        <v>4.75</v>
      </c>
      <c r="AU16" s="118">
        <v>0.4</v>
      </c>
      <c r="AV16" s="118">
        <v>0.2</v>
      </c>
      <c r="AW16" s="118">
        <v>0</v>
      </c>
      <c r="AX16" s="118">
        <v>125.6</v>
      </c>
      <c r="AY16" s="118">
        <v>250.95</v>
      </c>
      <c r="AZ16" s="118">
        <v>7.0000000000000007E-2</v>
      </c>
      <c r="BA16" s="118">
        <v>6</v>
      </c>
      <c r="BB16" s="118">
        <v>0.01</v>
      </c>
      <c r="BC16" s="118">
        <v>0.1</v>
      </c>
      <c r="BD16" s="118">
        <v>0</v>
      </c>
      <c r="BE16" s="118">
        <v>0</v>
      </c>
      <c r="BF16" s="118">
        <v>0</v>
      </c>
      <c r="BG16" s="118">
        <v>0.13</v>
      </c>
      <c r="BH16" s="12">
        <v>1</v>
      </c>
      <c r="BI16" s="12">
        <v>0</v>
      </c>
      <c r="BJ16" s="12">
        <v>0</v>
      </c>
      <c r="BK16" s="12">
        <v>0</v>
      </c>
      <c r="BL16" s="12">
        <v>0</v>
      </c>
      <c r="BM16" s="12">
        <v>0</v>
      </c>
      <c r="BN16" s="12">
        <v>0</v>
      </c>
      <c r="BO16" s="12" t="s">
        <v>1516</v>
      </c>
    </row>
    <row r="17" spans="1:67" x14ac:dyDescent="0.3">
      <c r="A17" s="12">
        <v>12</v>
      </c>
      <c r="B17" s="12" t="s">
        <v>414</v>
      </c>
      <c r="C17" s="118">
        <v>35</v>
      </c>
      <c r="D17" s="118">
        <v>0.42</v>
      </c>
      <c r="E17" s="118">
        <v>15</v>
      </c>
      <c r="F17" s="118">
        <v>0</v>
      </c>
      <c r="G17" s="118">
        <v>5</v>
      </c>
      <c r="H17" s="118">
        <v>0.6</v>
      </c>
      <c r="I17" s="118">
        <v>15.01</v>
      </c>
      <c r="J17" s="118">
        <v>45.95</v>
      </c>
      <c r="K17" s="118">
        <v>1</v>
      </c>
      <c r="L17" s="118">
        <v>1</v>
      </c>
      <c r="M17" s="141">
        <v>2</v>
      </c>
      <c r="N17" s="118">
        <v>7.0000000000000001E-3</v>
      </c>
      <c r="O17" s="118">
        <v>0.85</v>
      </c>
      <c r="P17" s="118">
        <v>90</v>
      </c>
      <c r="Q17" s="118">
        <v>1</v>
      </c>
      <c r="R17" s="118">
        <v>2</v>
      </c>
      <c r="S17" s="119">
        <v>660.47</v>
      </c>
      <c r="T17" s="119">
        <v>3.0300000000000001E-2</v>
      </c>
      <c r="U17" s="119">
        <v>3.8E-3</v>
      </c>
      <c r="V17" s="119">
        <v>3.8999999999999998E-3</v>
      </c>
      <c r="W17" s="119">
        <v>0.21</v>
      </c>
      <c r="X17" s="119">
        <v>0.6</v>
      </c>
      <c r="Y17" s="119">
        <v>0.26</v>
      </c>
      <c r="Z17" s="119">
        <v>157.66</v>
      </c>
      <c r="AA17" s="119">
        <v>20</v>
      </c>
      <c r="AB17" s="119">
        <v>0.12</v>
      </c>
      <c r="AC17" s="119">
        <v>6.6299999999999998E-2</v>
      </c>
      <c r="AD17" s="119">
        <v>2.5000000000000001E-2</v>
      </c>
      <c r="AE17" s="119">
        <v>1.4800000000000001E-2</v>
      </c>
      <c r="AF17" s="119">
        <v>8.3999999999999995E-3</v>
      </c>
      <c r="AG17" s="119">
        <v>3.2000000000000002E-3</v>
      </c>
      <c r="AH17" s="119">
        <v>1.9E-3</v>
      </c>
      <c r="AI17" s="119">
        <v>4.4999999999999998E-2</v>
      </c>
      <c r="AJ17" s="119">
        <v>2.5000000000000001E-2</v>
      </c>
      <c r="AK17" s="119">
        <v>1.15E-2</v>
      </c>
      <c r="AL17" s="119">
        <v>3.39</v>
      </c>
      <c r="AM17" s="119">
        <v>3.39</v>
      </c>
      <c r="AN17" s="119">
        <v>1.61</v>
      </c>
      <c r="AO17" s="12">
        <v>5</v>
      </c>
      <c r="AP17" s="118">
        <v>5.01</v>
      </c>
      <c r="AQ17" s="118">
        <v>15.1</v>
      </c>
      <c r="AR17" s="118">
        <v>8</v>
      </c>
      <c r="AS17" s="118">
        <v>0.5</v>
      </c>
      <c r="AT17" s="118">
        <v>4.75</v>
      </c>
      <c r="AU17" s="118">
        <v>0.4</v>
      </c>
      <c r="AV17" s="118">
        <v>0.2</v>
      </c>
      <c r="AW17" s="118">
        <v>100</v>
      </c>
      <c r="AX17" s="118">
        <v>125.6</v>
      </c>
      <c r="AY17" s="118">
        <v>250.95</v>
      </c>
      <c r="AZ17" s="118">
        <v>7.0000000000000007E-2</v>
      </c>
      <c r="BA17" s="118">
        <v>6</v>
      </c>
      <c r="BB17" s="118">
        <v>0.01</v>
      </c>
      <c r="BC17" s="118">
        <v>0.1</v>
      </c>
      <c r="BD17" s="118">
        <v>0</v>
      </c>
      <c r="BE17" s="118">
        <v>0</v>
      </c>
      <c r="BF17" s="118">
        <v>0</v>
      </c>
      <c r="BG17" s="118">
        <v>0.13</v>
      </c>
      <c r="BH17" s="12">
        <v>1</v>
      </c>
      <c r="BI17" s="12">
        <v>0</v>
      </c>
      <c r="BJ17" s="12">
        <v>0</v>
      </c>
      <c r="BK17" s="12">
        <v>0</v>
      </c>
      <c r="BL17" s="12">
        <v>0</v>
      </c>
      <c r="BM17" s="12">
        <v>0</v>
      </c>
      <c r="BN17" s="12">
        <v>0</v>
      </c>
      <c r="BO17" s="12" t="s">
        <v>3828</v>
      </c>
    </row>
    <row r="18" spans="1:67" x14ac:dyDescent="0.3">
      <c r="A18" s="12">
        <v>13</v>
      </c>
      <c r="B18" s="12" t="s">
        <v>415</v>
      </c>
      <c r="C18" s="118">
        <v>30</v>
      </c>
      <c r="D18" s="118">
        <v>0.4</v>
      </c>
      <c r="E18" s="118">
        <v>15</v>
      </c>
      <c r="F18" s="118">
        <v>0</v>
      </c>
      <c r="G18" s="118">
        <v>5</v>
      </c>
      <c r="H18" s="118">
        <v>0.6</v>
      </c>
      <c r="I18" s="118">
        <v>15.01</v>
      </c>
      <c r="J18" s="118">
        <v>50.95</v>
      </c>
      <c r="K18" s="118">
        <v>1</v>
      </c>
      <c r="L18" s="118">
        <v>1</v>
      </c>
      <c r="M18" s="141">
        <v>2</v>
      </c>
      <c r="N18" s="118">
        <v>7.0000000000000001E-3</v>
      </c>
      <c r="O18" s="118">
        <v>0.85</v>
      </c>
      <c r="P18" s="118">
        <v>90</v>
      </c>
      <c r="Q18" s="118">
        <v>1</v>
      </c>
      <c r="R18" s="118">
        <v>2</v>
      </c>
      <c r="S18" s="119">
        <v>660.41</v>
      </c>
      <c r="T18" s="119">
        <v>2.63E-2</v>
      </c>
      <c r="U18" s="119">
        <v>5.7000000000000002E-3</v>
      </c>
      <c r="V18" s="119">
        <v>4.7999999999999996E-3</v>
      </c>
      <c r="W18" s="119">
        <v>0.2</v>
      </c>
      <c r="X18" s="119">
        <v>0.6</v>
      </c>
      <c r="Y18" s="119">
        <v>0.26</v>
      </c>
      <c r="Z18" s="119">
        <v>154.35</v>
      </c>
      <c r="AA18" s="119">
        <v>20</v>
      </c>
      <c r="AB18" s="119">
        <v>0.12</v>
      </c>
      <c r="AC18" s="119">
        <v>5.1799999999999999E-2</v>
      </c>
      <c r="AD18" s="119">
        <v>1.9900000000000001E-2</v>
      </c>
      <c r="AE18" s="119">
        <v>1.1599999999999999E-2</v>
      </c>
      <c r="AF18" s="119">
        <v>8.8999999999999999E-3</v>
      </c>
      <c r="AG18" s="119">
        <v>3.3999999999999998E-3</v>
      </c>
      <c r="AH18" s="119">
        <v>2E-3</v>
      </c>
      <c r="AI18" s="119">
        <v>4.4999999999999998E-2</v>
      </c>
      <c r="AJ18" s="119">
        <v>2.5000000000000001E-2</v>
      </c>
      <c r="AK18" s="119">
        <v>1.15E-2</v>
      </c>
      <c r="AL18" s="119">
        <v>3.39</v>
      </c>
      <c r="AM18" s="119">
        <v>3.39</v>
      </c>
      <c r="AN18" s="119">
        <v>1.61</v>
      </c>
      <c r="AO18" s="12">
        <v>5</v>
      </c>
      <c r="AP18" s="118">
        <v>5.01</v>
      </c>
      <c r="AQ18" s="118">
        <v>15.1</v>
      </c>
      <c r="AR18" s="118">
        <v>7</v>
      </c>
      <c r="AS18" s="118">
        <v>0.5</v>
      </c>
      <c r="AT18" s="118">
        <v>4.75</v>
      </c>
      <c r="AU18" s="118">
        <v>0.4</v>
      </c>
      <c r="AV18" s="118">
        <v>0.2</v>
      </c>
      <c r="AW18" s="118">
        <v>100</v>
      </c>
      <c r="AX18" s="118">
        <v>125.6</v>
      </c>
      <c r="AY18" s="118">
        <v>250.95</v>
      </c>
      <c r="AZ18" s="118">
        <v>7.0000000000000007E-2</v>
      </c>
      <c r="BA18" s="118">
        <v>6</v>
      </c>
      <c r="BB18" s="118">
        <v>0.01</v>
      </c>
      <c r="BC18" s="118">
        <v>0.1</v>
      </c>
      <c r="BD18" s="118">
        <v>0</v>
      </c>
      <c r="BE18" s="118">
        <v>0</v>
      </c>
      <c r="BF18" s="118">
        <v>0</v>
      </c>
      <c r="BG18" s="118">
        <v>0.3</v>
      </c>
      <c r="BH18" s="12">
        <v>1</v>
      </c>
      <c r="BI18" s="12">
        <v>0</v>
      </c>
      <c r="BJ18" s="12">
        <v>0</v>
      </c>
      <c r="BK18" s="12">
        <v>0</v>
      </c>
      <c r="BL18" s="12">
        <v>0</v>
      </c>
      <c r="BM18" s="12">
        <v>0</v>
      </c>
      <c r="BN18" s="12">
        <v>0</v>
      </c>
      <c r="BO18" s="12" t="s">
        <v>1517</v>
      </c>
    </row>
    <row r="19" spans="1:67" x14ac:dyDescent="0.3">
      <c r="A19" s="12">
        <v>14</v>
      </c>
      <c r="B19" s="12" t="s">
        <v>416</v>
      </c>
      <c r="C19" s="118">
        <v>30</v>
      </c>
      <c r="D19" s="118">
        <v>0.4</v>
      </c>
      <c r="E19" s="118">
        <v>15</v>
      </c>
      <c r="F19" s="118">
        <v>0</v>
      </c>
      <c r="G19" s="118">
        <v>6</v>
      </c>
      <c r="H19" s="118">
        <v>0.8</v>
      </c>
      <c r="I19" s="118">
        <v>15.01</v>
      </c>
      <c r="J19" s="118">
        <v>50.95</v>
      </c>
      <c r="K19" s="118">
        <v>1</v>
      </c>
      <c r="L19" s="118">
        <v>1</v>
      </c>
      <c r="M19" s="141">
        <v>2</v>
      </c>
      <c r="N19" s="118">
        <v>6.0000000000000001E-3</v>
      </c>
      <c r="O19" s="118">
        <v>0.85</v>
      </c>
      <c r="P19" s="118">
        <v>90</v>
      </c>
      <c r="Q19" s="118">
        <v>1</v>
      </c>
      <c r="R19" s="118">
        <v>2</v>
      </c>
      <c r="S19" s="119">
        <v>660.45</v>
      </c>
      <c r="T19" s="119">
        <v>2.3599999999999999E-2</v>
      </c>
      <c r="U19" s="119">
        <v>2.8999999999999998E-3</v>
      </c>
      <c r="V19" s="119">
        <v>6.0000000000000001E-3</v>
      </c>
      <c r="W19" s="119">
        <v>0.21</v>
      </c>
      <c r="X19" s="119">
        <v>0.6</v>
      </c>
      <c r="Y19" s="119">
        <v>0.27</v>
      </c>
      <c r="Z19" s="119">
        <v>122.19</v>
      </c>
      <c r="AA19" s="119">
        <v>20</v>
      </c>
      <c r="AB19" s="119">
        <v>0.12</v>
      </c>
      <c r="AC19" s="119">
        <v>5.8999999999999997E-2</v>
      </c>
      <c r="AD19" s="119">
        <v>2.1999999999999999E-2</v>
      </c>
      <c r="AE19" s="119">
        <v>1.3100000000000001E-2</v>
      </c>
      <c r="AF19" s="119">
        <v>5.7000000000000002E-3</v>
      </c>
      <c r="AG19" s="119">
        <v>2.2000000000000001E-3</v>
      </c>
      <c r="AH19" s="119">
        <v>1.2999999999999999E-3</v>
      </c>
      <c r="AI19" s="119">
        <v>4.4999999999999998E-2</v>
      </c>
      <c r="AJ19" s="119">
        <v>2.5000000000000001E-2</v>
      </c>
      <c r="AK19" s="119">
        <v>1.15E-2</v>
      </c>
      <c r="AL19" s="119">
        <v>3.39</v>
      </c>
      <c r="AM19" s="119">
        <v>3.39</v>
      </c>
      <c r="AN19" s="119">
        <v>1.61</v>
      </c>
      <c r="AO19" s="12">
        <v>5</v>
      </c>
      <c r="AP19" s="118">
        <v>5.01</v>
      </c>
      <c r="AQ19" s="118">
        <v>15.1</v>
      </c>
      <c r="AR19" s="118">
        <v>7</v>
      </c>
      <c r="AS19" s="118">
        <v>0.5</v>
      </c>
      <c r="AT19" s="118">
        <v>4.75</v>
      </c>
      <c r="AU19" s="118">
        <v>0.4</v>
      </c>
      <c r="AV19" s="118">
        <v>0.2</v>
      </c>
      <c r="AW19" s="118">
        <v>100</v>
      </c>
      <c r="AX19" s="118">
        <v>125.6</v>
      </c>
      <c r="AY19" s="118">
        <v>250.95</v>
      </c>
      <c r="AZ19" s="118">
        <v>0.05</v>
      </c>
      <c r="BA19" s="118">
        <v>8</v>
      </c>
      <c r="BB19" s="118">
        <v>0.01</v>
      </c>
      <c r="BC19" s="118">
        <v>0.1</v>
      </c>
      <c r="BD19" s="118">
        <v>0</v>
      </c>
      <c r="BE19" s="118">
        <v>0</v>
      </c>
      <c r="BF19" s="118">
        <v>0</v>
      </c>
      <c r="BG19" s="118">
        <v>0.11</v>
      </c>
      <c r="BH19" s="12">
        <v>1</v>
      </c>
      <c r="BI19" s="12">
        <v>0</v>
      </c>
      <c r="BJ19" s="12">
        <v>0</v>
      </c>
      <c r="BK19" s="12">
        <v>0</v>
      </c>
      <c r="BL19" s="12">
        <v>0</v>
      </c>
      <c r="BM19" s="12">
        <v>0</v>
      </c>
      <c r="BN19" s="12">
        <v>0</v>
      </c>
      <c r="BO19" s="12" t="s">
        <v>1518</v>
      </c>
    </row>
    <row r="20" spans="1:67" x14ac:dyDescent="0.3">
      <c r="A20" s="12">
        <v>15</v>
      </c>
      <c r="B20" s="12" t="s">
        <v>417</v>
      </c>
      <c r="C20" s="118">
        <v>35</v>
      </c>
      <c r="D20" s="118">
        <v>0.42</v>
      </c>
      <c r="E20" s="118">
        <v>15</v>
      </c>
      <c r="F20" s="118">
        <v>0</v>
      </c>
      <c r="G20" s="118">
        <v>3.5</v>
      </c>
      <c r="H20" s="118">
        <v>0.6</v>
      </c>
      <c r="I20" s="118">
        <v>20.100000000000001</v>
      </c>
      <c r="J20" s="118">
        <v>49.95</v>
      </c>
      <c r="K20" s="118">
        <v>1</v>
      </c>
      <c r="L20" s="118">
        <v>1</v>
      </c>
      <c r="M20" s="141">
        <v>2</v>
      </c>
      <c r="N20" s="118">
        <v>7.0000000000000001E-3</v>
      </c>
      <c r="O20" s="118">
        <v>0.85</v>
      </c>
      <c r="P20" s="118">
        <v>90</v>
      </c>
      <c r="Q20" s="118">
        <v>1.2</v>
      </c>
      <c r="R20" s="118">
        <v>2</v>
      </c>
      <c r="S20" s="119">
        <v>660.47</v>
      </c>
      <c r="T20" s="119">
        <v>2.3599999999999999E-2</v>
      </c>
      <c r="U20" s="119">
        <v>2.8999999999999998E-3</v>
      </c>
      <c r="V20" s="119">
        <v>5.0000000000000001E-3</v>
      </c>
      <c r="W20" s="119">
        <v>0.21</v>
      </c>
      <c r="X20" s="119">
        <v>0.6</v>
      </c>
      <c r="Y20" s="119">
        <v>0.27</v>
      </c>
      <c r="Z20" s="119">
        <v>122.19</v>
      </c>
      <c r="AA20" s="119">
        <v>20</v>
      </c>
      <c r="AB20" s="119">
        <v>0.12</v>
      </c>
      <c r="AC20" s="119">
        <v>5.8999999999999997E-2</v>
      </c>
      <c r="AD20" s="119">
        <v>2.1999999999999999E-2</v>
      </c>
      <c r="AE20" s="119">
        <v>1.3100000000000001E-2</v>
      </c>
      <c r="AF20" s="119">
        <v>5.7000000000000002E-3</v>
      </c>
      <c r="AG20" s="119">
        <v>2.2000000000000001E-3</v>
      </c>
      <c r="AH20" s="119">
        <v>1.2999999999999999E-3</v>
      </c>
      <c r="AI20" s="119">
        <v>4.4999999999999998E-2</v>
      </c>
      <c r="AJ20" s="119">
        <v>2.5000000000000001E-2</v>
      </c>
      <c r="AK20" s="119">
        <v>1.15E-2</v>
      </c>
      <c r="AL20" s="119">
        <v>3.39</v>
      </c>
      <c r="AM20" s="119">
        <v>3.39</v>
      </c>
      <c r="AN20" s="119">
        <v>1.61</v>
      </c>
      <c r="AO20" s="12">
        <v>5</v>
      </c>
      <c r="AP20" s="118">
        <v>5.01</v>
      </c>
      <c r="AQ20" s="118">
        <v>15.1</v>
      </c>
      <c r="AR20" s="118">
        <v>8</v>
      </c>
      <c r="AS20" s="118">
        <v>0.5</v>
      </c>
      <c r="AT20" s="118">
        <v>4.75</v>
      </c>
      <c r="AU20" s="118">
        <v>0.4</v>
      </c>
      <c r="AV20" s="118">
        <v>0.2</v>
      </c>
      <c r="AW20" s="118">
        <v>100</v>
      </c>
      <c r="AX20" s="118">
        <v>125.6</v>
      </c>
      <c r="AY20" s="118">
        <v>250.95</v>
      </c>
      <c r="AZ20" s="118">
        <v>0.05</v>
      </c>
      <c r="BA20" s="118">
        <v>8</v>
      </c>
      <c r="BB20" s="118">
        <v>0.01</v>
      </c>
      <c r="BC20" s="118">
        <v>0.1</v>
      </c>
      <c r="BD20" s="118">
        <v>0</v>
      </c>
      <c r="BE20" s="118">
        <v>0</v>
      </c>
      <c r="BF20" s="118">
        <v>0</v>
      </c>
      <c r="BG20" s="118">
        <v>0.11</v>
      </c>
      <c r="BH20" s="12">
        <v>1</v>
      </c>
      <c r="BI20" s="12">
        <v>0</v>
      </c>
      <c r="BJ20" s="12">
        <v>0</v>
      </c>
      <c r="BK20" s="12">
        <v>0</v>
      </c>
      <c r="BL20" s="12">
        <v>0</v>
      </c>
      <c r="BM20" s="12">
        <v>0</v>
      </c>
      <c r="BN20" s="12">
        <v>0</v>
      </c>
      <c r="BO20" s="12" t="s">
        <v>3829</v>
      </c>
    </row>
    <row r="21" spans="1:67" s="156" customFormat="1" x14ac:dyDescent="0.3">
      <c r="A21" s="12">
        <v>16</v>
      </c>
      <c r="B21" s="12" t="s">
        <v>418</v>
      </c>
      <c r="C21" s="118">
        <v>35</v>
      </c>
      <c r="D21" s="118">
        <v>0.42</v>
      </c>
      <c r="E21" s="118">
        <v>15</v>
      </c>
      <c r="F21" s="118">
        <v>0</v>
      </c>
      <c r="G21" s="118">
        <v>6</v>
      </c>
      <c r="H21" s="118">
        <v>0.8</v>
      </c>
      <c r="I21" s="118">
        <v>15.01</v>
      </c>
      <c r="J21" s="118">
        <v>50.95</v>
      </c>
      <c r="K21" s="118">
        <v>1</v>
      </c>
      <c r="L21" s="118">
        <v>1</v>
      </c>
      <c r="M21" s="141">
        <v>2</v>
      </c>
      <c r="N21" s="118">
        <v>7.0000000000000001E-3</v>
      </c>
      <c r="O21" s="118">
        <v>0.85</v>
      </c>
      <c r="P21" s="118">
        <v>90</v>
      </c>
      <c r="Q21" s="118">
        <v>1</v>
      </c>
      <c r="R21" s="118">
        <v>2</v>
      </c>
      <c r="S21" s="119">
        <v>660.47</v>
      </c>
      <c r="T21" s="119">
        <v>3.1600000000000003E-2</v>
      </c>
      <c r="U21" s="119">
        <v>5.7000000000000002E-3</v>
      </c>
      <c r="V21" s="119">
        <v>4.7000000000000002E-3</v>
      </c>
      <c r="W21" s="119">
        <v>0.21</v>
      </c>
      <c r="X21" s="119">
        <v>0.6</v>
      </c>
      <c r="Y21" s="119">
        <v>0.03</v>
      </c>
      <c r="Z21" s="119">
        <v>124.03</v>
      </c>
      <c r="AA21" s="119">
        <v>20</v>
      </c>
      <c r="AB21" s="119">
        <v>0.1</v>
      </c>
      <c r="AC21" s="119">
        <v>5.8000000000000003E-2</v>
      </c>
      <c r="AD21" s="119">
        <v>2.24E-2</v>
      </c>
      <c r="AE21" s="119">
        <v>1.2999999999999999E-2</v>
      </c>
      <c r="AF21" s="119">
        <v>5.3E-3</v>
      </c>
      <c r="AG21" s="119">
        <v>2E-3</v>
      </c>
      <c r="AH21" s="119">
        <v>1.1999999999999999E-3</v>
      </c>
      <c r="AI21" s="119">
        <v>4.4999999999999998E-2</v>
      </c>
      <c r="AJ21" s="119">
        <v>2.5000000000000001E-2</v>
      </c>
      <c r="AK21" s="119">
        <v>1.15E-2</v>
      </c>
      <c r="AL21" s="119">
        <v>3.39</v>
      </c>
      <c r="AM21" s="119">
        <v>3.39</v>
      </c>
      <c r="AN21" s="119">
        <v>1.61</v>
      </c>
      <c r="AO21" s="12">
        <v>5</v>
      </c>
      <c r="AP21" s="118">
        <v>5.01</v>
      </c>
      <c r="AQ21" s="118">
        <v>15.1</v>
      </c>
      <c r="AR21" s="118">
        <v>7</v>
      </c>
      <c r="AS21" s="118">
        <v>0.5</v>
      </c>
      <c r="AT21" s="118">
        <v>4.75</v>
      </c>
      <c r="AU21" s="118">
        <v>0.4</v>
      </c>
      <c r="AV21" s="118">
        <v>0.2</v>
      </c>
      <c r="AW21" s="118">
        <v>100</v>
      </c>
      <c r="AX21" s="118">
        <v>125.6</v>
      </c>
      <c r="AY21" s="118">
        <v>250.95</v>
      </c>
      <c r="AZ21" s="118">
        <v>7.0000000000000007E-2</v>
      </c>
      <c r="BA21" s="118">
        <v>8</v>
      </c>
      <c r="BB21" s="118">
        <v>0.01</v>
      </c>
      <c r="BC21" s="118">
        <v>0.1</v>
      </c>
      <c r="BD21" s="118">
        <v>0</v>
      </c>
      <c r="BE21" s="118">
        <v>0</v>
      </c>
      <c r="BF21" s="118">
        <v>0</v>
      </c>
      <c r="BG21" s="118">
        <v>0.12</v>
      </c>
      <c r="BH21" s="12">
        <v>1</v>
      </c>
      <c r="BI21" s="12">
        <v>0</v>
      </c>
      <c r="BJ21" s="12">
        <v>0</v>
      </c>
      <c r="BK21" s="12">
        <v>0</v>
      </c>
      <c r="BL21" s="12">
        <v>0</v>
      </c>
      <c r="BM21" s="12">
        <v>0</v>
      </c>
      <c r="BN21" s="12">
        <v>0</v>
      </c>
      <c r="BO21" s="12" t="s">
        <v>418</v>
      </c>
    </row>
    <row r="22" spans="1:67" x14ac:dyDescent="0.3">
      <c r="A22" s="12">
        <v>17</v>
      </c>
      <c r="B22" s="12" t="s">
        <v>419</v>
      </c>
      <c r="C22" s="118">
        <v>35</v>
      </c>
      <c r="D22" s="118">
        <v>0.42</v>
      </c>
      <c r="E22" s="118">
        <v>15</v>
      </c>
      <c r="F22" s="118">
        <v>0</v>
      </c>
      <c r="G22" s="118">
        <v>5</v>
      </c>
      <c r="H22" s="118">
        <v>0.6</v>
      </c>
      <c r="I22" s="118">
        <v>15.01</v>
      </c>
      <c r="J22" s="118">
        <v>45.95</v>
      </c>
      <c r="K22" s="118">
        <v>1</v>
      </c>
      <c r="L22" s="118">
        <v>1</v>
      </c>
      <c r="M22" s="141">
        <v>2</v>
      </c>
      <c r="N22" s="118">
        <v>7.0000000000000001E-3</v>
      </c>
      <c r="O22" s="118">
        <v>0.85</v>
      </c>
      <c r="P22" s="118">
        <v>90</v>
      </c>
      <c r="Q22" s="118">
        <v>1.2</v>
      </c>
      <c r="R22" s="118">
        <v>2</v>
      </c>
      <c r="S22" s="119">
        <v>660.47</v>
      </c>
      <c r="T22" s="119">
        <v>3.1600000000000003E-2</v>
      </c>
      <c r="U22" s="119">
        <v>5.7000000000000002E-3</v>
      </c>
      <c r="V22" s="119">
        <v>4.7000000000000002E-3</v>
      </c>
      <c r="W22" s="119">
        <v>0.21</v>
      </c>
      <c r="X22" s="119">
        <v>0.6</v>
      </c>
      <c r="Y22" s="119">
        <v>0.03</v>
      </c>
      <c r="Z22" s="119">
        <v>124.03</v>
      </c>
      <c r="AA22" s="119">
        <v>20</v>
      </c>
      <c r="AB22" s="119">
        <v>0.1</v>
      </c>
      <c r="AC22" s="119">
        <v>5.8000000000000003E-2</v>
      </c>
      <c r="AD22" s="119">
        <v>2.24E-2</v>
      </c>
      <c r="AE22" s="119">
        <v>1.2999999999999999E-2</v>
      </c>
      <c r="AF22" s="119">
        <v>5.3E-3</v>
      </c>
      <c r="AG22" s="119">
        <v>2E-3</v>
      </c>
      <c r="AH22" s="119">
        <v>1.1999999999999999E-3</v>
      </c>
      <c r="AI22" s="119">
        <v>4.4999999999999998E-2</v>
      </c>
      <c r="AJ22" s="119">
        <v>2.5000000000000001E-2</v>
      </c>
      <c r="AK22" s="119">
        <v>1.15E-2</v>
      </c>
      <c r="AL22" s="119">
        <v>3.39</v>
      </c>
      <c r="AM22" s="119">
        <v>3.39</v>
      </c>
      <c r="AN22" s="119">
        <v>1.61</v>
      </c>
      <c r="AO22" s="12">
        <v>5</v>
      </c>
      <c r="AP22" s="118">
        <v>5.01</v>
      </c>
      <c r="AQ22" s="118">
        <v>15.1</v>
      </c>
      <c r="AR22" s="118">
        <v>8</v>
      </c>
      <c r="AS22" s="118">
        <v>0.5</v>
      </c>
      <c r="AT22" s="118">
        <v>4.75</v>
      </c>
      <c r="AU22" s="118">
        <v>0.4</v>
      </c>
      <c r="AV22" s="118">
        <v>0.2</v>
      </c>
      <c r="AW22" s="118">
        <v>100</v>
      </c>
      <c r="AX22" s="118">
        <v>125.6</v>
      </c>
      <c r="AY22" s="118">
        <v>250.95</v>
      </c>
      <c r="AZ22" s="118">
        <v>7.0000000000000007E-2</v>
      </c>
      <c r="BA22" s="118">
        <v>8</v>
      </c>
      <c r="BB22" s="118">
        <v>0.01</v>
      </c>
      <c r="BC22" s="118">
        <v>0.1</v>
      </c>
      <c r="BD22" s="118">
        <v>0</v>
      </c>
      <c r="BE22" s="118">
        <v>0</v>
      </c>
      <c r="BF22" s="118">
        <v>0</v>
      </c>
      <c r="BG22" s="118">
        <v>0.12</v>
      </c>
      <c r="BH22" s="12">
        <v>1</v>
      </c>
      <c r="BI22" s="12">
        <v>0</v>
      </c>
      <c r="BJ22" s="12">
        <v>0</v>
      </c>
      <c r="BK22" s="12">
        <v>0</v>
      </c>
      <c r="BL22" s="12">
        <v>0</v>
      </c>
      <c r="BM22" s="12">
        <v>0</v>
      </c>
      <c r="BN22" s="12">
        <v>0</v>
      </c>
      <c r="BO22" s="12" t="s">
        <v>3830</v>
      </c>
    </row>
    <row r="23" spans="1:67" x14ac:dyDescent="0.3">
      <c r="A23" s="12">
        <v>18</v>
      </c>
      <c r="B23" s="12" t="s">
        <v>420</v>
      </c>
      <c r="C23" s="118">
        <v>25</v>
      </c>
      <c r="D23" s="118">
        <v>0.2</v>
      </c>
      <c r="E23" s="118">
        <v>25</v>
      </c>
      <c r="F23" s="118">
        <v>10</v>
      </c>
      <c r="G23" s="118">
        <v>6</v>
      </c>
      <c r="H23" s="118">
        <v>0.8</v>
      </c>
      <c r="I23" s="118">
        <v>15.01</v>
      </c>
      <c r="J23" s="118">
        <v>50.95</v>
      </c>
      <c r="K23" s="118">
        <v>0.5</v>
      </c>
      <c r="L23" s="118">
        <v>0.5</v>
      </c>
      <c r="M23" s="141">
        <v>3</v>
      </c>
      <c r="N23" s="118">
        <v>8.0000000000000002E-3</v>
      </c>
      <c r="O23" s="118">
        <v>1</v>
      </c>
      <c r="P23" s="118">
        <v>50</v>
      </c>
      <c r="Q23" s="118">
        <v>0.8</v>
      </c>
      <c r="R23" s="118">
        <v>2</v>
      </c>
      <c r="S23" s="119">
        <v>660.34</v>
      </c>
      <c r="T23" s="119">
        <v>1.3599999999999999E-2</v>
      </c>
      <c r="U23" s="119">
        <v>1.2999999999999999E-3</v>
      </c>
      <c r="V23" s="119">
        <v>1.2999999999999999E-3</v>
      </c>
      <c r="W23" s="119">
        <v>0.05</v>
      </c>
      <c r="X23" s="119">
        <v>0.6</v>
      </c>
      <c r="Y23" s="119">
        <v>0.85</v>
      </c>
      <c r="Z23" s="119">
        <v>86.88</v>
      </c>
      <c r="AA23" s="119">
        <v>20</v>
      </c>
      <c r="AB23" s="119">
        <v>0.14000000000000001</v>
      </c>
      <c r="AC23" s="119">
        <v>0.05</v>
      </c>
      <c r="AD23" s="119">
        <v>0.02</v>
      </c>
      <c r="AE23" s="119">
        <v>0.01</v>
      </c>
      <c r="AF23" s="119">
        <v>6.0000000000000001E-3</v>
      </c>
      <c r="AG23" s="119">
        <v>3.0000000000000001E-3</v>
      </c>
      <c r="AH23" s="119">
        <v>1.8E-3</v>
      </c>
      <c r="AI23" s="119">
        <v>3.3000000000000002E-2</v>
      </c>
      <c r="AJ23" s="119">
        <v>2.9000000000000001E-2</v>
      </c>
      <c r="AK23" s="119">
        <v>2.4E-2</v>
      </c>
      <c r="AL23" s="119">
        <v>3.39</v>
      </c>
      <c r="AM23" s="119">
        <v>3.39</v>
      </c>
      <c r="AN23" s="119">
        <v>1.61</v>
      </c>
      <c r="AO23" s="12">
        <v>4</v>
      </c>
      <c r="AP23" s="118">
        <v>5.05</v>
      </c>
      <c r="AQ23" s="118">
        <v>15.95</v>
      </c>
      <c r="AR23" s="118">
        <v>5</v>
      </c>
      <c r="AS23" s="118">
        <v>0.5</v>
      </c>
      <c r="AT23" s="118">
        <v>4.75</v>
      </c>
      <c r="AU23" s="118">
        <v>0.4</v>
      </c>
      <c r="AV23" s="118">
        <v>0.2</v>
      </c>
      <c r="AW23" s="118">
        <v>100</v>
      </c>
      <c r="AX23" s="118">
        <v>125.6</v>
      </c>
      <c r="AY23" s="118">
        <v>250.95</v>
      </c>
      <c r="AZ23" s="118">
        <v>0.12</v>
      </c>
      <c r="BA23" s="118">
        <v>3</v>
      </c>
      <c r="BB23" s="118">
        <v>0.01</v>
      </c>
      <c r="BC23" s="118">
        <v>0.1</v>
      </c>
      <c r="BD23" s="118">
        <v>0</v>
      </c>
      <c r="BE23" s="118">
        <v>0</v>
      </c>
      <c r="BF23" s="118">
        <v>0</v>
      </c>
      <c r="BG23" s="118">
        <v>0.3</v>
      </c>
      <c r="BH23" s="12">
        <v>1</v>
      </c>
      <c r="BI23" s="12">
        <v>0</v>
      </c>
      <c r="BJ23" s="12">
        <v>0</v>
      </c>
      <c r="BK23" s="12">
        <v>0</v>
      </c>
      <c r="BL23" s="12">
        <v>0</v>
      </c>
      <c r="BM23" s="12">
        <v>0</v>
      </c>
      <c r="BN23" s="12">
        <v>0</v>
      </c>
      <c r="BO23" s="12" t="s">
        <v>420</v>
      </c>
    </row>
    <row r="24" spans="1:67" x14ac:dyDescent="0.3">
      <c r="A24" s="12">
        <v>19</v>
      </c>
      <c r="B24" s="12" t="s">
        <v>421</v>
      </c>
      <c r="C24" s="118">
        <v>35</v>
      </c>
      <c r="D24" s="118">
        <v>0.4</v>
      </c>
      <c r="E24" s="118">
        <v>12.5</v>
      </c>
      <c r="F24" s="118">
        <v>0</v>
      </c>
      <c r="G24" s="118">
        <v>6</v>
      </c>
      <c r="H24" s="118">
        <v>0.8</v>
      </c>
      <c r="I24" s="118">
        <v>15.01</v>
      </c>
      <c r="J24" s="118">
        <v>50.95</v>
      </c>
      <c r="K24" s="118">
        <v>1</v>
      </c>
      <c r="L24" s="118">
        <v>1</v>
      </c>
      <c r="M24" s="141">
        <v>2</v>
      </c>
      <c r="N24" s="118">
        <v>6.0000000000000001E-3</v>
      </c>
      <c r="O24" s="118">
        <v>0.85</v>
      </c>
      <c r="P24" s="118">
        <v>90</v>
      </c>
      <c r="Q24" s="118">
        <v>1</v>
      </c>
      <c r="R24" s="118">
        <v>2</v>
      </c>
      <c r="S24" s="119">
        <v>660.47</v>
      </c>
      <c r="T24" s="119">
        <v>2.8400000000000002E-2</v>
      </c>
      <c r="U24" s="119">
        <v>4.1999999999999997E-3</v>
      </c>
      <c r="V24" s="119">
        <v>3.0000000000000001E-3</v>
      </c>
      <c r="W24" s="119">
        <v>0.2</v>
      </c>
      <c r="X24" s="119">
        <v>0.6</v>
      </c>
      <c r="Y24" s="119">
        <v>2.38</v>
      </c>
      <c r="Z24" s="119">
        <v>98.04</v>
      </c>
      <c r="AA24" s="119">
        <v>75</v>
      </c>
      <c r="AB24" s="119">
        <v>0.12</v>
      </c>
      <c r="AC24" s="119">
        <v>5.6000000000000001E-2</v>
      </c>
      <c r="AD24" s="119">
        <v>2.1499999999999998E-2</v>
      </c>
      <c r="AE24" s="119">
        <v>1.2500000000000001E-2</v>
      </c>
      <c r="AF24" s="119">
        <v>6.6E-3</v>
      </c>
      <c r="AG24" s="119">
        <v>2.5000000000000001E-3</v>
      </c>
      <c r="AH24" s="119">
        <v>1.5E-3</v>
      </c>
      <c r="AI24" s="119">
        <v>1.7999999999999999E-2</v>
      </c>
      <c r="AJ24" s="119">
        <v>1.4999999999999999E-2</v>
      </c>
      <c r="AK24" s="119">
        <v>1.2E-2</v>
      </c>
      <c r="AL24" s="119">
        <v>3.39</v>
      </c>
      <c r="AM24" s="119">
        <v>3.39</v>
      </c>
      <c r="AN24" s="119">
        <v>1.61</v>
      </c>
      <c r="AO24" s="12">
        <v>5</v>
      </c>
      <c r="AP24" s="118">
        <v>5.01</v>
      </c>
      <c r="AQ24" s="118">
        <v>15.1</v>
      </c>
      <c r="AR24" s="118">
        <v>7</v>
      </c>
      <c r="AS24" s="118">
        <v>0.5</v>
      </c>
      <c r="AT24" s="118">
        <v>4.75</v>
      </c>
      <c r="AU24" s="118">
        <v>0.4</v>
      </c>
      <c r="AV24" s="118">
        <v>0.2</v>
      </c>
      <c r="AW24" s="118">
        <v>100</v>
      </c>
      <c r="AX24" s="118">
        <v>125.6</v>
      </c>
      <c r="AY24" s="118">
        <v>250.95</v>
      </c>
      <c r="AZ24" s="118">
        <v>0.08</v>
      </c>
      <c r="BA24" s="118">
        <v>5.6</v>
      </c>
      <c r="BB24" s="118">
        <v>0.01</v>
      </c>
      <c r="BC24" s="118">
        <v>0.1</v>
      </c>
      <c r="BD24" s="118">
        <v>0</v>
      </c>
      <c r="BE24" s="118">
        <v>0</v>
      </c>
      <c r="BF24" s="118">
        <v>0</v>
      </c>
      <c r="BG24" s="118">
        <v>0.3</v>
      </c>
      <c r="BH24" s="12">
        <v>1</v>
      </c>
      <c r="BI24" s="12">
        <v>0</v>
      </c>
      <c r="BJ24" s="12">
        <v>0</v>
      </c>
      <c r="BK24" s="12">
        <v>0</v>
      </c>
      <c r="BL24" s="12">
        <v>0</v>
      </c>
      <c r="BM24" s="12">
        <v>0</v>
      </c>
      <c r="BN24" s="12">
        <v>0</v>
      </c>
      <c r="BO24" s="12" t="s">
        <v>421</v>
      </c>
    </row>
    <row r="25" spans="1:67" x14ac:dyDescent="0.3">
      <c r="A25" s="12">
        <v>20</v>
      </c>
      <c r="B25" s="12" t="s">
        <v>422</v>
      </c>
      <c r="C25" s="118">
        <v>20</v>
      </c>
      <c r="D25" s="118">
        <v>0.55000000000000004</v>
      </c>
      <c r="E25" s="118">
        <v>14</v>
      </c>
      <c r="F25" s="118">
        <v>1</v>
      </c>
      <c r="G25" s="118">
        <v>4</v>
      </c>
      <c r="H25" s="118">
        <v>0.9</v>
      </c>
      <c r="I25" s="118">
        <v>15.02</v>
      </c>
      <c r="J25" s="118">
        <v>50.95</v>
      </c>
      <c r="K25" s="118">
        <v>1</v>
      </c>
      <c r="L25" s="118">
        <v>0.5</v>
      </c>
      <c r="M25" s="141">
        <v>2</v>
      </c>
      <c r="N25" s="118">
        <v>0.01</v>
      </c>
      <c r="O25" s="118">
        <v>0.85</v>
      </c>
      <c r="P25" s="118">
        <v>140</v>
      </c>
      <c r="Q25" s="118">
        <v>0.8</v>
      </c>
      <c r="R25" s="118">
        <v>2</v>
      </c>
      <c r="S25" s="119">
        <v>660.27</v>
      </c>
      <c r="T25" s="119">
        <v>4.1200000000000001E-2</v>
      </c>
      <c r="U25" s="119">
        <v>5.4999999999999997E-3</v>
      </c>
      <c r="V25" s="119">
        <v>1.14E-2</v>
      </c>
      <c r="W25" s="119">
        <v>0.38</v>
      </c>
      <c r="X25" s="119">
        <v>0.6</v>
      </c>
      <c r="Y25" s="119">
        <v>0.69</v>
      </c>
      <c r="Z25" s="119">
        <v>24</v>
      </c>
      <c r="AA25" s="119">
        <v>75</v>
      </c>
      <c r="AB25" s="119">
        <v>0.12</v>
      </c>
      <c r="AC25" s="119">
        <v>0.04</v>
      </c>
      <c r="AD25" s="119">
        <v>2.5999999999999999E-2</v>
      </c>
      <c r="AE25" s="119">
        <v>2.3199999999999998E-2</v>
      </c>
      <c r="AF25" s="119">
        <v>7.0000000000000001E-3</v>
      </c>
      <c r="AG25" s="119">
        <v>4.0000000000000001E-3</v>
      </c>
      <c r="AH25" s="119">
        <v>3.0000000000000001E-3</v>
      </c>
      <c r="AI25" s="119">
        <v>4.4999999999999998E-2</v>
      </c>
      <c r="AJ25" s="119">
        <v>0.04</v>
      </c>
      <c r="AK25" s="119">
        <v>3.5000000000000003E-2</v>
      </c>
      <c r="AL25" s="119">
        <v>3.39</v>
      </c>
      <c r="AM25" s="119">
        <v>3.39</v>
      </c>
      <c r="AN25" s="119">
        <v>1.61</v>
      </c>
      <c r="AO25" s="12">
        <v>2</v>
      </c>
      <c r="AP25" s="118">
        <v>5.01</v>
      </c>
      <c r="AQ25" s="118">
        <v>15.1</v>
      </c>
      <c r="AR25" s="118">
        <v>4</v>
      </c>
      <c r="AS25" s="118">
        <v>0.5</v>
      </c>
      <c r="AT25" s="118">
        <v>4.75</v>
      </c>
      <c r="AU25" s="118">
        <v>0.4</v>
      </c>
      <c r="AV25" s="118">
        <v>0.2</v>
      </c>
      <c r="AW25" s="118">
        <v>100</v>
      </c>
      <c r="AX25" s="118">
        <v>20.2</v>
      </c>
      <c r="AY25" s="118">
        <v>100.9</v>
      </c>
      <c r="AZ25" s="118">
        <v>0.1</v>
      </c>
      <c r="BA25" s="118">
        <v>2.5</v>
      </c>
      <c r="BB25" s="118">
        <v>0.01</v>
      </c>
      <c r="BC25" s="118">
        <v>0.1</v>
      </c>
      <c r="BD25" s="118">
        <v>0</v>
      </c>
      <c r="BE25" s="118">
        <v>0</v>
      </c>
      <c r="BF25" s="118">
        <v>0</v>
      </c>
      <c r="BG25" s="118">
        <v>0.3</v>
      </c>
      <c r="BH25" s="12">
        <v>1</v>
      </c>
      <c r="BI25" s="12">
        <v>0</v>
      </c>
      <c r="BJ25" s="12">
        <v>0</v>
      </c>
      <c r="BK25" s="12">
        <v>0</v>
      </c>
      <c r="BL25" s="12">
        <v>0</v>
      </c>
      <c r="BM25" s="12">
        <v>0</v>
      </c>
      <c r="BN25" s="12">
        <v>0</v>
      </c>
      <c r="BO25" s="12" t="s">
        <v>1519</v>
      </c>
    </row>
    <row r="26" spans="1:67" x14ac:dyDescent="0.3">
      <c r="A26" s="12">
        <v>21</v>
      </c>
      <c r="B26" s="12" t="s">
        <v>3797</v>
      </c>
      <c r="C26" s="118">
        <v>20</v>
      </c>
      <c r="D26" s="118">
        <v>0.55000000000000004</v>
      </c>
      <c r="E26" s="118">
        <v>14</v>
      </c>
      <c r="F26" s="118">
        <v>1</v>
      </c>
      <c r="G26" s="118">
        <v>5</v>
      </c>
      <c r="H26" s="118">
        <v>0.9</v>
      </c>
      <c r="I26" s="118">
        <v>15.02</v>
      </c>
      <c r="J26" s="118">
        <v>50.95</v>
      </c>
      <c r="K26" s="118">
        <v>1</v>
      </c>
      <c r="L26" s="118">
        <v>0.5</v>
      </c>
      <c r="M26" s="141">
        <v>3</v>
      </c>
      <c r="N26" s="118">
        <v>0.01</v>
      </c>
      <c r="O26" s="118">
        <v>0.9</v>
      </c>
      <c r="P26" s="118">
        <v>100</v>
      </c>
      <c r="Q26" s="118">
        <v>0.55000000000000004</v>
      </c>
      <c r="R26" s="118">
        <v>2</v>
      </c>
      <c r="S26" s="119">
        <v>660.27</v>
      </c>
      <c r="T26" s="119">
        <v>5.0599999999999999E-2</v>
      </c>
      <c r="U26" s="119">
        <v>5.1000000000000004E-3</v>
      </c>
      <c r="V26" s="119">
        <v>1.0200000000000001E-2</v>
      </c>
      <c r="W26" s="119">
        <v>0.38</v>
      </c>
      <c r="X26" s="119">
        <v>0.6</v>
      </c>
      <c r="Y26" s="119">
        <v>22.4</v>
      </c>
      <c r="Z26" s="119">
        <v>100</v>
      </c>
      <c r="AA26" s="119">
        <v>5</v>
      </c>
      <c r="AB26" s="119">
        <v>0.12</v>
      </c>
      <c r="AC26" s="119">
        <v>4.3999999999999997E-2</v>
      </c>
      <c r="AD26" s="119">
        <v>1.6400000000000001E-2</v>
      </c>
      <c r="AE26" s="119">
        <v>1.2800000000000001E-2</v>
      </c>
      <c r="AF26" s="119">
        <v>7.4000000000000003E-3</v>
      </c>
      <c r="AG26" s="119">
        <v>3.7000000000000002E-3</v>
      </c>
      <c r="AH26" s="119">
        <v>2.3E-3</v>
      </c>
      <c r="AI26" s="119">
        <v>1.4E-2</v>
      </c>
      <c r="AJ26" s="119">
        <v>1.2999999999999999E-2</v>
      </c>
      <c r="AK26" s="119">
        <v>1.2E-2</v>
      </c>
      <c r="AL26" s="119">
        <v>1.266</v>
      </c>
      <c r="AM26" s="119">
        <v>0.63300000000000001</v>
      </c>
      <c r="AN26" s="119">
        <v>0.72899999999999998</v>
      </c>
      <c r="AO26" s="12">
        <v>1</v>
      </c>
      <c r="AP26" s="118">
        <v>5.01</v>
      </c>
      <c r="AQ26" s="118">
        <v>15.1</v>
      </c>
      <c r="AR26" s="118">
        <v>4</v>
      </c>
      <c r="AS26" s="118">
        <v>0.5</v>
      </c>
      <c r="AT26" s="118">
        <v>4.75</v>
      </c>
      <c r="AU26" s="118">
        <v>0.4</v>
      </c>
      <c r="AV26" s="118">
        <v>0.2</v>
      </c>
      <c r="AW26" s="118">
        <v>100</v>
      </c>
      <c r="AX26" s="118">
        <v>20.2</v>
      </c>
      <c r="AY26" s="118">
        <v>100.9</v>
      </c>
      <c r="AZ26" s="118">
        <v>0.1</v>
      </c>
      <c r="BA26" s="118">
        <v>2.5</v>
      </c>
      <c r="BB26" s="118">
        <v>0.01</v>
      </c>
      <c r="BC26" s="118">
        <v>0.1</v>
      </c>
      <c r="BD26" s="118">
        <v>0</v>
      </c>
      <c r="BE26" s="118">
        <v>0</v>
      </c>
      <c r="BF26" s="118">
        <v>0</v>
      </c>
      <c r="BG26" s="118">
        <v>0.3</v>
      </c>
      <c r="BH26" s="12">
        <v>0</v>
      </c>
      <c r="BI26" s="12">
        <v>0</v>
      </c>
      <c r="BJ26" s="12">
        <v>0</v>
      </c>
      <c r="BK26" s="12">
        <v>0</v>
      </c>
      <c r="BL26" s="12">
        <v>0</v>
      </c>
      <c r="BM26" s="12">
        <v>0</v>
      </c>
      <c r="BN26" s="12">
        <v>0</v>
      </c>
      <c r="BO26" s="12" t="s">
        <v>3831</v>
      </c>
    </row>
    <row r="27" spans="1:67" x14ac:dyDescent="0.3">
      <c r="A27" s="12">
        <v>22</v>
      </c>
      <c r="B27" s="12" t="s">
        <v>423</v>
      </c>
      <c r="C27" s="118">
        <v>20</v>
      </c>
      <c r="D27" s="118">
        <v>0.55000000000000004</v>
      </c>
      <c r="E27" s="118">
        <v>14</v>
      </c>
      <c r="F27" s="118">
        <v>1</v>
      </c>
      <c r="G27" s="118">
        <v>4</v>
      </c>
      <c r="H27" s="118">
        <v>0.9</v>
      </c>
      <c r="I27" s="118">
        <v>15.02</v>
      </c>
      <c r="J27" s="118">
        <v>50.95</v>
      </c>
      <c r="K27" s="118">
        <v>1</v>
      </c>
      <c r="L27" s="118">
        <v>0.5</v>
      </c>
      <c r="M27" s="141">
        <v>3</v>
      </c>
      <c r="N27" s="118">
        <v>0.01</v>
      </c>
      <c r="O27" s="118">
        <v>0.9</v>
      </c>
      <c r="P27" s="118">
        <v>100</v>
      </c>
      <c r="Q27" s="118">
        <v>0.55000000000000004</v>
      </c>
      <c r="R27" s="118">
        <v>2</v>
      </c>
      <c r="S27" s="119">
        <v>660.27</v>
      </c>
      <c r="T27" s="119">
        <v>5.0599999999999999E-2</v>
      </c>
      <c r="U27" s="119">
        <v>5.1000000000000004E-3</v>
      </c>
      <c r="V27" s="119">
        <v>1.0200000000000001E-2</v>
      </c>
      <c r="W27" s="119">
        <v>0.38</v>
      </c>
      <c r="X27" s="119">
        <v>0.6</v>
      </c>
      <c r="Y27" s="119">
        <v>22.4</v>
      </c>
      <c r="Z27" s="119">
        <v>100</v>
      </c>
      <c r="AA27" s="119">
        <v>5</v>
      </c>
      <c r="AB27" s="119">
        <v>0.12</v>
      </c>
      <c r="AC27" s="119">
        <v>4.3999999999999997E-2</v>
      </c>
      <c r="AD27" s="119">
        <v>1.6400000000000001E-2</v>
      </c>
      <c r="AE27" s="119">
        <v>1.2800000000000001E-2</v>
      </c>
      <c r="AF27" s="119">
        <v>7.4000000000000003E-3</v>
      </c>
      <c r="AG27" s="119">
        <v>3.7000000000000002E-3</v>
      </c>
      <c r="AH27" s="119">
        <v>2.3E-3</v>
      </c>
      <c r="AI27" s="119">
        <v>1.4E-2</v>
      </c>
      <c r="AJ27" s="119">
        <v>1.2999999999999999E-2</v>
      </c>
      <c r="AK27" s="119">
        <v>1.2E-2</v>
      </c>
      <c r="AL27" s="119">
        <v>1.266</v>
      </c>
      <c r="AM27" s="119">
        <v>0.63300000000000001</v>
      </c>
      <c r="AN27" s="119">
        <v>0.72899999999999998</v>
      </c>
      <c r="AO27" s="12">
        <v>2</v>
      </c>
      <c r="AP27" s="118">
        <v>5.01</v>
      </c>
      <c r="AQ27" s="118">
        <v>15.1</v>
      </c>
      <c r="AR27" s="118">
        <v>4</v>
      </c>
      <c r="AS27" s="118">
        <v>0.5</v>
      </c>
      <c r="AT27" s="118">
        <v>4.75</v>
      </c>
      <c r="AU27" s="118">
        <v>0.4</v>
      </c>
      <c r="AV27" s="118">
        <v>0.2</v>
      </c>
      <c r="AW27" s="118">
        <v>100</v>
      </c>
      <c r="AX27" s="118">
        <v>20.2</v>
      </c>
      <c r="AY27" s="118">
        <v>100.9</v>
      </c>
      <c r="AZ27" s="118">
        <v>0.1</v>
      </c>
      <c r="BA27" s="118">
        <v>2.5</v>
      </c>
      <c r="BB27" s="118">
        <v>0.01</v>
      </c>
      <c r="BC27" s="118">
        <v>0.1</v>
      </c>
      <c r="BD27" s="118">
        <v>0</v>
      </c>
      <c r="BE27" s="118">
        <v>0</v>
      </c>
      <c r="BF27" s="118">
        <v>0</v>
      </c>
      <c r="BG27" s="118">
        <v>0.3</v>
      </c>
      <c r="BH27" s="12">
        <v>0</v>
      </c>
      <c r="BI27" s="12">
        <v>0</v>
      </c>
      <c r="BJ27" s="12">
        <v>0</v>
      </c>
      <c r="BK27" s="12">
        <v>0</v>
      </c>
      <c r="BL27" s="12">
        <v>0</v>
      </c>
      <c r="BM27" s="12">
        <v>0</v>
      </c>
      <c r="BN27" s="12">
        <v>0</v>
      </c>
      <c r="BO27" s="12" t="s">
        <v>3831</v>
      </c>
    </row>
    <row r="28" spans="1:67" x14ac:dyDescent="0.3">
      <c r="A28" s="12">
        <v>23</v>
      </c>
      <c r="B28" s="12" t="s">
        <v>424</v>
      </c>
      <c r="C28" s="118">
        <v>34</v>
      </c>
      <c r="D28" s="118">
        <v>0.3</v>
      </c>
      <c r="E28" s="118">
        <v>21</v>
      </c>
      <c r="F28" s="118">
        <v>5</v>
      </c>
      <c r="G28" s="118">
        <v>4.5</v>
      </c>
      <c r="H28" s="118">
        <v>0.49</v>
      </c>
      <c r="I28" s="118">
        <v>15.02</v>
      </c>
      <c r="J28" s="118">
        <v>45.95</v>
      </c>
      <c r="K28" s="118">
        <v>0.2</v>
      </c>
      <c r="L28" s="118">
        <v>0.3</v>
      </c>
      <c r="M28" s="141">
        <v>3</v>
      </c>
      <c r="N28" s="118">
        <v>7.7999999999999996E-3</v>
      </c>
      <c r="O28" s="118">
        <v>0.9</v>
      </c>
      <c r="P28" s="118">
        <v>100</v>
      </c>
      <c r="Q28" s="118">
        <v>1.3</v>
      </c>
      <c r="R28" s="118">
        <v>1.4</v>
      </c>
      <c r="S28" s="119">
        <v>660.46</v>
      </c>
      <c r="T28" s="119">
        <v>3.5999999999999997E-2</v>
      </c>
      <c r="U28" s="119">
        <v>8.3999999999999995E-3</v>
      </c>
      <c r="V28" s="119">
        <v>3.7999999999999999E-2</v>
      </c>
      <c r="W28" s="119">
        <v>0.21</v>
      </c>
      <c r="X28" s="119">
        <v>0.6</v>
      </c>
      <c r="Y28" s="119">
        <v>10.75</v>
      </c>
      <c r="Z28" s="119">
        <v>147.74</v>
      </c>
      <c r="AA28" s="119">
        <v>5</v>
      </c>
      <c r="AB28" s="119">
        <v>0.12</v>
      </c>
      <c r="AC28" s="119">
        <v>4.3999999999999997E-2</v>
      </c>
      <c r="AD28" s="119">
        <v>1.6400000000000001E-2</v>
      </c>
      <c r="AE28" s="119">
        <v>1.2800000000000001E-2</v>
      </c>
      <c r="AF28" s="119">
        <v>7.4000000000000003E-3</v>
      </c>
      <c r="AG28" s="119">
        <v>3.7000000000000002E-3</v>
      </c>
      <c r="AH28" s="119">
        <v>2.3E-3</v>
      </c>
      <c r="AI28" s="119">
        <v>4.3999999999999997E-2</v>
      </c>
      <c r="AJ28" s="119">
        <v>1.6E-2</v>
      </c>
      <c r="AK28" s="119">
        <v>1.2999999999999999E-2</v>
      </c>
      <c r="AL28" s="119">
        <v>1.266</v>
      </c>
      <c r="AM28" s="119">
        <v>0.63300000000000001</v>
      </c>
      <c r="AN28" s="119">
        <v>0.72899999999999998</v>
      </c>
      <c r="AO28" s="12">
        <v>5</v>
      </c>
      <c r="AP28" s="118">
        <v>5.05</v>
      </c>
      <c r="AQ28" s="118">
        <v>15.1</v>
      </c>
      <c r="AR28" s="118">
        <v>10</v>
      </c>
      <c r="AS28" s="118">
        <v>0.5</v>
      </c>
      <c r="AT28" s="118">
        <v>4.75</v>
      </c>
      <c r="AU28" s="118">
        <v>0.4</v>
      </c>
      <c r="AV28" s="118">
        <v>0.2</v>
      </c>
      <c r="AW28" s="118">
        <v>100</v>
      </c>
      <c r="AX28" s="118">
        <v>20.2</v>
      </c>
      <c r="AY28" s="118">
        <v>100.9</v>
      </c>
      <c r="AZ28" s="118">
        <v>0.1</v>
      </c>
      <c r="BA28" s="118">
        <v>2.5</v>
      </c>
      <c r="BB28" s="118">
        <v>0.01</v>
      </c>
      <c r="BC28" s="118">
        <v>0.1</v>
      </c>
      <c r="BD28" s="118">
        <v>0</v>
      </c>
      <c r="BE28" s="118">
        <v>0</v>
      </c>
      <c r="BF28" s="118">
        <v>0</v>
      </c>
      <c r="BG28" s="118">
        <v>0.3</v>
      </c>
      <c r="BH28" s="12">
        <v>0</v>
      </c>
      <c r="BI28" s="12">
        <v>0</v>
      </c>
      <c r="BJ28" s="12">
        <v>0</v>
      </c>
      <c r="BK28" s="12">
        <v>0</v>
      </c>
      <c r="BL28" s="12">
        <v>0</v>
      </c>
      <c r="BM28" s="12">
        <v>0</v>
      </c>
      <c r="BN28" s="12">
        <v>0</v>
      </c>
      <c r="BO28" s="12" t="s">
        <v>1520</v>
      </c>
    </row>
    <row r="29" spans="1:67" x14ac:dyDescent="0.3">
      <c r="A29" s="12">
        <v>24</v>
      </c>
      <c r="B29" s="12" t="s">
        <v>425</v>
      </c>
      <c r="C29" s="118">
        <v>34</v>
      </c>
      <c r="D29" s="118">
        <v>0.23</v>
      </c>
      <c r="E29" s="118">
        <v>21</v>
      </c>
      <c r="F29" s="118">
        <v>5</v>
      </c>
      <c r="G29" s="118">
        <v>3.5</v>
      </c>
      <c r="H29" s="118">
        <v>0.5</v>
      </c>
      <c r="I29" s="118">
        <v>15.02</v>
      </c>
      <c r="J29" s="118">
        <v>45.95</v>
      </c>
      <c r="K29" s="118">
        <v>0.2</v>
      </c>
      <c r="L29" s="118">
        <v>0.3</v>
      </c>
      <c r="M29" s="141">
        <v>3</v>
      </c>
      <c r="N29" s="118">
        <v>7.7999999999999996E-3</v>
      </c>
      <c r="O29" s="118">
        <v>0.9</v>
      </c>
      <c r="P29" s="118">
        <v>100</v>
      </c>
      <c r="Q29" s="118">
        <v>0.9</v>
      </c>
      <c r="R29" s="118">
        <v>0.9</v>
      </c>
      <c r="S29" s="119">
        <v>660.46</v>
      </c>
      <c r="T29" s="119">
        <v>3.5999999999999997E-2</v>
      </c>
      <c r="U29" s="119">
        <v>8.3999999999999995E-3</v>
      </c>
      <c r="V29" s="119">
        <v>3.7999999999999999E-2</v>
      </c>
      <c r="W29" s="119">
        <v>0.16</v>
      </c>
      <c r="X29" s="119">
        <v>0.6</v>
      </c>
      <c r="Y29" s="119">
        <v>10.75</v>
      </c>
      <c r="Z29" s="119">
        <v>147.74</v>
      </c>
      <c r="AA29" s="119">
        <v>5</v>
      </c>
      <c r="AB29" s="119">
        <v>0.12</v>
      </c>
      <c r="AC29" s="119">
        <v>4.3999999999999997E-2</v>
      </c>
      <c r="AD29" s="119">
        <v>1.8200000000000001E-2</v>
      </c>
      <c r="AE29" s="119">
        <v>1.6400000000000001E-2</v>
      </c>
      <c r="AF29" s="119">
        <v>7.3000000000000001E-3</v>
      </c>
      <c r="AG29" s="119">
        <v>3.7000000000000002E-3</v>
      </c>
      <c r="AH29" s="119">
        <v>2.3E-3</v>
      </c>
      <c r="AI29" s="119">
        <v>4.3999999999999997E-2</v>
      </c>
      <c r="AJ29" s="119">
        <v>1.6E-2</v>
      </c>
      <c r="AK29" s="119">
        <v>1.2999999999999999E-2</v>
      </c>
      <c r="AL29" s="119">
        <v>1.266</v>
      </c>
      <c r="AM29" s="119">
        <v>0.63300000000000001</v>
      </c>
      <c r="AN29" s="119">
        <v>0.72899999999999998</v>
      </c>
      <c r="AO29" s="12">
        <v>5</v>
      </c>
      <c r="AP29" s="118">
        <v>5.05</v>
      </c>
      <c r="AQ29" s="118">
        <v>15.1</v>
      </c>
      <c r="AR29" s="118">
        <v>10</v>
      </c>
      <c r="AS29" s="118">
        <v>0.5</v>
      </c>
      <c r="AT29" s="118">
        <v>4.75</v>
      </c>
      <c r="AU29" s="118">
        <v>0.4</v>
      </c>
      <c r="AV29" s="118">
        <v>0.2</v>
      </c>
      <c r="AW29" s="118">
        <v>100</v>
      </c>
      <c r="AX29" s="118">
        <v>20.2</v>
      </c>
      <c r="AY29" s="118">
        <v>100.9</v>
      </c>
      <c r="AZ29" s="118">
        <v>0.1</v>
      </c>
      <c r="BA29" s="118">
        <v>2.5</v>
      </c>
      <c r="BB29" s="118">
        <v>0.01</v>
      </c>
      <c r="BC29" s="118">
        <v>0.1</v>
      </c>
      <c r="BD29" s="118">
        <v>0</v>
      </c>
      <c r="BE29" s="118">
        <v>0</v>
      </c>
      <c r="BF29" s="118">
        <v>0</v>
      </c>
      <c r="BG29" s="118">
        <v>0.3</v>
      </c>
      <c r="BH29" s="12">
        <v>0</v>
      </c>
      <c r="BI29" s="12">
        <v>0</v>
      </c>
      <c r="BJ29" s="12">
        <v>0</v>
      </c>
      <c r="BK29" s="12">
        <v>0</v>
      </c>
      <c r="BL29" s="12">
        <v>0</v>
      </c>
      <c r="BM29" s="12">
        <v>0</v>
      </c>
      <c r="BN29" s="12">
        <v>0</v>
      </c>
      <c r="BO29" s="12" t="s">
        <v>1521</v>
      </c>
    </row>
    <row r="30" spans="1:67" x14ac:dyDescent="0.3">
      <c r="A30" s="12">
        <v>25</v>
      </c>
      <c r="B30" s="12" t="s">
        <v>426</v>
      </c>
      <c r="C30" s="118">
        <v>25</v>
      </c>
      <c r="D30" s="118">
        <v>0.54</v>
      </c>
      <c r="E30" s="118">
        <v>22.5</v>
      </c>
      <c r="F30" s="118">
        <v>5</v>
      </c>
      <c r="G30" s="118">
        <v>2.5</v>
      </c>
      <c r="H30" s="118">
        <v>0.9</v>
      </c>
      <c r="I30" s="118">
        <v>15.02</v>
      </c>
      <c r="J30" s="118">
        <v>50.95</v>
      </c>
      <c r="K30" s="118">
        <v>1</v>
      </c>
      <c r="L30" s="118">
        <v>0.5</v>
      </c>
      <c r="M30" s="141">
        <v>3</v>
      </c>
      <c r="N30" s="118">
        <v>7.7999999999999996E-3</v>
      </c>
      <c r="O30" s="118">
        <v>0.9</v>
      </c>
      <c r="P30" s="118">
        <v>100</v>
      </c>
      <c r="Q30" s="118">
        <v>0.55000000000000004</v>
      </c>
      <c r="R30" s="118">
        <v>2</v>
      </c>
      <c r="S30" s="119">
        <v>660.34</v>
      </c>
      <c r="T30" s="119">
        <v>4.0899999999999999E-2</v>
      </c>
      <c r="U30" s="119">
        <v>5.4999999999999997E-3</v>
      </c>
      <c r="V30" s="119">
        <v>8.3999999999999995E-3</v>
      </c>
      <c r="W30" s="119">
        <v>0.27</v>
      </c>
      <c r="X30" s="119">
        <v>0.6</v>
      </c>
      <c r="Y30" s="119">
        <v>0.31</v>
      </c>
      <c r="Z30" s="119">
        <v>143.32</v>
      </c>
      <c r="AA30" s="119">
        <v>5</v>
      </c>
      <c r="AB30" s="119">
        <v>0.12</v>
      </c>
      <c r="AC30" s="119">
        <v>4.82E-2</v>
      </c>
      <c r="AD30" s="119">
        <v>2.9399999999999999E-2</v>
      </c>
      <c r="AE30" s="119">
        <v>2.63E-2</v>
      </c>
      <c r="AF30" s="119">
        <v>4.8999999999999998E-3</v>
      </c>
      <c r="AG30" s="119">
        <v>2.3999999999999998E-3</v>
      </c>
      <c r="AH30" s="119">
        <v>2.3E-3</v>
      </c>
      <c r="AI30" s="119">
        <v>0.02</v>
      </c>
      <c r="AJ30" s="119">
        <v>1.2999999999999999E-2</v>
      </c>
      <c r="AK30" s="119">
        <v>7.0000000000000001E-3</v>
      </c>
      <c r="AL30" s="119">
        <v>1.266</v>
      </c>
      <c r="AM30" s="119">
        <v>0.63300000000000001</v>
      </c>
      <c r="AN30" s="119">
        <v>0.72899999999999998</v>
      </c>
      <c r="AO30" s="12">
        <v>5</v>
      </c>
      <c r="AP30" s="118">
        <v>5.05</v>
      </c>
      <c r="AQ30" s="118">
        <v>15.1</v>
      </c>
      <c r="AR30" s="118">
        <v>10</v>
      </c>
      <c r="AS30" s="118">
        <v>1</v>
      </c>
      <c r="AT30" s="118">
        <v>4.75</v>
      </c>
      <c r="AU30" s="118">
        <v>0.4</v>
      </c>
      <c r="AV30" s="118">
        <v>0.2</v>
      </c>
      <c r="AW30" s="118">
        <v>100</v>
      </c>
      <c r="AX30" s="118">
        <v>20.2</v>
      </c>
      <c r="AY30" s="118">
        <v>100.9</v>
      </c>
      <c r="AZ30" s="118">
        <v>0.1</v>
      </c>
      <c r="BA30" s="118">
        <v>2.5</v>
      </c>
      <c r="BB30" s="118">
        <v>0.01</v>
      </c>
      <c r="BC30" s="118">
        <v>0.1</v>
      </c>
      <c r="BD30" s="118">
        <v>0</v>
      </c>
      <c r="BE30" s="118">
        <v>0</v>
      </c>
      <c r="BF30" s="118">
        <v>0</v>
      </c>
      <c r="BG30" s="118">
        <v>0.3</v>
      </c>
      <c r="BH30" s="12">
        <v>0</v>
      </c>
      <c r="BI30" s="12">
        <v>0</v>
      </c>
      <c r="BJ30" s="12">
        <v>0</v>
      </c>
      <c r="BK30" s="12">
        <v>0</v>
      </c>
      <c r="BL30" s="12">
        <v>0</v>
      </c>
      <c r="BM30" s="12">
        <v>0</v>
      </c>
      <c r="BN30" s="12">
        <v>0</v>
      </c>
      <c r="BO30" s="12" t="s">
        <v>426</v>
      </c>
    </row>
    <row r="31" spans="1:67" x14ac:dyDescent="0.3">
      <c r="A31" s="12">
        <v>26</v>
      </c>
      <c r="B31" s="12" t="s">
        <v>427</v>
      </c>
      <c r="C31" s="118">
        <v>25</v>
      </c>
      <c r="D31" s="118">
        <v>0.45</v>
      </c>
      <c r="E31" s="118">
        <v>15</v>
      </c>
      <c r="F31" s="118">
        <v>1</v>
      </c>
      <c r="G31" s="118">
        <v>5</v>
      </c>
      <c r="H31" s="118">
        <v>0.75</v>
      </c>
      <c r="I31" s="118">
        <v>15.01</v>
      </c>
      <c r="J31" s="118">
        <v>50.95</v>
      </c>
      <c r="K31" s="118">
        <v>2</v>
      </c>
      <c r="L31" s="118">
        <v>2</v>
      </c>
      <c r="M31" s="141">
        <v>2</v>
      </c>
      <c r="N31" s="118">
        <v>7.0000000000000001E-3</v>
      </c>
      <c r="O31" s="118">
        <v>0.85</v>
      </c>
      <c r="P31" s="118">
        <v>35</v>
      </c>
      <c r="Q31" s="118">
        <v>1.2</v>
      </c>
      <c r="R31" s="118">
        <v>2</v>
      </c>
      <c r="S31" s="119">
        <v>660.34</v>
      </c>
      <c r="T31" s="119">
        <v>4.1200000000000001E-2</v>
      </c>
      <c r="U31" s="119">
        <v>5.4999999999999997E-3</v>
      </c>
      <c r="V31" s="119">
        <v>1.14E-2</v>
      </c>
      <c r="W31" s="119">
        <v>0.34</v>
      </c>
      <c r="X31" s="119">
        <v>0.6</v>
      </c>
      <c r="Y31" s="119">
        <v>0.74</v>
      </c>
      <c r="Z31" s="119">
        <v>24</v>
      </c>
      <c r="AA31" s="119">
        <v>5</v>
      </c>
      <c r="AB31" s="119">
        <v>0.12</v>
      </c>
      <c r="AC31" s="119">
        <v>5.1499999999999997E-2</v>
      </c>
      <c r="AD31" s="119">
        <v>3.3500000000000002E-2</v>
      </c>
      <c r="AE31" s="119">
        <v>2.9600000000000001E-2</v>
      </c>
      <c r="AF31" s="119">
        <v>3.3E-3</v>
      </c>
      <c r="AG31" s="119">
        <v>1.9E-3</v>
      </c>
      <c r="AH31" s="119">
        <v>1.4E-3</v>
      </c>
      <c r="AI31" s="119">
        <v>4.4999999999999998E-2</v>
      </c>
      <c r="AJ31" s="119">
        <v>0.04</v>
      </c>
      <c r="AK31" s="119">
        <v>3.5000000000000003E-2</v>
      </c>
      <c r="AL31" s="119">
        <v>3.39</v>
      </c>
      <c r="AM31" s="119">
        <v>3.39</v>
      </c>
      <c r="AN31" s="119">
        <v>1.61</v>
      </c>
      <c r="AO31" s="12">
        <v>2</v>
      </c>
      <c r="AP31" s="118">
        <v>5.01</v>
      </c>
      <c r="AQ31" s="118">
        <v>15.1</v>
      </c>
      <c r="AR31" s="118">
        <v>10</v>
      </c>
      <c r="AS31" s="118">
        <v>1</v>
      </c>
      <c r="AT31" s="118">
        <v>4.75</v>
      </c>
      <c r="AU31" s="118">
        <v>0.4</v>
      </c>
      <c r="AV31" s="118">
        <v>0.2</v>
      </c>
      <c r="AW31" s="118">
        <v>100</v>
      </c>
      <c r="AX31" s="118">
        <v>20.2</v>
      </c>
      <c r="AY31" s="118">
        <v>100.9</v>
      </c>
      <c r="AZ31" s="118">
        <v>0.1</v>
      </c>
      <c r="BA31" s="118">
        <v>2.5</v>
      </c>
      <c r="BB31" s="118">
        <v>0.01</v>
      </c>
      <c r="BC31" s="118">
        <v>0.1</v>
      </c>
      <c r="BD31" s="118">
        <v>0</v>
      </c>
      <c r="BE31" s="118">
        <v>0</v>
      </c>
      <c r="BF31" s="118">
        <v>0</v>
      </c>
      <c r="BG31" s="118">
        <v>0.3</v>
      </c>
      <c r="BH31" s="12">
        <v>1</v>
      </c>
      <c r="BI31" s="12">
        <v>0</v>
      </c>
      <c r="BJ31" s="12">
        <v>0</v>
      </c>
      <c r="BK31" s="12">
        <v>0</v>
      </c>
      <c r="BL31" s="12">
        <v>0</v>
      </c>
      <c r="BM31" s="12">
        <v>0</v>
      </c>
      <c r="BN31" s="12">
        <v>0</v>
      </c>
      <c r="BO31" s="12" t="s">
        <v>1522</v>
      </c>
    </row>
    <row r="32" spans="1:67" x14ac:dyDescent="0.3">
      <c r="A32" s="12">
        <v>27</v>
      </c>
      <c r="B32" s="12" t="s">
        <v>428</v>
      </c>
      <c r="C32" s="118">
        <v>25</v>
      </c>
      <c r="D32" s="118">
        <v>0.31</v>
      </c>
      <c r="E32" s="118">
        <v>25</v>
      </c>
      <c r="F32" s="118">
        <v>10</v>
      </c>
      <c r="G32" s="118">
        <v>5</v>
      </c>
      <c r="H32" s="118">
        <v>0.9</v>
      </c>
      <c r="I32" s="118">
        <v>15.01</v>
      </c>
      <c r="J32" s="118">
        <v>50.95</v>
      </c>
      <c r="K32" s="118">
        <v>2</v>
      </c>
      <c r="L32" s="118">
        <v>10</v>
      </c>
      <c r="M32" s="141">
        <v>3</v>
      </c>
      <c r="N32" s="118">
        <v>7.7999999999999996E-3</v>
      </c>
      <c r="O32" s="118">
        <v>0.85</v>
      </c>
      <c r="P32" s="118">
        <v>35</v>
      </c>
      <c r="Q32" s="118">
        <v>1.5</v>
      </c>
      <c r="R32" s="118">
        <v>2</v>
      </c>
      <c r="S32" s="119">
        <v>660.34</v>
      </c>
      <c r="T32" s="119">
        <v>4.2000000000000003E-2</v>
      </c>
      <c r="U32" s="119">
        <v>4.0000000000000001E-3</v>
      </c>
      <c r="V32" s="119">
        <v>1.37E-2</v>
      </c>
      <c r="W32" s="119">
        <v>0.23</v>
      </c>
      <c r="X32" s="119">
        <v>0.6</v>
      </c>
      <c r="Y32" s="119">
        <v>0.74</v>
      </c>
      <c r="Z32" s="119">
        <v>370</v>
      </c>
      <c r="AA32" s="119">
        <v>5</v>
      </c>
      <c r="AB32" s="119">
        <v>0.13</v>
      </c>
      <c r="AC32" s="119">
        <v>3.2599999999999997E-2</v>
      </c>
      <c r="AD32" s="119">
        <v>1.6500000000000001E-2</v>
      </c>
      <c r="AE32" s="119">
        <v>1.61E-2</v>
      </c>
      <c r="AF32" s="119">
        <v>4.4000000000000003E-3</v>
      </c>
      <c r="AG32" s="119">
        <v>2.2000000000000001E-3</v>
      </c>
      <c r="AH32" s="119">
        <v>2.0999999999999999E-3</v>
      </c>
      <c r="AI32" s="119">
        <v>1.4E-2</v>
      </c>
      <c r="AJ32" s="119">
        <v>1.2999999999999999E-2</v>
      </c>
      <c r="AK32" s="119">
        <v>1.2E-2</v>
      </c>
      <c r="AL32" s="119">
        <v>1.266</v>
      </c>
      <c r="AM32" s="119">
        <v>0.63300000000000001</v>
      </c>
      <c r="AN32" s="119">
        <v>0.72899999999999998</v>
      </c>
      <c r="AO32" s="12">
        <v>1</v>
      </c>
      <c r="AP32" s="118">
        <v>5.05</v>
      </c>
      <c r="AQ32" s="118">
        <v>15.95</v>
      </c>
      <c r="AR32" s="118">
        <v>10</v>
      </c>
      <c r="AS32" s="118">
        <v>1</v>
      </c>
      <c r="AT32" s="118">
        <v>4.75</v>
      </c>
      <c r="AU32" s="118">
        <v>0.4</v>
      </c>
      <c r="AV32" s="118">
        <v>0.2</v>
      </c>
      <c r="AW32" s="118">
        <v>100</v>
      </c>
      <c r="AX32" s="118">
        <v>20.2</v>
      </c>
      <c r="AY32" s="118">
        <v>100.9</v>
      </c>
      <c r="AZ32" s="118">
        <v>0.1</v>
      </c>
      <c r="BA32" s="118">
        <v>2.5</v>
      </c>
      <c r="BB32" s="118">
        <v>0.01</v>
      </c>
      <c r="BC32" s="118">
        <v>0.1</v>
      </c>
      <c r="BD32" s="118">
        <v>0</v>
      </c>
      <c r="BE32" s="118">
        <v>0</v>
      </c>
      <c r="BF32" s="118">
        <v>0</v>
      </c>
      <c r="BG32" s="118">
        <v>0.3</v>
      </c>
      <c r="BH32" s="12">
        <v>0</v>
      </c>
      <c r="BI32" s="12">
        <v>0</v>
      </c>
      <c r="BJ32" s="12">
        <v>0</v>
      </c>
      <c r="BK32" s="12">
        <v>0</v>
      </c>
      <c r="BL32" s="12">
        <v>0</v>
      </c>
      <c r="BM32" s="12">
        <v>0</v>
      </c>
      <c r="BN32" s="12">
        <v>0</v>
      </c>
      <c r="BO32" s="12" t="s">
        <v>1523</v>
      </c>
    </row>
    <row r="33" spans="1:67" x14ac:dyDescent="0.3">
      <c r="A33" s="12">
        <v>28</v>
      </c>
      <c r="B33" s="12" t="s">
        <v>429</v>
      </c>
      <c r="C33" s="118">
        <v>50</v>
      </c>
      <c r="D33" s="118">
        <v>0.31</v>
      </c>
      <c r="E33" s="118">
        <v>25</v>
      </c>
      <c r="F33" s="118">
        <v>10</v>
      </c>
      <c r="G33" s="118">
        <v>5</v>
      </c>
      <c r="H33" s="118">
        <v>0.9</v>
      </c>
      <c r="I33" s="118">
        <v>15.01</v>
      </c>
      <c r="J33" s="118">
        <v>50.95</v>
      </c>
      <c r="K33" s="118">
        <v>2</v>
      </c>
      <c r="L33" s="118">
        <v>10</v>
      </c>
      <c r="M33" s="141">
        <v>3</v>
      </c>
      <c r="N33" s="118">
        <v>7.7999999999999996E-3</v>
      </c>
      <c r="O33" s="118">
        <v>0.85</v>
      </c>
      <c r="P33" s="118">
        <v>35</v>
      </c>
      <c r="Q33" s="118">
        <v>1.5</v>
      </c>
      <c r="R33" s="118">
        <v>2</v>
      </c>
      <c r="S33" s="119">
        <v>660.67</v>
      </c>
      <c r="T33" s="119">
        <v>4.19E-2</v>
      </c>
      <c r="U33" s="119">
        <v>3.8999999999999998E-3</v>
      </c>
      <c r="V33" s="119">
        <v>1.0999999999999999E-2</v>
      </c>
      <c r="W33" s="119">
        <v>0.23</v>
      </c>
      <c r="X33" s="119">
        <v>0.6</v>
      </c>
      <c r="Y33" s="119">
        <v>0.74</v>
      </c>
      <c r="Z33" s="119">
        <v>370</v>
      </c>
      <c r="AA33" s="119">
        <v>5</v>
      </c>
      <c r="AB33" s="119">
        <v>0.13</v>
      </c>
      <c r="AC33" s="119">
        <v>0.05</v>
      </c>
      <c r="AD33" s="119">
        <v>0.02</v>
      </c>
      <c r="AE33" s="119">
        <v>1.4999999999999999E-2</v>
      </c>
      <c r="AF33" s="119">
        <v>7.4000000000000003E-3</v>
      </c>
      <c r="AG33" s="119">
        <v>3.7000000000000002E-3</v>
      </c>
      <c r="AH33" s="119">
        <v>3.5000000000000001E-3</v>
      </c>
      <c r="AI33" s="119">
        <v>1.4E-2</v>
      </c>
      <c r="AJ33" s="119">
        <v>1.4E-2</v>
      </c>
      <c r="AK33" s="119">
        <v>1.2999999999999999E-2</v>
      </c>
      <c r="AL33" s="119">
        <v>1.266</v>
      </c>
      <c r="AM33" s="119">
        <v>0.63300000000000001</v>
      </c>
      <c r="AN33" s="119">
        <v>0.72899999999999998</v>
      </c>
      <c r="AO33" s="12">
        <v>1</v>
      </c>
      <c r="AP33" s="118">
        <v>5.05</v>
      </c>
      <c r="AQ33" s="118">
        <v>15.95</v>
      </c>
      <c r="AR33" s="118">
        <v>10</v>
      </c>
      <c r="AS33" s="118">
        <v>1</v>
      </c>
      <c r="AT33" s="118">
        <v>4.75</v>
      </c>
      <c r="AU33" s="118">
        <v>0.4</v>
      </c>
      <c r="AV33" s="118">
        <v>0.2</v>
      </c>
      <c r="AW33" s="118">
        <v>100</v>
      </c>
      <c r="AX33" s="118">
        <v>20.2</v>
      </c>
      <c r="AY33" s="118">
        <v>100.9</v>
      </c>
      <c r="AZ33" s="118">
        <v>0.1</v>
      </c>
      <c r="BA33" s="118">
        <v>2.5</v>
      </c>
      <c r="BB33" s="118">
        <v>0.01</v>
      </c>
      <c r="BC33" s="118">
        <v>0.1</v>
      </c>
      <c r="BD33" s="118">
        <v>0</v>
      </c>
      <c r="BE33" s="118">
        <v>0</v>
      </c>
      <c r="BF33" s="118">
        <v>0</v>
      </c>
      <c r="BG33" s="118">
        <v>0.3</v>
      </c>
      <c r="BH33" s="12">
        <v>0</v>
      </c>
      <c r="BI33" s="12">
        <v>0</v>
      </c>
      <c r="BJ33" s="12">
        <v>0</v>
      </c>
      <c r="BK33" s="12">
        <v>0</v>
      </c>
      <c r="BL33" s="12">
        <v>0</v>
      </c>
      <c r="BM33" s="12">
        <v>0</v>
      </c>
      <c r="BN33" s="12">
        <v>0</v>
      </c>
      <c r="BO33" s="12" t="s">
        <v>1524</v>
      </c>
    </row>
    <row r="34" spans="1:67" x14ac:dyDescent="0.3">
      <c r="A34" s="12">
        <v>29</v>
      </c>
      <c r="B34" s="12" t="s">
        <v>430</v>
      </c>
      <c r="C34" s="118">
        <v>39</v>
      </c>
      <c r="D34" s="118">
        <v>0.5</v>
      </c>
      <c r="E34" s="118">
        <v>25</v>
      </c>
      <c r="F34" s="118">
        <v>10</v>
      </c>
      <c r="G34" s="118">
        <v>6</v>
      </c>
      <c r="H34" s="118">
        <v>0.8</v>
      </c>
      <c r="I34" s="118">
        <v>15.05</v>
      </c>
      <c r="J34" s="118">
        <v>50.95</v>
      </c>
      <c r="K34" s="118">
        <v>1</v>
      </c>
      <c r="L34" s="118">
        <v>1</v>
      </c>
      <c r="M34" s="141">
        <v>3</v>
      </c>
      <c r="N34" s="118">
        <v>7.0000000000000001E-3</v>
      </c>
      <c r="O34" s="118">
        <v>0.85</v>
      </c>
      <c r="P34" s="118">
        <v>20</v>
      </c>
      <c r="Q34" s="118">
        <v>2</v>
      </c>
      <c r="R34" s="118">
        <v>2</v>
      </c>
      <c r="S34" s="119">
        <v>660.45</v>
      </c>
      <c r="T34" s="119">
        <v>1.6799999999999999E-2</v>
      </c>
      <c r="U34" s="119">
        <v>2.3E-3</v>
      </c>
      <c r="V34" s="119">
        <v>3.2000000000000002E-3</v>
      </c>
      <c r="W34" s="119">
        <v>0.25</v>
      </c>
      <c r="X34" s="119">
        <v>0.6</v>
      </c>
      <c r="Y34" s="119">
        <v>3.45</v>
      </c>
      <c r="Z34" s="119">
        <v>0</v>
      </c>
      <c r="AA34" s="119">
        <v>31.5</v>
      </c>
      <c r="AB34" s="119">
        <v>0.15</v>
      </c>
      <c r="AC34" s="119">
        <v>4.3999999999999997E-2</v>
      </c>
      <c r="AD34" s="119">
        <v>1.6E-2</v>
      </c>
      <c r="AE34" s="119">
        <v>1.2800000000000001E-2</v>
      </c>
      <c r="AF34" s="119">
        <v>6.1999999999999998E-3</v>
      </c>
      <c r="AG34" s="119">
        <v>2.3E-3</v>
      </c>
      <c r="AH34" s="119">
        <v>1.8E-3</v>
      </c>
      <c r="AI34" s="119">
        <v>1.4999999999999999E-2</v>
      </c>
      <c r="AJ34" s="119">
        <v>1.2E-2</v>
      </c>
      <c r="AK34" s="119">
        <v>8.9999999999999993E-3</v>
      </c>
      <c r="AL34" s="119">
        <v>1.266</v>
      </c>
      <c r="AM34" s="119">
        <v>0.63300000000000001</v>
      </c>
      <c r="AN34" s="119">
        <v>0.72899999999999998</v>
      </c>
      <c r="AO34" s="12">
        <v>4</v>
      </c>
      <c r="AP34" s="118">
        <v>5.01</v>
      </c>
      <c r="AQ34" s="118">
        <v>15.95</v>
      </c>
      <c r="AR34" s="118">
        <v>8</v>
      </c>
      <c r="AS34" s="118">
        <v>0.5</v>
      </c>
      <c r="AT34" s="118">
        <v>4.75</v>
      </c>
      <c r="AU34" s="118">
        <v>0.4</v>
      </c>
      <c r="AV34" s="118">
        <v>0.2</v>
      </c>
      <c r="AW34" s="118">
        <v>100</v>
      </c>
      <c r="AX34" s="118">
        <v>4.47</v>
      </c>
      <c r="AY34" s="118">
        <v>7.77</v>
      </c>
      <c r="AZ34" s="118">
        <v>0.12</v>
      </c>
      <c r="BA34" s="118">
        <v>1.7</v>
      </c>
      <c r="BB34" s="118">
        <v>0.01</v>
      </c>
      <c r="BC34" s="118">
        <v>0.1</v>
      </c>
      <c r="BD34" s="118">
        <v>0</v>
      </c>
      <c r="BE34" s="118">
        <v>0</v>
      </c>
      <c r="BF34" s="118">
        <v>0</v>
      </c>
      <c r="BG34" s="118">
        <v>0.3</v>
      </c>
      <c r="BH34" s="12">
        <v>1</v>
      </c>
      <c r="BI34" s="12">
        <v>0</v>
      </c>
      <c r="BJ34" s="12">
        <v>0</v>
      </c>
      <c r="BK34" s="12">
        <v>0</v>
      </c>
      <c r="BL34" s="12">
        <v>0</v>
      </c>
      <c r="BM34" s="12">
        <v>0</v>
      </c>
      <c r="BN34" s="12">
        <v>0</v>
      </c>
      <c r="BO34" s="12" t="s">
        <v>1525</v>
      </c>
    </row>
    <row r="35" spans="1:67" x14ac:dyDescent="0.3">
      <c r="A35" s="12">
        <v>30</v>
      </c>
      <c r="B35" s="12" t="s">
        <v>431</v>
      </c>
      <c r="C35" s="118">
        <v>35</v>
      </c>
      <c r="D35" s="118">
        <v>0.5</v>
      </c>
      <c r="E35" s="118">
        <v>27.5</v>
      </c>
      <c r="F35" s="118">
        <v>10</v>
      </c>
      <c r="G35" s="118">
        <v>5</v>
      </c>
      <c r="H35" s="118">
        <v>0.8</v>
      </c>
      <c r="I35" s="118">
        <v>15.01</v>
      </c>
      <c r="J35" s="118">
        <v>50.95</v>
      </c>
      <c r="K35" s="118">
        <v>0.5</v>
      </c>
      <c r="L35" s="118">
        <v>0.5</v>
      </c>
      <c r="M35" s="141">
        <v>2</v>
      </c>
      <c r="N35" s="118">
        <v>7.0000000000000001E-3</v>
      </c>
      <c r="O35" s="118">
        <v>0.85</v>
      </c>
      <c r="P35" s="118">
        <v>90</v>
      </c>
      <c r="Q35" s="118">
        <v>2</v>
      </c>
      <c r="R35" s="118">
        <v>2</v>
      </c>
      <c r="S35" s="119">
        <v>660.4</v>
      </c>
      <c r="T35" s="119">
        <v>1.9900000000000001E-2</v>
      </c>
      <c r="U35" s="119">
        <v>3.2000000000000002E-3</v>
      </c>
      <c r="V35" s="119">
        <v>3.8999999999999998E-3</v>
      </c>
      <c r="W35" s="119">
        <v>0.45</v>
      </c>
      <c r="X35" s="119">
        <v>0.6</v>
      </c>
      <c r="Y35" s="119">
        <v>3.66</v>
      </c>
      <c r="Z35" s="119">
        <v>0</v>
      </c>
      <c r="AA35" s="119">
        <v>33.08</v>
      </c>
      <c r="AB35" s="119">
        <v>0.13</v>
      </c>
      <c r="AC35" s="119">
        <v>4.3999999999999997E-2</v>
      </c>
      <c r="AD35" s="119">
        <v>1.6400000000000001E-2</v>
      </c>
      <c r="AE35" s="119">
        <v>1.2800000000000001E-2</v>
      </c>
      <c r="AF35" s="119">
        <v>6.0000000000000001E-3</v>
      </c>
      <c r="AG35" s="119">
        <v>2.2000000000000001E-3</v>
      </c>
      <c r="AH35" s="119">
        <v>1.8E-3</v>
      </c>
      <c r="AI35" s="119">
        <v>0.15</v>
      </c>
      <c r="AJ35" s="119">
        <v>0.15</v>
      </c>
      <c r="AK35" s="119">
        <v>0.15</v>
      </c>
      <c r="AL35" s="119">
        <v>3.39</v>
      </c>
      <c r="AM35" s="119">
        <v>3.39</v>
      </c>
      <c r="AN35" s="119">
        <v>0.32</v>
      </c>
      <c r="AO35" s="12">
        <v>4</v>
      </c>
      <c r="AP35" s="118">
        <v>5.05</v>
      </c>
      <c r="AQ35" s="118">
        <v>15.95</v>
      </c>
      <c r="AR35" s="118">
        <v>7</v>
      </c>
      <c r="AS35" s="118">
        <v>0.5</v>
      </c>
      <c r="AT35" s="118">
        <v>4.75</v>
      </c>
      <c r="AU35" s="118">
        <v>0.4</v>
      </c>
      <c r="AV35" s="118">
        <v>0.2</v>
      </c>
      <c r="AW35" s="118">
        <v>100</v>
      </c>
      <c r="AX35" s="118">
        <v>5.43</v>
      </c>
      <c r="AY35" s="118">
        <v>15.79</v>
      </c>
      <c r="AZ35" s="118">
        <v>0.2</v>
      </c>
      <c r="BA35" s="118">
        <v>4.8</v>
      </c>
      <c r="BB35" s="118">
        <v>0.01</v>
      </c>
      <c r="BC35" s="118">
        <v>0.1</v>
      </c>
      <c r="BD35" s="118">
        <v>0</v>
      </c>
      <c r="BE35" s="118">
        <v>0</v>
      </c>
      <c r="BF35" s="118">
        <v>0</v>
      </c>
      <c r="BG35" s="118">
        <v>0.86</v>
      </c>
      <c r="BH35" s="12">
        <v>1</v>
      </c>
      <c r="BI35" s="12">
        <v>0</v>
      </c>
      <c r="BJ35" s="12">
        <v>0</v>
      </c>
      <c r="BK35" s="12">
        <v>0</v>
      </c>
      <c r="BL35" s="12">
        <v>0</v>
      </c>
      <c r="BM35" s="12">
        <v>0</v>
      </c>
      <c r="BN35" s="12">
        <v>0</v>
      </c>
      <c r="BO35" s="12" t="s">
        <v>1526</v>
      </c>
    </row>
    <row r="36" spans="1:67" x14ac:dyDescent="0.3">
      <c r="A36" s="12">
        <v>31</v>
      </c>
      <c r="B36" s="12" t="s">
        <v>432</v>
      </c>
      <c r="C36" s="118">
        <v>20</v>
      </c>
      <c r="D36" s="118">
        <v>0.02</v>
      </c>
      <c r="E36" s="118">
        <v>25</v>
      </c>
      <c r="F36" s="118">
        <v>1</v>
      </c>
      <c r="G36" s="118">
        <v>5</v>
      </c>
      <c r="H36" s="118">
        <v>0.9</v>
      </c>
      <c r="I36" s="118">
        <v>15.01</v>
      </c>
      <c r="J36" s="118">
        <v>50.95</v>
      </c>
      <c r="K36" s="118">
        <v>0.5</v>
      </c>
      <c r="L36" s="118">
        <v>0.5</v>
      </c>
      <c r="M36" s="141">
        <v>3</v>
      </c>
      <c r="N36" s="118">
        <v>0.01</v>
      </c>
      <c r="O36" s="118">
        <v>0.85</v>
      </c>
      <c r="P36" s="118">
        <v>15</v>
      </c>
      <c r="Q36" s="118">
        <v>1.25</v>
      </c>
      <c r="R36" s="118">
        <v>2</v>
      </c>
      <c r="S36" s="119">
        <v>660.27</v>
      </c>
      <c r="T36" s="119">
        <v>6.0100000000000001E-2</v>
      </c>
      <c r="U36" s="119">
        <v>6.6E-3</v>
      </c>
      <c r="V36" s="119">
        <v>7.4000000000000003E-3</v>
      </c>
      <c r="W36" s="119">
        <v>0.01</v>
      </c>
      <c r="X36" s="119">
        <v>0.6</v>
      </c>
      <c r="Y36" s="119">
        <v>3.64</v>
      </c>
      <c r="Z36" s="119">
        <v>77</v>
      </c>
      <c r="AA36" s="119">
        <v>172.86</v>
      </c>
      <c r="AB36" s="119">
        <v>0.12</v>
      </c>
      <c r="AC36" s="119">
        <v>0.05</v>
      </c>
      <c r="AD36" s="119">
        <v>2.8299999999999999E-2</v>
      </c>
      <c r="AE36" s="119">
        <v>2.4E-2</v>
      </c>
      <c r="AF36" s="119">
        <v>7.1000000000000004E-3</v>
      </c>
      <c r="AG36" s="119">
        <v>2.3999999999999998E-3</v>
      </c>
      <c r="AH36" s="119">
        <v>1.9E-3</v>
      </c>
      <c r="AI36" s="119">
        <v>2.3099999999999999E-2</v>
      </c>
      <c r="AJ36" s="119">
        <v>1.89E-2</v>
      </c>
      <c r="AK36" s="119">
        <v>1.78E-2</v>
      </c>
      <c r="AL36" s="119">
        <v>3.39</v>
      </c>
      <c r="AM36" s="119">
        <v>3.39</v>
      </c>
      <c r="AN36" s="119">
        <v>3.39</v>
      </c>
      <c r="AO36" s="12">
        <v>3</v>
      </c>
      <c r="AP36" s="118">
        <v>5.01</v>
      </c>
      <c r="AQ36" s="118">
        <v>15.1</v>
      </c>
      <c r="AR36" s="118">
        <v>4</v>
      </c>
      <c r="AS36" s="118">
        <v>0.5</v>
      </c>
      <c r="AT36" s="118">
        <v>4.75</v>
      </c>
      <c r="AU36" s="118">
        <v>0.4</v>
      </c>
      <c r="AV36" s="118">
        <v>0.2</v>
      </c>
      <c r="AW36" s="118">
        <v>100</v>
      </c>
      <c r="AX36" s="118">
        <v>22.5</v>
      </c>
      <c r="AY36" s="118">
        <v>40.71</v>
      </c>
      <c r="AZ36" s="118">
        <v>7.0000000000000007E-2</v>
      </c>
      <c r="BA36" s="118">
        <v>2</v>
      </c>
      <c r="BB36" s="118">
        <v>0.01</v>
      </c>
      <c r="BC36" s="118">
        <v>0.1</v>
      </c>
      <c r="BD36" s="118">
        <v>0</v>
      </c>
      <c r="BE36" s="118">
        <v>0</v>
      </c>
      <c r="BF36" s="118">
        <v>0</v>
      </c>
      <c r="BG36" s="118">
        <v>2.63</v>
      </c>
      <c r="BH36" s="12">
        <v>1</v>
      </c>
      <c r="BI36" s="12">
        <v>0</v>
      </c>
      <c r="BJ36" s="12">
        <v>0</v>
      </c>
      <c r="BK36" s="12">
        <v>0</v>
      </c>
      <c r="BL36" s="12">
        <v>0</v>
      </c>
      <c r="BM36" s="12">
        <v>0</v>
      </c>
      <c r="BN36" s="12">
        <v>0</v>
      </c>
      <c r="BO36" s="12" t="s">
        <v>1527</v>
      </c>
    </row>
    <row r="37" spans="1:67" x14ac:dyDescent="0.3">
      <c r="A37" s="12">
        <v>32</v>
      </c>
      <c r="B37" s="12" t="s">
        <v>433</v>
      </c>
      <c r="C37" s="118">
        <v>15</v>
      </c>
      <c r="D37" s="118">
        <v>0.02</v>
      </c>
      <c r="E37" s="118">
        <v>15</v>
      </c>
      <c r="F37" s="118">
        <v>0</v>
      </c>
      <c r="G37" s="118">
        <v>5</v>
      </c>
      <c r="H37" s="118">
        <v>0.6</v>
      </c>
      <c r="I37" s="118">
        <v>15.01</v>
      </c>
      <c r="J37" s="118">
        <v>50.95</v>
      </c>
      <c r="K37" s="118">
        <v>2</v>
      </c>
      <c r="L37" s="118">
        <v>10</v>
      </c>
      <c r="M37" s="141">
        <v>2</v>
      </c>
      <c r="N37" s="118">
        <v>7.0000000000000001E-3</v>
      </c>
      <c r="O37" s="118">
        <v>0.99</v>
      </c>
      <c r="P37" s="118">
        <v>35</v>
      </c>
      <c r="Q37" s="118">
        <v>1.2</v>
      </c>
      <c r="R37" s="118">
        <v>2</v>
      </c>
      <c r="S37" s="119">
        <v>660.34</v>
      </c>
      <c r="T37" s="119">
        <v>5.67E-2</v>
      </c>
      <c r="U37" s="119">
        <v>4.0000000000000001E-3</v>
      </c>
      <c r="V37" s="119">
        <v>1.7999999999999999E-2</v>
      </c>
      <c r="W37" s="119">
        <v>0.01</v>
      </c>
      <c r="X37" s="119">
        <v>0.6</v>
      </c>
      <c r="Y37" s="119">
        <v>2.13</v>
      </c>
      <c r="Z37" s="119">
        <v>24</v>
      </c>
      <c r="AA37" s="119">
        <v>5</v>
      </c>
      <c r="AB37" s="119">
        <v>0.08</v>
      </c>
      <c r="AC37" s="119">
        <v>0.06</v>
      </c>
      <c r="AD37" s="119">
        <v>2.8000000000000001E-2</v>
      </c>
      <c r="AE37" s="119">
        <v>2.4E-2</v>
      </c>
      <c r="AF37" s="119">
        <v>6.0000000000000001E-3</v>
      </c>
      <c r="AG37" s="119">
        <v>3.0000000000000001E-3</v>
      </c>
      <c r="AH37" s="119">
        <v>2.5000000000000001E-3</v>
      </c>
      <c r="AI37" s="119">
        <v>2.1999999999999999E-2</v>
      </c>
      <c r="AJ37" s="119">
        <v>0.02</v>
      </c>
      <c r="AK37" s="119">
        <v>1.7999999999999999E-2</v>
      </c>
      <c r="AL37" s="119">
        <v>3.39</v>
      </c>
      <c r="AM37" s="119">
        <v>3.39</v>
      </c>
      <c r="AN37" s="119">
        <v>3.39</v>
      </c>
      <c r="AO37" s="12">
        <v>3</v>
      </c>
      <c r="AP37" s="118">
        <v>5.01</v>
      </c>
      <c r="AQ37" s="118">
        <v>15.1</v>
      </c>
      <c r="AR37" s="118">
        <v>10</v>
      </c>
      <c r="AS37" s="118">
        <v>1</v>
      </c>
      <c r="AT37" s="118">
        <v>4.75</v>
      </c>
      <c r="AU37" s="118">
        <v>0.4</v>
      </c>
      <c r="AV37" s="118">
        <v>0.2</v>
      </c>
      <c r="AW37" s="118">
        <v>100</v>
      </c>
      <c r="AX37" s="118">
        <v>20.2</v>
      </c>
      <c r="AY37" s="118">
        <v>100.9</v>
      </c>
      <c r="AZ37" s="118">
        <v>0.12</v>
      </c>
      <c r="BA37" s="118">
        <v>1.5</v>
      </c>
      <c r="BB37" s="118">
        <v>0.01</v>
      </c>
      <c r="BC37" s="118">
        <v>0.1</v>
      </c>
      <c r="BD37" s="118">
        <v>0</v>
      </c>
      <c r="BE37" s="118">
        <v>0</v>
      </c>
      <c r="BF37" s="118">
        <v>0</v>
      </c>
      <c r="BG37" s="118">
        <v>0.3</v>
      </c>
      <c r="BH37" s="12">
        <v>1</v>
      </c>
      <c r="BI37" s="12">
        <v>0</v>
      </c>
      <c r="BJ37" s="12">
        <v>0</v>
      </c>
      <c r="BK37" s="12">
        <v>0</v>
      </c>
      <c r="BL37" s="12">
        <v>0</v>
      </c>
      <c r="BM37" s="12">
        <v>0</v>
      </c>
      <c r="BN37" s="12">
        <v>0</v>
      </c>
      <c r="BO37" s="12" t="s">
        <v>1528</v>
      </c>
    </row>
    <row r="38" spans="1:67" x14ac:dyDescent="0.3">
      <c r="A38" s="12">
        <v>33</v>
      </c>
      <c r="B38" s="12" t="s">
        <v>434</v>
      </c>
      <c r="C38" s="118">
        <v>25</v>
      </c>
      <c r="D38" s="118">
        <v>0.02</v>
      </c>
      <c r="E38" s="118">
        <v>25</v>
      </c>
      <c r="F38" s="118">
        <v>1</v>
      </c>
      <c r="G38" s="118">
        <v>5</v>
      </c>
      <c r="H38" s="118">
        <v>0.75</v>
      </c>
      <c r="I38" s="118">
        <v>15.01</v>
      </c>
      <c r="J38" s="118">
        <v>50.95</v>
      </c>
      <c r="K38" s="118">
        <v>2</v>
      </c>
      <c r="L38" s="118">
        <v>10</v>
      </c>
      <c r="M38" s="141">
        <v>2</v>
      </c>
      <c r="N38" s="118">
        <v>7.0000000000000001E-3</v>
      </c>
      <c r="O38" s="118">
        <v>0.85</v>
      </c>
      <c r="P38" s="118">
        <v>35</v>
      </c>
      <c r="Q38" s="118">
        <v>1.2</v>
      </c>
      <c r="R38" s="118">
        <v>2</v>
      </c>
      <c r="S38" s="119">
        <v>660.34</v>
      </c>
      <c r="T38" s="119">
        <v>5.9700000000000003E-2</v>
      </c>
      <c r="U38" s="119">
        <v>4.0000000000000001E-3</v>
      </c>
      <c r="V38" s="119">
        <v>1.7999999999999999E-2</v>
      </c>
      <c r="W38" s="119">
        <v>0.01</v>
      </c>
      <c r="X38" s="119">
        <v>0.6</v>
      </c>
      <c r="Y38" s="119">
        <v>3.15</v>
      </c>
      <c r="Z38" s="119">
        <v>24</v>
      </c>
      <c r="AA38" s="119">
        <v>5</v>
      </c>
      <c r="AB38" s="119">
        <v>0.12</v>
      </c>
      <c r="AC38" s="119">
        <v>6.5000000000000002E-2</v>
      </c>
      <c r="AD38" s="119">
        <v>2.8000000000000001E-2</v>
      </c>
      <c r="AE38" s="119">
        <v>2.4299999999999999E-2</v>
      </c>
      <c r="AF38" s="119">
        <v>6.0000000000000001E-3</v>
      </c>
      <c r="AG38" s="119">
        <v>2.8999999999999998E-3</v>
      </c>
      <c r="AH38" s="119">
        <v>2.3999999999999998E-3</v>
      </c>
      <c r="AI38" s="119">
        <v>2.1999999999999999E-2</v>
      </c>
      <c r="AJ38" s="119">
        <v>0.02</v>
      </c>
      <c r="AK38" s="119">
        <v>1.7999999999999999E-2</v>
      </c>
      <c r="AL38" s="119">
        <v>3.39</v>
      </c>
      <c r="AM38" s="119">
        <v>3.39</v>
      </c>
      <c r="AN38" s="119">
        <v>3.39</v>
      </c>
      <c r="AO38" s="12">
        <v>2</v>
      </c>
      <c r="AP38" s="118">
        <v>5.01</v>
      </c>
      <c r="AQ38" s="118">
        <v>15.1</v>
      </c>
      <c r="AR38" s="118">
        <v>10</v>
      </c>
      <c r="AS38" s="118">
        <v>1</v>
      </c>
      <c r="AT38" s="118">
        <v>4.75</v>
      </c>
      <c r="AU38" s="118">
        <v>0.4</v>
      </c>
      <c r="AV38" s="118">
        <v>0.2</v>
      </c>
      <c r="AW38" s="118">
        <v>100</v>
      </c>
      <c r="AX38" s="118">
        <v>22.5</v>
      </c>
      <c r="AY38" s="118">
        <v>40.71</v>
      </c>
      <c r="AZ38" s="118">
        <v>0.12</v>
      </c>
      <c r="BA38" s="118">
        <v>1.5</v>
      </c>
      <c r="BB38" s="118">
        <v>0.01</v>
      </c>
      <c r="BC38" s="118">
        <v>0.1</v>
      </c>
      <c r="BD38" s="118">
        <v>0</v>
      </c>
      <c r="BE38" s="118">
        <v>0</v>
      </c>
      <c r="BF38" s="118">
        <v>0</v>
      </c>
      <c r="BG38" s="118">
        <v>1.72</v>
      </c>
      <c r="BH38" s="12">
        <v>1</v>
      </c>
      <c r="BI38" s="12">
        <v>0</v>
      </c>
      <c r="BJ38" s="12">
        <v>0</v>
      </c>
      <c r="BK38" s="12">
        <v>0</v>
      </c>
      <c r="BL38" s="12">
        <v>0</v>
      </c>
      <c r="BM38" s="12">
        <v>0</v>
      </c>
      <c r="BN38" s="12">
        <v>0</v>
      </c>
      <c r="BO38" s="12" t="s">
        <v>1529</v>
      </c>
    </row>
    <row r="39" spans="1:67" x14ac:dyDescent="0.3">
      <c r="A39" s="12">
        <v>34</v>
      </c>
      <c r="B39" s="12" t="s">
        <v>435</v>
      </c>
      <c r="C39" s="118">
        <v>25</v>
      </c>
      <c r="D39" s="118">
        <v>0.02</v>
      </c>
      <c r="E39" s="118">
        <v>25</v>
      </c>
      <c r="F39" s="118">
        <v>1</v>
      </c>
      <c r="G39" s="118">
        <v>5</v>
      </c>
      <c r="H39" s="118">
        <v>0.75</v>
      </c>
      <c r="I39" s="118">
        <v>15.01</v>
      </c>
      <c r="J39" s="118">
        <v>50.95</v>
      </c>
      <c r="K39" s="118">
        <v>2</v>
      </c>
      <c r="L39" s="118">
        <v>10</v>
      </c>
      <c r="M39" s="141">
        <v>2</v>
      </c>
      <c r="N39" s="118">
        <v>7.0000000000000001E-3</v>
      </c>
      <c r="O39" s="118">
        <v>0.75</v>
      </c>
      <c r="P39" s="118">
        <v>35</v>
      </c>
      <c r="Q39" s="118">
        <v>1.2</v>
      </c>
      <c r="R39" s="118">
        <v>2</v>
      </c>
      <c r="S39" s="119">
        <v>660.34</v>
      </c>
      <c r="T39" s="119">
        <v>6.4899999999999999E-2</v>
      </c>
      <c r="U39" s="119">
        <v>4.0000000000000001E-3</v>
      </c>
      <c r="V39" s="119">
        <v>1.7999999999999999E-2</v>
      </c>
      <c r="W39" s="119">
        <v>0.01</v>
      </c>
      <c r="X39" s="119">
        <v>0.6</v>
      </c>
      <c r="Y39" s="119">
        <v>2.13</v>
      </c>
      <c r="Z39" s="119">
        <v>24</v>
      </c>
      <c r="AA39" s="119">
        <v>5</v>
      </c>
      <c r="AB39" s="119">
        <v>0.08</v>
      </c>
      <c r="AC39" s="119">
        <v>6.5000000000000002E-2</v>
      </c>
      <c r="AD39" s="119">
        <v>2.4199999999999999E-2</v>
      </c>
      <c r="AE39" s="119">
        <v>0.02</v>
      </c>
      <c r="AF39" s="119">
        <v>6.0000000000000001E-3</v>
      </c>
      <c r="AG39" s="119">
        <v>2.8999999999999998E-3</v>
      </c>
      <c r="AH39" s="119">
        <v>2.3999999999999998E-3</v>
      </c>
      <c r="AI39" s="119">
        <v>0.03</v>
      </c>
      <c r="AJ39" s="119">
        <v>2.3E-2</v>
      </c>
      <c r="AK39" s="119">
        <v>1.7999999999999999E-2</v>
      </c>
      <c r="AL39" s="119">
        <v>3.39</v>
      </c>
      <c r="AM39" s="119">
        <v>3.39</v>
      </c>
      <c r="AN39" s="119">
        <v>3.39</v>
      </c>
      <c r="AO39" s="12">
        <v>2</v>
      </c>
      <c r="AP39" s="118">
        <v>5.01</v>
      </c>
      <c r="AQ39" s="118">
        <v>15.1</v>
      </c>
      <c r="AR39" s="118">
        <v>10</v>
      </c>
      <c r="AS39" s="118">
        <v>1</v>
      </c>
      <c r="AT39" s="118">
        <v>4.75</v>
      </c>
      <c r="AU39" s="118">
        <v>0.4</v>
      </c>
      <c r="AV39" s="118">
        <v>0.2</v>
      </c>
      <c r="AW39" s="118">
        <v>100</v>
      </c>
      <c r="AX39" s="118">
        <v>22.5</v>
      </c>
      <c r="AY39" s="118">
        <v>40.71</v>
      </c>
      <c r="AZ39" s="118">
        <v>0.12</v>
      </c>
      <c r="BA39" s="118">
        <v>1.5</v>
      </c>
      <c r="BB39" s="118">
        <v>0.01</v>
      </c>
      <c r="BC39" s="118">
        <v>0.1</v>
      </c>
      <c r="BD39" s="118">
        <v>0</v>
      </c>
      <c r="BE39" s="118">
        <v>0</v>
      </c>
      <c r="BF39" s="118">
        <v>0</v>
      </c>
      <c r="BG39" s="118">
        <v>0.3</v>
      </c>
      <c r="BH39" s="12">
        <v>1</v>
      </c>
      <c r="BI39" s="12">
        <v>0</v>
      </c>
      <c r="BJ39" s="12">
        <v>0</v>
      </c>
      <c r="BK39" s="12">
        <v>0</v>
      </c>
      <c r="BL39" s="12">
        <v>0</v>
      </c>
      <c r="BM39" s="12">
        <v>0</v>
      </c>
      <c r="BN39" s="12">
        <v>0</v>
      </c>
      <c r="BO39" s="12" t="s">
        <v>1530</v>
      </c>
    </row>
    <row r="40" spans="1:67" x14ac:dyDescent="0.3">
      <c r="A40" s="12">
        <v>35</v>
      </c>
      <c r="B40" s="12" t="s">
        <v>436</v>
      </c>
      <c r="C40" s="118">
        <v>35</v>
      </c>
      <c r="D40" s="118">
        <v>0.02</v>
      </c>
      <c r="E40" s="118">
        <v>25</v>
      </c>
      <c r="F40" s="118">
        <v>8</v>
      </c>
      <c r="G40" s="118">
        <v>11</v>
      </c>
      <c r="H40" s="118">
        <v>0.85</v>
      </c>
      <c r="I40" s="118">
        <v>15.01</v>
      </c>
      <c r="J40" s="118">
        <v>50.95</v>
      </c>
      <c r="K40" s="118">
        <v>2</v>
      </c>
      <c r="L40" s="118">
        <v>1</v>
      </c>
      <c r="M40" s="141">
        <v>2</v>
      </c>
      <c r="N40" s="118">
        <v>7.0000000000000001E-3</v>
      </c>
      <c r="O40" s="118">
        <v>0.85</v>
      </c>
      <c r="P40" s="118">
        <v>5</v>
      </c>
      <c r="Q40" s="118">
        <v>0.8</v>
      </c>
      <c r="R40" s="118">
        <v>2</v>
      </c>
      <c r="S40" s="119">
        <v>660.47</v>
      </c>
      <c r="T40" s="119">
        <v>2.3400000000000001E-2</v>
      </c>
      <c r="U40" s="119">
        <v>3.3E-3</v>
      </c>
      <c r="V40" s="119">
        <v>1.4999999999999999E-2</v>
      </c>
      <c r="W40" s="119">
        <v>0.01</v>
      </c>
      <c r="X40" s="119">
        <v>0.6</v>
      </c>
      <c r="Y40" s="119">
        <v>2.54</v>
      </c>
      <c r="Z40" s="119">
        <v>20</v>
      </c>
      <c r="AA40" s="119">
        <v>72.760000000000005</v>
      </c>
      <c r="AB40" s="119">
        <v>0.1</v>
      </c>
      <c r="AC40" s="119">
        <v>3.1399999999999997E-2</v>
      </c>
      <c r="AD40" s="119">
        <v>1.2999999999999999E-2</v>
      </c>
      <c r="AE40" s="119">
        <v>1.03E-2</v>
      </c>
      <c r="AF40" s="119">
        <v>3.8E-3</v>
      </c>
      <c r="AG40" s="119">
        <v>2.5000000000000001E-3</v>
      </c>
      <c r="AH40" s="119">
        <v>1.9E-3</v>
      </c>
      <c r="AI40" s="119">
        <v>2.5000000000000001E-2</v>
      </c>
      <c r="AJ40" s="119">
        <v>1.4999999999999999E-2</v>
      </c>
      <c r="AK40" s="119">
        <v>0.01</v>
      </c>
      <c r="AL40" s="119">
        <v>3.39</v>
      </c>
      <c r="AM40" s="119">
        <v>3.39</v>
      </c>
      <c r="AN40" s="119">
        <v>3.39</v>
      </c>
      <c r="AO40" s="12">
        <v>6</v>
      </c>
      <c r="AP40" s="118">
        <v>5.05</v>
      </c>
      <c r="AQ40" s="118">
        <v>15.95</v>
      </c>
      <c r="AR40" s="118">
        <v>8</v>
      </c>
      <c r="AS40" s="118">
        <v>0.5</v>
      </c>
      <c r="AT40" s="118">
        <v>4.75</v>
      </c>
      <c r="AU40" s="118">
        <v>0.4</v>
      </c>
      <c r="AV40" s="118">
        <v>0.2</v>
      </c>
      <c r="AW40" s="118">
        <v>100</v>
      </c>
      <c r="AX40" s="118">
        <v>22.5</v>
      </c>
      <c r="AY40" s="118">
        <v>40.71</v>
      </c>
      <c r="AZ40" s="118">
        <v>0.09</v>
      </c>
      <c r="BA40" s="118">
        <v>2</v>
      </c>
      <c r="BB40" s="118">
        <v>0.01</v>
      </c>
      <c r="BC40" s="118">
        <v>0.1</v>
      </c>
      <c r="BD40" s="118">
        <v>0</v>
      </c>
      <c r="BE40" s="118">
        <v>0</v>
      </c>
      <c r="BF40" s="118">
        <v>0</v>
      </c>
      <c r="BG40" s="118">
        <v>0.68</v>
      </c>
      <c r="BH40" s="12">
        <v>1</v>
      </c>
      <c r="BI40" s="12">
        <v>0</v>
      </c>
      <c r="BJ40" s="12">
        <v>0</v>
      </c>
      <c r="BK40" s="12">
        <v>0</v>
      </c>
      <c r="BL40" s="12">
        <v>0</v>
      </c>
      <c r="BM40" s="12">
        <v>0</v>
      </c>
      <c r="BN40" s="12">
        <v>0</v>
      </c>
      <c r="BO40" s="12" t="s">
        <v>1531</v>
      </c>
    </row>
    <row r="41" spans="1:67" x14ac:dyDescent="0.3">
      <c r="A41" s="12">
        <v>36</v>
      </c>
      <c r="B41" s="12" t="s">
        <v>437</v>
      </c>
      <c r="C41" s="118">
        <v>20</v>
      </c>
      <c r="D41" s="118">
        <v>0.02</v>
      </c>
      <c r="E41" s="118">
        <v>25</v>
      </c>
      <c r="F41" s="118">
        <v>8</v>
      </c>
      <c r="G41" s="118">
        <v>5</v>
      </c>
      <c r="H41" s="118">
        <v>0.99</v>
      </c>
      <c r="I41" s="118">
        <v>15.01</v>
      </c>
      <c r="J41" s="118">
        <v>50.95</v>
      </c>
      <c r="K41" s="118">
        <v>1</v>
      </c>
      <c r="L41" s="118">
        <v>1</v>
      </c>
      <c r="M41" s="141">
        <v>4</v>
      </c>
      <c r="N41" s="118">
        <v>5.0000000000000001E-3</v>
      </c>
      <c r="O41" s="118">
        <v>0.85</v>
      </c>
      <c r="P41" s="118">
        <v>5</v>
      </c>
      <c r="Q41" s="118">
        <v>1</v>
      </c>
      <c r="R41" s="118">
        <v>2</v>
      </c>
      <c r="S41" s="119">
        <v>660.41</v>
      </c>
      <c r="T41" s="119">
        <v>1.4999999999999999E-2</v>
      </c>
      <c r="U41" s="119">
        <v>1.6000000000000001E-3</v>
      </c>
      <c r="V41" s="119">
        <v>1.2E-2</v>
      </c>
      <c r="W41" s="119">
        <v>0.01</v>
      </c>
      <c r="X41" s="119">
        <v>0.6</v>
      </c>
      <c r="Y41" s="119">
        <v>0.69</v>
      </c>
      <c r="Z41" s="119">
        <v>20</v>
      </c>
      <c r="AA41" s="119">
        <v>5</v>
      </c>
      <c r="AB41" s="119">
        <v>0.1</v>
      </c>
      <c r="AC41" s="119">
        <v>1.9300000000000001E-2</v>
      </c>
      <c r="AD41" s="119">
        <v>1.0999999999999999E-2</v>
      </c>
      <c r="AE41" s="119">
        <v>8.3000000000000001E-3</v>
      </c>
      <c r="AF41" s="119">
        <v>2.8E-3</v>
      </c>
      <c r="AG41" s="119">
        <v>1.6000000000000001E-3</v>
      </c>
      <c r="AH41" s="119">
        <v>1.1999999999999999E-3</v>
      </c>
      <c r="AI41" s="119">
        <v>2.5000000000000001E-2</v>
      </c>
      <c r="AJ41" s="119">
        <v>1.4999999999999999E-2</v>
      </c>
      <c r="AK41" s="119">
        <v>0.01</v>
      </c>
      <c r="AL41" s="119">
        <v>3.39</v>
      </c>
      <c r="AM41" s="119">
        <v>3.39</v>
      </c>
      <c r="AN41" s="119">
        <v>3.39</v>
      </c>
      <c r="AO41" s="12">
        <v>6</v>
      </c>
      <c r="AP41" s="118">
        <v>1.1000000000000001</v>
      </c>
      <c r="AQ41" s="118">
        <v>5.95</v>
      </c>
      <c r="AR41" s="118">
        <v>6</v>
      </c>
      <c r="AS41" s="118">
        <v>0.5</v>
      </c>
      <c r="AT41" s="118">
        <v>4.75</v>
      </c>
      <c r="AU41" s="118">
        <v>0.4</v>
      </c>
      <c r="AV41" s="118">
        <v>0.2</v>
      </c>
      <c r="AW41" s="118">
        <v>100</v>
      </c>
      <c r="AX41" s="118">
        <v>10.050000000000001</v>
      </c>
      <c r="AY41" s="118">
        <v>100.9</v>
      </c>
      <c r="AZ41" s="118">
        <v>0.09</v>
      </c>
      <c r="BA41" s="118">
        <v>2</v>
      </c>
      <c r="BB41" s="118">
        <v>0.01</v>
      </c>
      <c r="BC41" s="118">
        <v>0.1</v>
      </c>
      <c r="BD41" s="118">
        <v>0</v>
      </c>
      <c r="BE41" s="118">
        <v>0</v>
      </c>
      <c r="BF41" s="118">
        <v>0</v>
      </c>
      <c r="BG41" s="118">
        <v>0.3</v>
      </c>
      <c r="BH41" s="12">
        <v>1</v>
      </c>
      <c r="BI41" s="12">
        <v>0</v>
      </c>
      <c r="BJ41" s="12">
        <v>0</v>
      </c>
      <c r="BK41" s="12">
        <v>0</v>
      </c>
      <c r="BL41" s="12">
        <v>0</v>
      </c>
      <c r="BM41" s="12">
        <v>0</v>
      </c>
      <c r="BN41" s="12">
        <v>0</v>
      </c>
      <c r="BO41" s="12" t="s">
        <v>1532</v>
      </c>
    </row>
    <row r="42" spans="1:67" x14ac:dyDescent="0.3">
      <c r="A42" s="12">
        <v>37</v>
      </c>
      <c r="B42" s="12" t="s">
        <v>438</v>
      </c>
      <c r="C42" s="118">
        <v>35</v>
      </c>
      <c r="D42" s="118">
        <v>0.02</v>
      </c>
      <c r="E42" s="118">
        <v>25</v>
      </c>
      <c r="F42" s="118">
        <v>8</v>
      </c>
      <c r="G42" s="118">
        <v>5</v>
      </c>
      <c r="H42" s="118">
        <v>0.99</v>
      </c>
      <c r="I42" s="118">
        <v>15.01</v>
      </c>
      <c r="J42" s="118">
        <v>50.95</v>
      </c>
      <c r="K42" s="118">
        <v>1</v>
      </c>
      <c r="L42" s="118">
        <v>1</v>
      </c>
      <c r="M42" s="141">
        <v>2</v>
      </c>
      <c r="N42" s="118">
        <v>7.0000000000000001E-3</v>
      </c>
      <c r="O42" s="118">
        <v>0.85</v>
      </c>
      <c r="P42" s="118">
        <v>5</v>
      </c>
      <c r="Q42" s="118">
        <v>1</v>
      </c>
      <c r="R42" s="118">
        <v>4</v>
      </c>
      <c r="S42" s="119">
        <v>660.4</v>
      </c>
      <c r="T42" s="119">
        <v>1.4999999999999999E-2</v>
      </c>
      <c r="U42" s="119">
        <v>2.0999999999999999E-3</v>
      </c>
      <c r="V42" s="119">
        <v>1.5699999999999999E-2</v>
      </c>
      <c r="W42" s="119">
        <v>0.01</v>
      </c>
      <c r="X42" s="119">
        <v>0.6</v>
      </c>
      <c r="Y42" s="119">
        <v>0.69</v>
      </c>
      <c r="Z42" s="119">
        <v>20</v>
      </c>
      <c r="AA42" s="119">
        <v>5</v>
      </c>
      <c r="AB42" s="119">
        <v>0.1</v>
      </c>
      <c r="AC42" s="119">
        <v>2.2200000000000001E-2</v>
      </c>
      <c r="AD42" s="119">
        <v>1.2699999999999999E-2</v>
      </c>
      <c r="AE42" s="119">
        <v>9.4999999999999998E-3</v>
      </c>
      <c r="AF42" s="119">
        <v>3.7000000000000002E-3</v>
      </c>
      <c r="AG42" s="119">
        <v>2.0999999999999999E-3</v>
      </c>
      <c r="AH42" s="119">
        <v>1.6000000000000001E-3</v>
      </c>
      <c r="AI42" s="119">
        <v>2.5000000000000001E-2</v>
      </c>
      <c r="AJ42" s="119">
        <v>1.4999999999999999E-2</v>
      </c>
      <c r="AK42" s="119">
        <v>0.01</v>
      </c>
      <c r="AL42" s="119">
        <v>3.39</v>
      </c>
      <c r="AM42" s="119">
        <v>3.39</v>
      </c>
      <c r="AN42" s="119">
        <v>3.39</v>
      </c>
      <c r="AO42" s="12">
        <v>6</v>
      </c>
      <c r="AP42" s="118">
        <v>5.05</v>
      </c>
      <c r="AQ42" s="118">
        <v>15.95</v>
      </c>
      <c r="AR42" s="118">
        <v>7</v>
      </c>
      <c r="AS42" s="118">
        <v>0.5</v>
      </c>
      <c r="AT42" s="118">
        <v>4.75</v>
      </c>
      <c r="AU42" s="118">
        <v>0.4</v>
      </c>
      <c r="AV42" s="118">
        <v>0.2</v>
      </c>
      <c r="AW42" s="118">
        <v>100</v>
      </c>
      <c r="AX42" s="118">
        <v>22.5</v>
      </c>
      <c r="AY42" s="118">
        <v>40.71</v>
      </c>
      <c r="AZ42" s="118">
        <v>0.04</v>
      </c>
      <c r="BA42" s="118">
        <v>2.8</v>
      </c>
      <c r="BB42" s="118">
        <v>0.01</v>
      </c>
      <c r="BC42" s="118">
        <v>0.1</v>
      </c>
      <c r="BD42" s="118">
        <v>0</v>
      </c>
      <c r="BE42" s="118">
        <v>0</v>
      </c>
      <c r="BF42" s="118">
        <v>0</v>
      </c>
      <c r="BG42" s="118">
        <v>0.3</v>
      </c>
      <c r="BH42" s="12">
        <v>1</v>
      </c>
      <c r="BI42" s="12">
        <v>0</v>
      </c>
      <c r="BJ42" s="12">
        <v>0</v>
      </c>
      <c r="BK42" s="12">
        <v>0</v>
      </c>
      <c r="BL42" s="12">
        <v>0</v>
      </c>
      <c r="BM42" s="12">
        <v>0</v>
      </c>
      <c r="BN42" s="12">
        <v>0</v>
      </c>
      <c r="BO42" s="12" t="s">
        <v>1533</v>
      </c>
    </row>
    <row r="43" spans="1:67" x14ac:dyDescent="0.3">
      <c r="A43" s="12">
        <v>38</v>
      </c>
      <c r="B43" s="12" t="s">
        <v>439</v>
      </c>
      <c r="C43" s="118">
        <v>35</v>
      </c>
      <c r="D43" s="118">
        <v>0.02</v>
      </c>
      <c r="E43" s="118">
        <v>15</v>
      </c>
      <c r="F43" s="118">
        <v>0</v>
      </c>
      <c r="G43" s="118">
        <v>5</v>
      </c>
      <c r="H43" s="118">
        <v>0.7</v>
      </c>
      <c r="I43" s="118">
        <v>15.05</v>
      </c>
      <c r="J43" s="118">
        <v>50.95</v>
      </c>
      <c r="K43" s="118">
        <v>1</v>
      </c>
      <c r="L43" s="118">
        <v>1</v>
      </c>
      <c r="M43" s="141">
        <v>2</v>
      </c>
      <c r="N43" s="118">
        <v>7.0000000000000001E-3</v>
      </c>
      <c r="O43" s="118">
        <v>0.85</v>
      </c>
      <c r="P43" s="118">
        <v>5</v>
      </c>
      <c r="Q43" s="118">
        <v>1</v>
      </c>
      <c r="R43" s="118">
        <v>2</v>
      </c>
      <c r="S43" s="119">
        <v>660.47</v>
      </c>
      <c r="T43" s="119">
        <v>1.4999999999999999E-2</v>
      </c>
      <c r="U43" s="119">
        <v>1.8E-3</v>
      </c>
      <c r="V43" s="119">
        <v>1.11E-2</v>
      </c>
      <c r="W43" s="119">
        <v>0.01</v>
      </c>
      <c r="X43" s="119">
        <v>0.6</v>
      </c>
      <c r="Y43" s="119">
        <v>0.4</v>
      </c>
      <c r="Z43" s="119">
        <v>120</v>
      </c>
      <c r="AA43" s="119">
        <v>5</v>
      </c>
      <c r="AB43" s="119">
        <v>0.1</v>
      </c>
      <c r="AC43" s="119">
        <v>2.76E-2</v>
      </c>
      <c r="AD43" s="119">
        <v>1.55E-2</v>
      </c>
      <c r="AE43" s="119">
        <v>1.0999999999999999E-2</v>
      </c>
      <c r="AF43" s="119">
        <v>3.0999999999999999E-3</v>
      </c>
      <c r="AG43" s="119">
        <v>1.8E-3</v>
      </c>
      <c r="AH43" s="119">
        <v>1.2999999999999999E-3</v>
      </c>
      <c r="AI43" s="119">
        <v>0.03</v>
      </c>
      <c r="AJ43" s="119">
        <v>2.5000000000000001E-2</v>
      </c>
      <c r="AK43" s="119">
        <v>0.02</v>
      </c>
      <c r="AL43" s="119">
        <v>3.39</v>
      </c>
      <c r="AM43" s="119">
        <v>3.39</v>
      </c>
      <c r="AN43" s="119">
        <v>1.61</v>
      </c>
      <c r="AO43" s="12">
        <v>6</v>
      </c>
      <c r="AP43" s="118">
        <v>5.01</v>
      </c>
      <c r="AQ43" s="118">
        <v>15.1</v>
      </c>
      <c r="AR43" s="118">
        <v>6</v>
      </c>
      <c r="AS43" s="118">
        <v>0.5</v>
      </c>
      <c r="AT43" s="118">
        <v>4.75</v>
      </c>
      <c r="AU43" s="118">
        <v>0.4</v>
      </c>
      <c r="AV43" s="118">
        <v>0.2</v>
      </c>
      <c r="AW43" s="118">
        <v>100</v>
      </c>
      <c r="AX43" s="118">
        <v>22.5</v>
      </c>
      <c r="AY43" s="118">
        <v>40.71</v>
      </c>
      <c r="AZ43" s="118">
        <v>0.05</v>
      </c>
      <c r="BA43" s="118">
        <v>3.9</v>
      </c>
      <c r="BB43" s="118">
        <v>0.01</v>
      </c>
      <c r="BC43" s="118">
        <v>0.1</v>
      </c>
      <c r="BD43" s="118">
        <v>0</v>
      </c>
      <c r="BE43" s="118">
        <v>0</v>
      </c>
      <c r="BF43" s="118">
        <v>0</v>
      </c>
      <c r="BG43" s="118">
        <v>0.3</v>
      </c>
      <c r="BH43" s="12">
        <v>1</v>
      </c>
      <c r="BI43" s="12">
        <v>0</v>
      </c>
      <c r="BJ43" s="12">
        <v>0</v>
      </c>
      <c r="BK43" s="12">
        <v>0</v>
      </c>
      <c r="BL43" s="12">
        <v>0</v>
      </c>
      <c r="BM43" s="12">
        <v>0</v>
      </c>
      <c r="BN43" s="12">
        <v>0</v>
      </c>
      <c r="BO43" s="12" t="s">
        <v>1534</v>
      </c>
    </row>
    <row r="44" spans="1:67" x14ac:dyDescent="0.3">
      <c r="A44" s="12">
        <v>39</v>
      </c>
      <c r="B44" s="12" t="s">
        <v>440</v>
      </c>
      <c r="C44" s="118">
        <v>30</v>
      </c>
      <c r="D44" s="118">
        <v>0.02</v>
      </c>
      <c r="E44" s="118">
        <v>15</v>
      </c>
      <c r="F44" s="118">
        <v>0</v>
      </c>
      <c r="G44" s="118">
        <v>3</v>
      </c>
      <c r="H44" s="118">
        <v>0.8</v>
      </c>
      <c r="I44" s="118">
        <v>35.01</v>
      </c>
      <c r="J44" s="118">
        <v>62.95</v>
      </c>
      <c r="K44" s="118">
        <v>1</v>
      </c>
      <c r="L44" s="118">
        <v>1</v>
      </c>
      <c r="M44" s="141">
        <v>2</v>
      </c>
      <c r="N44" s="118">
        <v>7.0000000000000001E-3</v>
      </c>
      <c r="O44" s="118">
        <v>0.75</v>
      </c>
      <c r="P44" s="118">
        <v>90</v>
      </c>
      <c r="Q44" s="118">
        <v>1.1000000000000001</v>
      </c>
      <c r="R44" s="118">
        <v>1.3</v>
      </c>
      <c r="S44" s="119">
        <v>660.41</v>
      </c>
      <c r="T44" s="119">
        <v>2.3E-2</v>
      </c>
      <c r="U44" s="119">
        <v>3.7000000000000002E-3</v>
      </c>
      <c r="V44" s="119">
        <v>6.0000000000000001E-3</v>
      </c>
      <c r="W44" s="119">
        <v>0.01</v>
      </c>
      <c r="X44" s="119">
        <v>0.6</v>
      </c>
      <c r="Y44" s="119">
        <v>0.4</v>
      </c>
      <c r="Z44" s="119">
        <v>120</v>
      </c>
      <c r="AA44" s="119">
        <v>5</v>
      </c>
      <c r="AB44" s="119">
        <v>0.1</v>
      </c>
      <c r="AC44" s="119">
        <v>2.5000000000000001E-2</v>
      </c>
      <c r="AD44" s="119">
        <v>1.7999999999999999E-2</v>
      </c>
      <c r="AE44" s="119">
        <v>1.4E-2</v>
      </c>
      <c r="AF44" s="119">
        <v>4.0000000000000001E-3</v>
      </c>
      <c r="AG44" s="119">
        <v>3.0000000000000001E-3</v>
      </c>
      <c r="AH44" s="119">
        <v>2.3999999999999998E-3</v>
      </c>
      <c r="AI44" s="119">
        <v>1.7999999999999999E-2</v>
      </c>
      <c r="AJ44" s="119">
        <v>1.4999999999999999E-2</v>
      </c>
      <c r="AK44" s="119">
        <v>1.2E-2</v>
      </c>
      <c r="AL44" s="119">
        <v>3.39</v>
      </c>
      <c r="AM44" s="119">
        <v>3.39</v>
      </c>
      <c r="AN44" s="119">
        <v>1.61</v>
      </c>
      <c r="AO44" s="12">
        <v>6</v>
      </c>
      <c r="AP44" s="118">
        <v>5.01</v>
      </c>
      <c r="AQ44" s="118">
        <v>15.1</v>
      </c>
      <c r="AR44" s="118">
        <v>8</v>
      </c>
      <c r="AS44" s="118">
        <v>0.5</v>
      </c>
      <c r="AT44" s="118">
        <v>4.75</v>
      </c>
      <c r="AU44" s="118">
        <v>0.4</v>
      </c>
      <c r="AV44" s="118">
        <v>0.2</v>
      </c>
      <c r="AW44" s="118">
        <v>100</v>
      </c>
      <c r="AX44" s="118">
        <v>22.5</v>
      </c>
      <c r="AY44" s="118">
        <v>40.71</v>
      </c>
      <c r="AZ44" s="118">
        <v>7.0000000000000007E-2</v>
      </c>
      <c r="BA44" s="118">
        <v>6</v>
      </c>
      <c r="BB44" s="118">
        <v>0.01</v>
      </c>
      <c r="BC44" s="118">
        <v>0.1</v>
      </c>
      <c r="BD44" s="118">
        <v>0</v>
      </c>
      <c r="BE44" s="118">
        <v>0</v>
      </c>
      <c r="BF44" s="118">
        <v>0</v>
      </c>
      <c r="BG44" s="118">
        <v>0.3</v>
      </c>
      <c r="BH44" s="12">
        <v>1</v>
      </c>
      <c r="BI44" s="12">
        <v>0</v>
      </c>
      <c r="BJ44" s="12">
        <v>0</v>
      </c>
      <c r="BK44" s="12">
        <v>0</v>
      </c>
      <c r="BL44" s="12">
        <v>0</v>
      </c>
      <c r="BM44" s="12">
        <v>0</v>
      </c>
      <c r="BN44" s="12">
        <v>0</v>
      </c>
      <c r="BO44" s="12" t="s">
        <v>1535</v>
      </c>
    </row>
    <row r="45" spans="1:67" x14ac:dyDescent="0.3">
      <c r="A45" s="12">
        <v>40</v>
      </c>
      <c r="B45" s="12" t="s">
        <v>441</v>
      </c>
      <c r="C45" s="118">
        <v>30</v>
      </c>
      <c r="D45" s="118">
        <v>0.02</v>
      </c>
      <c r="E45" s="118">
        <v>15</v>
      </c>
      <c r="F45" s="118">
        <v>0</v>
      </c>
      <c r="G45" s="118">
        <v>3</v>
      </c>
      <c r="H45" s="118">
        <v>0.8</v>
      </c>
      <c r="I45" s="118">
        <v>35.01</v>
      </c>
      <c r="J45" s="118">
        <v>62.95</v>
      </c>
      <c r="K45" s="118">
        <v>1</v>
      </c>
      <c r="L45" s="118">
        <v>1</v>
      </c>
      <c r="M45" s="141">
        <v>2</v>
      </c>
      <c r="N45" s="118">
        <v>7.0000000000000001E-3</v>
      </c>
      <c r="O45" s="118">
        <v>0.75</v>
      </c>
      <c r="P45" s="118">
        <v>90</v>
      </c>
      <c r="Q45" s="118">
        <v>1</v>
      </c>
      <c r="R45" s="118">
        <v>1.3</v>
      </c>
      <c r="S45" s="119">
        <v>660.41</v>
      </c>
      <c r="T45" s="119">
        <v>2.3E-2</v>
      </c>
      <c r="U45" s="119">
        <v>3.7000000000000002E-3</v>
      </c>
      <c r="V45" s="119">
        <v>6.0000000000000001E-3</v>
      </c>
      <c r="W45" s="119">
        <v>0.01</v>
      </c>
      <c r="X45" s="119">
        <v>0.6</v>
      </c>
      <c r="Y45" s="119">
        <v>0.4</v>
      </c>
      <c r="Z45" s="119">
        <v>120</v>
      </c>
      <c r="AA45" s="119">
        <v>5</v>
      </c>
      <c r="AB45" s="119">
        <v>0.1</v>
      </c>
      <c r="AC45" s="119">
        <v>2.5000000000000001E-2</v>
      </c>
      <c r="AD45" s="119">
        <v>1.7999999999999999E-2</v>
      </c>
      <c r="AE45" s="119">
        <v>1.4E-2</v>
      </c>
      <c r="AF45" s="119">
        <v>4.0000000000000001E-3</v>
      </c>
      <c r="AG45" s="119">
        <v>3.0000000000000001E-3</v>
      </c>
      <c r="AH45" s="119">
        <v>2.3999999999999998E-3</v>
      </c>
      <c r="AI45" s="119">
        <v>1.7999999999999999E-2</v>
      </c>
      <c r="AJ45" s="119">
        <v>1.4999999999999999E-2</v>
      </c>
      <c r="AK45" s="119">
        <v>1.2E-2</v>
      </c>
      <c r="AL45" s="119">
        <v>3.39</v>
      </c>
      <c r="AM45" s="119">
        <v>3.39</v>
      </c>
      <c r="AN45" s="119">
        <v>1.61</v>
      </c>
      <c r="AO45" s="12">
        <v>6</v>
      </c>
      <c r="AP45" s="118">
        <v>5.01</v>
      </c>
      <c r="AQ45" s="118">
        <v>15.1</v>
      </c>
      <c r="AR45" s="118">
        <v>8</v>
      </c>
      <c r="AS45" s="118">
        <v>0.5</v>
      </c>
      <c r="AT45" s="118">
        <v>4.75</v>
      </c>
      <c r="AU45" s="118">
        <v>0.4</v>
      </c>
      <c r="AV45" s="118">
        <v>0.2</v>
      </c>
      <c r="AW45" s="118">
        <v>100</v>
      </c>
      <c r="AX45" s="118">
        <v>22.5</v>
      </c>
      <c r="AY45" s="118">
        <v>40.71</v>
      </c>
      <c r="AZ45" s="118">
        <v>7.0000000000000007E-2</v>
      </c>
      <c r="BA45" s="118">
        <v>6</v>
      </c>
      <c r="BB45" s="118">
        <v>0.01</v>
      </c>
      <c r="BC45" s="118">
        <v>0.1</v>
      </c>
      <c r="BD45" s="118">
        <v>0</v>
      </c>
      <c r="BE45" s="118">
        <v>0</v>
      </c>
      <c r="BF45" s="118">
        <v>0</v>
      </c>
      <c r="BG45" s="118">
        <v>0.3</v>
      </c>
      <c r="BH45" s="12">
        <v>1</v>
      </c>
      <c r="BI45" s="12">
        <v>0</v>
      </c>
      <c r="BJ45" s="12">
        <v>0</v>
      </c>
      <c r="BK45" s="12">
        <v>0</v>
      </c>
      <c r="BL45" s="12">
        <v>0</v>
      </c>
      <c r="BM45" s="12">
        <v>0</v>
      </c>
      <c r="BN45" s="12">
        <v>0</v>
      </c>
      <c r="BO45" s="12" t="s">
        <v>1536</v>
      </c>
    </row>
    <row r="46" spans="1:67" x14ac:dyDescent="0.3">
      <c r="A46" s="12">
        <v>41</v>
      </c>
      <c r="B46" s="12" t="s">
        <v>442</v>
      </c>
      <c r="C46" s="118">
        <v>30</v>
      </c>
      <c r="D46" s="118">
        <v>0.02</v>
      </c>
      <c r="E46" s="118">
        <v>18</v>
      </c>
      <c r="F46" s="118">
        <v>0</v>
      </c>
      <c r="G46" s="118">
        <v>5</v>
      </c>
      <c r="H46" s="118">
        <v>0.5</v>
      </c>
      <c r="I46" s="118">
        <v>15.01</v>
      </c>
      <c r="J46" s="118">
        <v>50.95</v>
      </c>
      <c r="K46" s="118">
        <v>0.5</v>
      </c>
      <c r="L46" s="118">
        <v>1</v>
      </c>
      <c r="M46" s="141">
        <v>2</v>
      </c>
      <c r="N46" s="118">
        <v>7.0000000000000001E-3</v>
      </c>
      <c r="O46" s="118">
        <v>0.85</v>
      </c>
      <c r="P46" s="118">
        <v>25</v>
      </c>
      <c r="Q46" s="118">
        <v>0.8</v>
      </c>
      <c r="R46" s="118">
        <v>2</v>
      </c>
      <c r="S46" s="119">
        <v>660.41</v>
      </c>
      <c r="T46" s="119">
        <v>2.1999999999999999E-2</v>
      </c>
      <c r="U46" s="119">
        <v>2.8E-3</v>
      </c>
      <c r="V46" s="119">
        <v>6.0000000000000001E-3</v>
      </c>
      <c r="W46" s="119">
        <v>0.01</v>
      </c>
      <c r="X46" s="119">
        <v>0.6</v>
      </c>
      <c r="Y46" s="119">
        <v>1.33</v>
      </c>
      <c r="Z46" s="119">
        <v>120</v>
      </c>
      <c r="AA46" s="119">
        <v>5</v>
      </c>
      <c r="AB46" s="119">
        <v>0.1</v>
      </c>
      <c r="AC46" s="119">
        <v>6.6000000000000003E-2</v>
      </c>
      <c r="AD46" s="119">
        <v>2.5000000000000001E-2</v>
      </c>
      <c r="AE46" s="119">
        <v>1.47E-2</v>
      </c>
      <c r="AF46" s="119">
        <v>1.0500000000000001E-2</v>
      </c>
      <c r="AG46" s="119">
        <v>4.0000000000000001E-3</v>
      </c>
      <c r="AH46" s="119">
        <v>2.3999999999999998E-3</v>
      </c>
      <c r="AI46" s="119">
        <v>2.3E-2</v>
      </c>
      <c r="AJ46" s="119">
        <v>1.4999999999999999E-2</v>
      </c>
      <c r="AK46" s="119">
        <v>1.0999999999999999E-2</v>
      </c>
      <c r="AL46" s="119">
        <v>3.39</v>
      </c>
      <c r="AM46" s="119">
        <v>3.39</v>
      </c>
      <c r="AN46" s="119">
        <v>1.61</v>
      </c>
      <c r="AO46" s="12">
        <v>5</v>
      </c>
      <c r="AP46" s="118">
        <v>5.01</v>
      </c>
      <c r="AQ46" s="118">
        <v>15.1</v>
      </c>
      <c r="AR46" s="118">
        <v>6</v>
      </c>
      <c r="AS46" s="118">
        <v>0.5</v>
      </c>
      <c r="AT46" s="118">
        <v>4.75</v>
      </c>
      <c r="AU46" s="118">
        <v>0.4</v>
      </c>
      <c r="AV46" s="118">
        <v>0.2</v>
      </c>
      <c r="AW46" s="118">
        <v>100</v>
      </c>
      <c r="AX46" s="118">
        <v>22.5</v>
      </c>
      <c r="AY46" s="118">
        <v>40.71</v>
      </c>
      <c r="AZ46" s="118">
        <v>7.0000000000000007E-2</v>
      </c>
      <c r="BA46" s="118">
        <v>6</v>
      </c>
      <c r="BB46" s="118">
        <v>0.01</v>
      </c>
      <c r="BC46" s="118">
        <v>0.1</v>
      </c>
      <c r="BD46" s="118">
        <v>0</v>
      </c>
      <c r="BE46" s="118">
        <v>0</v>
      </c>
      <c r="BF46" s="118">
        <v>0</v>
      </c>
      <c r="BG46" s="118">
        <v>0.54</v>
      </c>
      <c r="BH46" s="12">
        <v>1</v>
      </c>
      <c r="BI46" s="12">
        <v>0</v>
      </c>
      <c r="BJ46" s="12">
        <v>0</v>
      </c>
      <c r="BK46" s="12">
        <v>0</v>
      </c>
      <c r="BL46" s="12">
        <v>0</v>
      </c>
      <c r="BM46" s="12">
        <v>0</v>
      </c>
      <c r="BN46" s="12">
        <v>0</v>
      </c>
      <c r="BO46" s="12" t="s">
        <v>1537</v>
      </c>
    </row>
    <row r="47" spans="1:67" x14ac:dyDescent="0.3">
      <c r="A47" s="12">
        <v>42</v>
      </c>
      <c r="B47" s="12" t="s">
        <v>443</v>
      </c>
      <c r="C47" s="118">
        <v>35</v>
      </c>
      <c r="D47" s="118">
        <v>0.02</v>
      </c>
      <c r="E47" s="118">
        <v>25</v>
      </c>
      <c r="F47" s="118">
        <v>8</v>
      </c>
      <c r="G47" s="118">
        <v>5</v>
      </c>
      <c r="H47" s="118">
        <v>0.85</v>
      </c>
      <c r="I47" s="118">
        <v>50.01</v>
      </c>
      <c r="J47" s="118">
        <v>89.95</v>
      </c>
      <c r="K47" s="118">
        <v>2</v>
      </c>
      <c r="L47" s="118">
        <v>1</v>
      </c>
      <c r="M47" s="141">
        <v>4</v>
      </c>
      <c r="N47" s="118">
        <v>7.0000000000000001E-3</v>
      </c>
      <c r="O47" s="118">
        <v>0.85</v>
      </c>
      <c r="P47" s="118">
        <v>5</v>
      </c>
      <c r="Q47" s="118">
        <v>0.6</v>
      </c>
      <c r="R47" s="118">
        <v>1.3</v>
      </c>
      <c r="S47" s="119">
        <v>660.47</v>
      </c>
      <c r="T47" s="119">
        <v>1.5100000000000001E-2</v>
      </c>
      <c r="U47" s="119">
        <v>2.3999999999999998E-3</v>
      </c>
      <c r="V47" s="119">
        <v>1.11E-2</v>
      </c>
      <c r="W47" s="119">
        <v>0.01</v>
      </c>
      <c r="X47" s="119">
        <v>0.6</v>
      </c>
      <c r="Y47" s="119">
        <v>0.69</v>
      </c>
      <c r="Z47" s="119">
        <v>20</v>
      </c>
      <c r="AA47" s="119">
        <v>5</v>
      </c>
      <c r="AB47" s="119">
        <v>0.1</v>
      </c>
      <c r="AC47" s="119">
        <v>2.76E-2</v>
      </c>
      <c r="AD47" s="119">
        <v>1.55E-2</v>
      </c>
      <c r="AE47" s="119">
        <v>1.0999999999999999E-2</v>
      </c>
      <c r="AF47" s="119">
        <v>3.0999999999999999E-3</v>
      </c>
      <c r="AG47" s="119">
        <v>1.8E-3</v>
      </c>
      <c r="AH47" s="119">
        <v>1.2999999999999999E-3</v>
      </c>
      <c r="AI47" s="119">
        <v>2.3E-2</v>
      </c>
      <c r="AJ47" s="119">
        <v>2.3E-2</v>
      </c>
      <c r="AK47" s="119">
        <v>2.3E-2</v>
      </c>
      <c r="AL47" s="119">
        <v>3.39</v>
      </c>
      <c r="AM47" s="119">
        <v>3.39</v>
      </c>
      <c r="AN47" s="119">
        <v>3.39</v>
      </c>
      <c r="AO47" s="12">
        <v>6</v>
      </c>
      <c r="AP47" s="118">
        <v>5.01</v>
      </c>
      <c r="AQ47" s="118">
        <v>15.95</v>
      </c>
      <c r="AR47" s="118">
        <v>8</v>
      </c>
      <c r="AS47" s="118">
        <v>0.5</v>
      </c>
      <c r="AT47" s="118">
        <v>4.75</v>
      </c>
      <c r="AU47" s="118">
        <v>0.4</v>
      </c>
      <c r="AV47" s="118">
        <v>0.2</v>
      </c>
      <c r="AW47" s="118">
        <v>100</v>
      </c>
      <c r="AX47" s="118">
        <v>22.5</v>
      </c>
      <c r="AY47" s="118">
        <v>40.71</v>
      </c>
      <c r="AZ47" s="118">
        <v>7.0000000000000007E-2</v>
      </c>
      <c r="BA47" s="118">
        <v>6</v>
      </c>
      <c r="BB47" s="118">
        <v>0.01</v>
      </c>
      <c r="BC47" s="118">
        <v>0.1</v>
      </c>
      <c r="BD47" s="118">
        <v>0</v>
      </c>
      <c r="BE47" s="118">
        <v>0</v>
      </c>
      <c r="BF47" s="118">
        <v>0</v>
      </c>
      <c r="BG47" s="118">
        <v>0.3</v>
      </c>
      <c r="BH47" s="12">
        <v>1</v>
      </c>
      <c r="BI47" s="12">
        <v>0</v>
      </c>
      <c r="BJ47" s="12">
        <v>0</v>
      </c>
      <c r="BK47" s="12">
        <v>0</v>
      </c>
      <c r="BL47" s="12">
        <v>0</v>
      </c>
      <c r="BM47" s="12">
        <v>0</v>
      </c>
      <c r="BN47" s="12">
        <v>0</v>
      </c>
      <c r="BO47" s="12" t="s">
        <v>3832</v>
      </c>
    </row>
    <row r="48" spans="1:67" x14ac:dyDescent="0.3">
      <c r="A48" s="12">
        <v>43</v>
      </c>
      <c r="B48" s="12" t="s">
        <v>444</v>
      </c>
      <c r="C48" s="118">
        <v>35</v>
      </c>
      <c r="D48" s="118">
        <v>0.02</v>
      </c>
      <c r="E48" s="118">
        <v>25</v>
      </c>
      <c r="F48" s="118">
        <v>8</v>
      </c>
      <c r="G48" s="118">
        <v>5</v>
      </c>
      <c r="H48" s="118">
        <v>0.85</v>
      </c>
      <c r="I48" s="118">
        <v>15.01</v>
      </c>
      <c r="J48" s="118">
        <v>50.95</v>
      </c>
      <c r="K48" s="118">
        <v>2</v>
      </c>
      <c r="L48" s="118">
        <v>1</v>
      </c>
      <c r="M48" s="141">
        <v>4</v>
      </c>
      <c r="N48" s="118">
        <v>7.0000000000000001E-3</v>
      </c>
      <c r="O48" s="118">
        <v>0.85</v>
      </c>
      <c r="P48" s="118">
        <v>5</v>
      </c>
      <c r="Q48" s="118">
        <v>0.8</v>
      </c>
      <c r="R48" s="118">
        <v>2</v>
      </c>
      <c r="S48" s="119">
        <v>660.47</v>
      </c>
      <c r="T48" s="119">
        <v>1.4999999999999999E-2</v>
      </c>
      <c r="U48" s="119">
        <v>1.8E-3</v>
      </c>
      <c r="V48" s="119">
        <v>1.11E-2</v>
      </c>
      <c r="W48" s="119">
        <v>0.01</v>
      </c>
      <c r="X48" s="119">
        <v>0.6</v>
      </c>
      <c r="Y48" s="119">
        <v>0.69</v>
      </c>
      <c r="Z48" s="119">
        <v>20</v>
      </c>
      <c r="AA48" s="119">
        <v>5</v>
      </c>
      <c r="AB48" s="119">
        <v>0.1</v>
      </c>
      <c r="AC48" s="119">
        <v>2.76E-2</v>
      </c>
      <c r="AD48" s="119">
        <v>1.55E-2</v>
      </c>
      <c r="AE48" s="119">
        <v>1.0999999999999999E-2</v>
      </c>
      <c r="AF48" s="119">
        <v>3.0999999999999999E-3</v>
      </c>
      <c r="AG48" s="119">
        <v>1.8E-3</v>
      </c>
      <c r="AH48" s="119">
        <v>1.2999999999999999E-3</v>
      </c>
      <c r="AI48" s="119">
        <v>2.3E-2</v>
      </c>
      <c r="AJ48" s="119">
        <v>2.3E-2</v>
      </c>
      <c r="AK48" s="119">
        <v>2.3E-2</v>
      </c>
      <c r="AL48" s="119">
        <v>3.39</v>
      </c>
      <c r="AM48" s="119">
        <v>3.39</v>
      </c>
      <c r="AN48" s="119">
        <v>3.39</v>
      </c>
      <c r="AO48" s="12">
        <v>6</v>
      </c>
      <c r="AP48" s="118">
        <v>5.01</v>
      </c>
      <c r="AQ48" s="118">
        <v>15.95</v>
      </c>
      <c r="AR48" s="118">
        <v>8</v>
      </c>
      <c r="AS48" s="118">
        <v>0.5</v>
      </c>
      <c r="AT48" s="118">
        <v>4.75</v>
      </c>
      <c r="AU48" s="118">
        <v>0.4</v>
      </c>
      <c r="AV48" s="118">
        <v>0.2</v>
      </c>
      <c r="AW48" s="118">
        <v>100</v>
      </c>
      <c r="AX48" s="118">
        <v>22.5</v>
      </c>
      <c r="AY48" s="118">
        <v>40.71</v>
      </c>
      <c r="AZ48" s="118">
        <v>7.0000000000000007E-2</v>
      </c>
      <c r="BA48" s="118">
        <v>6</v>
      </c>
      <c r="BB48" s="118">
        <v>0.01</v>
      </c>
      <c r="BC48" s="118">
        <v>0.1</v>
      </c>
      <c r="BD48" s="118">
        <v>0</v>
      </c>
      <c r="BE48" s="118">
        <v>0</v>
      </c>
      <c r="BF48" s="118">
        <v>0</v>
      </c>
      <c r="BG48" s="118">
        <v>0.3</v>
      </c>
      <c r="BH48" s="12">
        <v>1</v>
      </c>
      <c r="BI48" s="12">
        <v>0</v>
      </c>
      <c r="BJ48" s="12">
        <v>0</v>
      </c>
      <c r="BK48" s="12">
        <v>0</v>
      </c>
      <c r="BL48" s="12">
        <v>0</v>
      </c>
      <c r="BM48" s="12">
        <v>0</v>
      </c>
      <c r="BN48" s="12">
        <v>0</v>
      </c>
      <c r="BO48" s="12" t="s">
        <v>3833</v>
      </c>
    </row>
    <row r="49" spans="1:67" x14ac:dyDescent="0.3">
      <c r="A49" s="12">
        <v>44</v>
      </c>
      <c r="B49" s="12" t="s">
        <v>445</v>
      </c>
      <c r="C49" s="118">
        <v>35</v>
      </c>
      <c r="D49" s="118">
        <v>0.02</v>
      </c>
      <c r="E49" s="118">
        <v>25</v>
      </c>
      <c r="F49" s="118">
        <v>8</v>
      </c>
      <c r="G49" s="118">
        <v>5</v>
      </c>
      <c r="H49" s="118">
        <v>0.85</v>
      </c>
      <c r="I49" s="118">
        <v>15.01</v>
      </c>
      <c r="J49" s="118">
        <v>50.95</v>
      </c>
      <c r="K49" s="118">
        <v>2</v>
      </c>
      <c r="L49" s="118">
        <v>1</v>
      </c>
      <c r="M49" s="141">
        <v>4</v>
      </c>
      <c r="N49" s="118">
        <v>7.0000000000000001E-3</v>
      </c>
      <c r="O49" s="118">
        <v>0.85</v>
      </c>
      <c r="P49" s="118">
        <v>5</v>
      </c>
      <c r="Q49" s="118">
        <v>0.7</v>
      </c>
      <c r="R49" s="118">
        <v>2</v>
      </c>
      <c r="S49" s="119">
        <v>660.47</v>
      </c>
      <c r="T49" s="119">
        <v>1.4200000000000001E-2</v>
      </c>
      <c r="U49" s="119">
        <v>2.7000000000000001E-3</v>
      </c>
      <c r="V49" s="119">
        <v>1.11E-2</v>
      </c>
      <c r="W49" s="119">
        <v>0.01</v>
      </c>
      <c r="X49" s="119">
        <v>0.6</v>
      </c>
      <c r="Y49" s="119">
        <v>0.69</v>
      </c>
      <c r="Z49" s="119">
        <v>20</v>
      </c>
      <c r="AA49" s="119">
        <v>5</v>
      </c>
      <c r="AB49" s="119">
        <v>0.1</v>
      </c>
      <c r="AC49" s="119">
        <v>2.76E-2</v>
      </c>
      <c r="AD49" s="119">
        <v>1.55E-2</v>
      </c>
      <c r="AE49" s="119">
        <v>1.0999999999999999E-2</v>
      </c>
      <c r="AF49" s="119">
        <v>3.0999999999999999E-3</v>
      </c>
      <c r="AG49" s="119">
        <v>1.8E-3</v>
      </c>
      <c r="AH49" s="119">
        <v>1.2999999999999999E-3</v>
      </c>
      <c r="AI49" s="119">
        <v>2.7E-2</v>
      </c>
      <c r="AJ49" s="119">
        <v>2.7E-2</v>
      </c>
      <c r="AK49" s="119">
        <v>2.7E-2</v>
      </c>
      <c r="AL49" s="119">
        <v>3.39</v>
      </c>
      <c r="AM49" s="119">
        <v>3.39</v>
      </c>
      <c r="AN49" s="119">
        <v>3.39</v>
      </c>
      <c r="AO49" s="12">
        <v>6</v>
      </c>
      <c r="AP49" s="118">
        <v>5.01</v>
      </c>
      <c r="AQ49" s="118">
        <v>15.95</v>
      </c>
      <c r="AR49" s="118">
        <v>8</v>
      </c>
      <c r="AS49" s="118">
        <v>0.5</v>
      </c>
      <c r="AT49" s="118">
        <v>4.75</v>
      </c>
      <c r="AU49" s="118">
        <v>0.4</v>
      </c>
      <c r="AV49" s="118">
        <v>0.2</v>
      </c>
      <c r="AW49" s="118">
        <v>100</v>
      </c>
      <c r="AX49" s="118">
        <v>22.5</v>
      </c>
      <c r="AY49" s="118">
        <v>40.71</v>
      </c>
      <c r="AZ49" s="118">
        <v>7.0000000000000007E-2</v>
      </c>
      <c r="BA49" s="118">
        <v>6</v>
      </c>
      <c r="BB49" s="118">
        <v>0.01</v>
      </c>
      <c r="BC49" s="118">
        <v>0.1</v>
      </c>
      <c r="BD49" s="118">
        <v>0</v>
      </c>
      <c r="BE49" s="118">
        <v>0</v>
      </c>
      <c r="BF49" s="118">
        <v>0</v>
      </c>
      <c r="BG49" s="118">
        <v>0.3</v>
      </c>
      <c r="BH49" s="12">
        <v>1</v>
      </c>
      <c r="BI49" s="12">
        <v>0</v>
      </c>
      <c r="BJ49" s="12">
        <v>0</v>
      </c>
      <c r="BK49" s="12">
        <v>0</v>
      </c>
      <c r="BL49" s="12">
        <v>0</v>
      </c>
      <c r="BM49" s="12">
        <v>0</v>
      </c>
      <c r="BN49" s="12">
        <v>0</v>
      </c>
      <c r="BO49" s="12" t="s">
        <v>3834</v>
      </c>
    </row>
    <row r="50" spans="1:67" x14ac:dyDescent="0.3">
      <c r="A50" s="12">
        <v>45</v>
      </c>
      <c r="B50" s="12" t="s">
        <v>446</v>
      </c>
      <c r="C50" s="118">
        <v>35</v>
      </c>
      <c r="D50" s="118">
        <v>0.02</v>
      </c>
      <c r="E50" s="118">
        <v>25</v>
      </c>
      <c r="F50" s="118">
        <v>6</v>
      </c>
      <c r="G50" s="118">
        <v>5</v>
      </c>
      <c r="H50" s="118">
        <v>0.85</v>
      </c>
      <c r="I50" s="118">
        <v>35.01</v>
      </c>
      <c r="J50" s="118">
        <v>62.95</v>
      </c>
      <c r="K50" s="118">
        <v>2</v>
      </c>
      <c r="L50" s="118">
        <v>1</v>
      </c>
      <c r="M50" s="141">
        <v>4</v>
      </c>
      <c r="N50" s="118">
        <v>7.0000000000000001E-3</v>
      </c>
      <c r="O50" s="118">
        <v>0.85</v>
      </c>
      <c r="P50" s="118">
        <v>5</v>
      </c>
      <c r="Q50" s="118">
        <v>0.7</v>
      </c>
      <c r="R50" s="118">
        <v>1.3</v>
      </c>
      <c r="S50" s="119">
        <v>660.47</v>
      </c>
      <c r="T50" s="119">
        <v>1.6299999999999999E-2</v>
      </c>
      <c r="U50" s="119">
        <v>1.8E-3</v>
      </c>
      <c r="V50" s="119">
        <v>1.11E-2</v>
      </c>
      <c r="W50" s="119">
        <v>0.01</v>
      </c>
      <c r="X50" s="119">
        <v>0.6</v>
      </c>
      <c r="Y50" s="119">
        <v>0.69</v>
      </c>
      <c r="Z50" s="119">
        <v>20</v>
      </c>
      <c r="AA50" s="119">
        <v>5</v>
      </c>
      <c r="AB50" s="119">
        <v>0.1</v>
      </c>
      <c r="AC50" s="119">
        <v>2.76E-2</v>
      </c>
      <c r="AD50" s="119">
        <v>1.55E-2</v>
      </c>
      <c r="AE50" s="119">
        <v>1.0999999999999999E-2</v>
      </c>
      <c r="AF50" s="119">
        <v>3.0999999999999999E-3</v>
      </c>
      <c r="AG50" s="119">
        <v>1.8E-3</v>
      </c>
      <c r="AH50" s="119">
        <v>1.2999999999999999E-3</v>
      </c>
      <c r="AI50" s="119">
        <v>2.3E-2</v>
      </c>
      <c r="AJ50" s="119">
        <v>2.3E-2</v>
      </c>
      <c r="AK50" s="119">
        <v>2.3E-2</v>
      </c>
      <c r="AL50" s="119">
        <v>3.39</v>
      </c>
      <c r="AM50" s="119">
        <v>3.39</v>
      </c>
      <c r="AN50" s="119">
        <v>3.39</v>
      </c>
      <c r="AO50" s="12">
        <v>6</v>
      </c>
      <c r="AP50" s="118">
        <v>5.01</v>
      </c>
      <c r="AQ50" s="118">
        <v>15.95</v>
      </c>
      <c r="AR50" s="118">
        <v>8</v>
      </c>
      <c r="AS50" s="118">
        <v>0.5</v>
      </c>
      <c r="AT50" s="118">
        <v>4.75</v>
      </c>
      <c r="AU50" s="118">
        <v>0.4</v>
      </c>
      <c r="AV50" s="118">
        <v>0.2</v>
      </c>
      <c r="AW50" s="118">
        <v>100</v>
      </c>
      <c r="AX50" s="118">
        <v>22.5</v>
      </c>
      <c r="AY50" s="118">
        <v>40.71</v>
      </c>
      <c r="AZ50" s="118">
        <v>7.0000000000000007E-2</v>
      </c>
      <c r="BA50" s="118">
        <v>6</v>
      </c>
      <c r="BB50" s="118">
        <v>0.01</v>
      </c>
      <c r="BC50" s="118">
        <v>0.1</v>
      </c>
      <c r="BD50" s="118">
        <v>0</v>
      </c>
      <c r="BE50" s="118">
        <v>0</v>
      </c>
      <c r="BF50" s="118">
        <v>0</v>
      </c>
      <c r="BG50" s="118">
        <v>0.3</v>
      </c>
      <c r="BH50" s="12">
        <v>1</v>
      </c>
      <c r="BI50" s="12">
        <v>0</v>
      </c>
      <c r="BJ50" s="12">
        <v>0</v>
      </c>
      <c r="BK50" s="12">
        <v>0</v>
      </c>
      <c r="BL50" s="12">
        <v>0</v>
      </c>
      <c r="BM50" s="12">
        <v>0</v>
      </c>
      <c r="BN50" s="12">
        <v>0</v>
      </c>
      <c r="BO50" s="12" t="s">
        <v>3835</v>
      </c>
    </row>
    <row r="51" spans="1:67" x14ac:dyDescent="0.3">
      <c r="A51" s="12">
        <v>46</v>
      </c>
      <c r="B51" s="12" t="s">
        <v>447</v>
      </c>
      <c r="C51" s="118">
        <v>35</v>
      </c>
      <c r="D51" s="118">
        <v>0.02</v>
      </c>
      <c r="E51" s="118">
        <v>25</v>
      </c>
      <c r="F51" s="118">
        <v>6</v>
      </c>
      <c r="G51" s="118">
        <v>5</v>
      </c>
      <c r="H51" s="118">
        <v>0.85</v>
      </c>
      <c r="I51" s="118">
        <v>15.01</v>
      </c>
      <c r="J51" s="118">
        <v>50.95</v>
      </c>
      <c r="K51" s="118">
        <v>2</v>
      </c>
      <c r="L51" s="118">
        <v>1</v>
      </c>
      <c r="M51" s="141">
        <v>4</v>
      </c>
      <c r="N51" s="118">
        <v>7.0000000000000001E-3</v>
      </c>
      <c r="O51" s="118">
        <v>0.85</v>
      </c>
      <c r="P51" s="118">
        <v>5</v>
      </c>
      <c r="Q51" s="118">
        <v>0.8</v>
      </c>
      <c r="R51" s="118">
        <v>2</v>
      </c>
      <c r="S51" s="119">
        <v>660.4</v>
      </c>
      <c r="T51" s="119">
        <v>1.4999999999999999E-2</v>
      </c>
      <c r="U51" s="119">
        <v>2.2000000000000001E-3</v>
      </c>
      <c r="V51" s="119">
        <v>2.2200000000000001E-2</v>
      </c>
      <c r="W51" s="119">
        <v>0.01</v>
      </c>
      <c r="X51" s="119">
        <v>0.6</v>
      </c>
      <c r="Y51" s="119">
        <v>5.44</v>
      </c>
      <c r="Z51" s="119">
        <v>20</v>
      </c>
      <c r="AA51" s="119">
        <v>5</v>
      </c>
      <c r="AB51" s="119">
        <v>0.1</v>
      </c>
      <c r="AC51" s="119">
        <v>2.6700000000000002E-2</v>
      </c>
      <c r="AD51" s="119">
        <v>1.4200000000000001E-2</v>
      </c>
      <c r="AE51" s="119">
        <v>1.0699999999999999E-2</v>
      </c>
      <c r="AF51" s="119">
        <v>3.5999999999999999E-3</v>
      </c>
      <c r="AG51" s="119">
        <v>2.2000000000000001E-3</v>
      </c>
      <c r="AH51" s="119">
        <v>1.6999999999999999E-3</v>
      </c>
      <c r="AI51" s="119">
        <v>2.1999999999999999E-2</v>
      </c>
      <c r="AJ51" s="119">
        <v>2.4E-2</v>
      </c>
      <c r="AK51" s="119">
        <v>2.7E-2</v>
      </c>
      <c r="AL51" s="119">
        <v>3.39</v>
      </c>
      <c r="AM51" s="119">
        <v>3.39</v>
      </c>
      <c r="AN51" s="119">
        <v>3.39</v>
      </c>
      <c r="AO51" s="12">
        <v>6</v>
      </c>
      <c r="AP51" s="118">
        <v>1.01</v>
      </c>
      <c r="AQ51" s="118">
        <v>5.95</v>
      </c>
      <c r="AR51" s="118">
        <v>8</v>
      </c>
      <c r="AS51" s="118">
        <v>0.5</v>
      </c>
      <c r="AT51" s="118">
        <v>4.75</v>
      </c>
      <c r="AU51" s="118">
        <v>0.4</v>
      </c>
      <c r="AV51" s="118">
        <v>0.2</v>
      </c>
      <c r="AW51" s="118">
        <v>100</v>
      </c>
      <c r="AX51" s="118">
        <v>10.199999999999999</v>
      </c>
      <c r="AY51" s="118">
        <v>50.9</v>
      </c>
      <c r="AZ51" s="118">
        <v>0.09</v>
      </c>
      <c r="BA51" s="118">
        <v>2</v>
      </c>
      <c r="BB51" s="118">
        <v>0.01</v>
      </c>
      <c r="BC51" s="118">
        <v>0.1</v>
      </c>
      <c r="BD51" s="118">
        <v>0</v>
      </c>
      <c r="BE51" s="118">
        <v>0</v>
      </c>
      <c r="BF51" s="118">
        <v>0</v>
      </c>
      <c r="BG51" s="118">
        <v>0.3</v>
      </c>
      <c r="BH51" s="12">
        <v>1</v>
      </c>
      <c r="BI51" s="12">
        <v>0</v>
      </c>
      <c r="BJ51" s="12">
        <v>0</v>
      </c>
      <c r="BK51" s="12">
        <v>0</v>
      </c>
      <c r="BL51" s="12">
        <v>0</v>
      </c>
      <c r="BM51" s="12">
        <v>0</v>
      </c>
      <c r="BN51" s="12">
        <v>0</v>
      </c>
      <c r="BO51" s="12" t="s">
        <v>1538</v>
      </c>
    </row>
    <row r="52" spans="1:67" x14ac:dyDescent="0.3">
      <c r="A52" s="12">
        <v>47</v>
      </c>
      <c r="B52" s="12" t="s">
        <v>448</v>
      </c>
      <c r="C52" s="118">
        <v>35</v>
      </c>
      <c r="D52" s="118">
        <v>0.02</v>
      </c>
      <c r="E52" s="118">
        <v>25</v>
      </c>
      <c r="F52" s="118">
        <v>8</v>
      </c>
      <c r="G52" s="118">
        <v>5</v>
      </c>
      <c r="H52" s="118">
        <v>0.85</v>
      </c>
      <c r="I52" s="118">
        <v>15.01</v>
      </c>
      <c r="J52" s="118">
        <v>50.95</v>
      </c>
      <c r="K52" s="118">
        <v>2</v>
      </c>
      <c r="L52" s="118">
        <v>1</v>
      </c>
      <c r="M52" s="141">
        <v>4</v>
      </c>
      <c r="N52" s="118">
        <v>7.0000000000000001E-3</v>
      </c>
      <c r="O52" s="118">
        <v>0.85</v>
      </c>
      <c r="P52" s="118">
        <v>5</v>
      </c>
      <c r="Q52" s="118">
        <v>0.8</v>
      </c>
      <c r="R52" s="118">
        <v>2</v>
      </c>
      <c r="S52" s="119">
        <v>660.47</v>
      </c>
      <c r="T52" s="119">
        <v>1.84E-2</v>
      </c>
      <c r="U52" s="119">
        <v>2.0999999999999999E-3</v>
      </c>
      <c r="V52" s="119">
        <v>2.2200000000000001E-2</v>
      </c>
      <c r="W52" s="119">
        <v>0.01</v>
      </c>
      <c r="X52" s="119">
        <v>0.6</v>
      </c>
      <c r="Y52" s="119">
        <v>5.44</v>
      </c>
      <c r="Z52" s="119">
        <v>20</v>
      </c>
      <c r="AA52" s="119">
        <v>5</v>
      </c>
      <c r="AB52" s="119">
        <v>0.1</v>
      </c>
      <c r="AC52" s="119">
        <v>2.6700000000000002E-2</v>
      </c>
      <c r="AD52" s="119">
        <v>1.4200000000000001E-2</v>
      </c>
      <c r="AE52" s="119">
        <v>1.0699999999999999E-2</v>
      </c>
      <c r="AF52" s="119">
        <v>3.5999999999999999E-3</v>
      </c>
      <c r="AG52" s="119">
        <v>2.2000000000000001E-3</v>
      </c>
      <c r="AH52" s="119">
        <v>1.6999999999999999E-3</v>
      </c>
      <c r="AI52" s="119">
        <v>2.1000000000000001E-2</v>
      </c>
      <c r="AJ52" s="119">
        <v>2.3E-2</v>
      </c>
      <c r="AK52" s="119">
        <v>2.7E-2</v>
      </c>
      <c r="AL52" s="119">
        <v>3.39</v>
      </c>
      <c r="AM52" s="119">
        <v>3.39</v>
      </c>
      <c r="AN52" s="119">
        <v>3.39</v>
      </c>
      <c r="AO52" s="12">
        <v>6</v>
      </c>
      <c r="AP52" s="118">
        <v>5.01</v>
      </c>
      <c r="AQ52" s="118">
        <v>15.95</v>
      </c>
      <c r="AR52" s="118">
        <v>8</v>
      </c>
      <c r="AS52" s="118">
        <v>0.5</v>
      </c>
      <c r="AT52" s="118">
        <v>4.75</v>
      </c>
      <c r="AU52" s="118">
        <v>0.4</v>
      </c>
      <c r="AV52" s="118">
        <v>0.2</v>
      </c>
      <c r="AW52" s="118">
        <v>100</v>
      </c>
      <c r="AX52" s="118">
        <v>22.5</v>
      </c>
      <c r="AY52" s="118">
        <v>40.71</v>
      </c>
      <c r="AZ52" s="118">
        <v>0.09</v>
      </c>
      <c r="BA52" s="118">
        <v>2</v>
      </c>
      <c r="BB52" s="118">
        <v>0.01</v>
      </c>
      <c r="BC52" s="118">
        <v>0.1</v>
      </c>
      <c r="BD52" s="118">
        <v>0</v>
      </c>
      <c r="BE52" s="118">
        <v>0</v>
      </c>
      <c r="BF52" s="118">
        <v>0</v>
      </c>
      <c r="BG52" s="118">
        <v>0.3</v>
      </c>
      <c r="BH52" s="12">
        <v>1</v>
      </c>
      <c r="BI52" s="12">
        <v>0</v>
      </c>
      <c r="BJ52" s="12">
        <v>0</v>
      </c>
      <c r="BK52" s="12">
        <v>0</v>
      </c>
      <c r="BL52" s="12">
        <v>0</v>
      </c>
      <c r="BM52" s="12">
        <v>0</v>
      </c>
      <c r="BN52" s="12">
        <v>0</v>
      </c>
      <c r="BO52" s="12" t="s">
        <v>3836</v>
      </c>
    </row>
    <row r="53" spans="1:67" x14ac:dyDescent="0.3">
      <c r="A53" s="12">
        <v>48</v>
      </c>
      <c r="B53" s="12" t="s">
        <v>449</v>
      </c>
      <c r="C53" s="118">
        <v>35</v>
      </c>
      <c r="D53" s="118">
        <v>0.02</v>
      </c>
      <c r="E53" s="118">
        <v>15</v>
      </c>
      <c r="F53" s="118">
        <v>0</v>
      </c>
      <c r="G53" s="118">
        <v>8</v>
      </c>
      <c r="H53" s="118">
        <v>0.8</v>
      </c>
      <c r="I53" s="118">
        <v>15.01</v>
      </c>
      <c r="J53" s="118">
        <v>50.95</v>
      </c>
      <c r="K53" s="118">
        <v>1</v>
      </c>
      <c r="L53" s="118">
        <v>1</v>
      </c>
      <c r="M53" s="141">
        <v>2</v>
      </c>
      <c r="N53" s="118">
        <v>7.0000000000000001E-3</v>
      </c>
      <c r="O53" s="118">
        <v>0.85</v>
      </c>
      <c r="P53" s="118">
        <v>90</v>
      </c>
      <c r="Q53" s="118">
        <v>1.2</v>
      </c>
      <c r="R53" s="118">
        <v>2</v>
      </c>
      <c r="S53" s="119">
        <v>660.47</v>
      </c>
      <c r="T53" s="119">
        <v>1.4999999999999999E-2</v>
      </c>
      <c r="U53" s="119">
        <v>1.8E-3</v>
      </c>
      <c r="V53" s="119">
        <v>1.11E-2</v>
      </c>
      <c r="W53" s="119">
        <v>0.01</v>
      </c>
      <c r="X53" s="119">
        <v>0.6</v>
      </c>
      <c r="Y53" s="119">
        <v>0.4</v>
      </c>
      <c r="Z53" s="119">
        <v>120</v>
      </c>
      <c r="AA53" s="119">
        <v>5</v>
      </c>
      <c r="AB53" s="119">
        <v>0.1</v>
      </c>
      <c r="AC53" s="119">
        <v>2.76E-2</v>
      </c>
      <c r="AD53" s="119">
        <v>1.55E-2</v>
      </c>
      <c r="AE53" s="119">
        <v>1.0999999999999999E-2</v>
      </c>
      <c r="AF53" s="119">
        <v>3.0999999999999999E-3</v>
      </c>
      <c r="AG53" s="119">
        <v>1.8E-3</v>
      </c>
      <c r="AH53" s="119">
        <v>1.2999999999999999E-3</v>
      </c>
      <c r="AI53" s="119">
        <v>2.1999999999999999E-2</v>
      </c>
      <c r="AJ53" s="119">
        <v>2.1999999999999999E-2</v>
      </c>
      <c r="AK53" s="119">
        <v>2.1999999999999999E-2</v>
      </c>
      <c r="AL53" s="119">
        <v>3.39</v>
      </c>
      <c r="AM53" s="119">
        <v>3.39</v>
      </c>
      <c r="AN53" s="119">
        <v>3.39</v>
      </c>
      <c r="AO53" s="12">
        <v>6</v>
      </c>
      <c r="AP53" s="118">
        <v>5.01</v>
      </c>
      <c r="AQ53" s="118">
        <v>15.1</v>
      </c>
      <c r="AR53" s="118">
        <v>8</v>
      </c>
      <c r="AS53" s="118">
        <v>0.5</v>
      </c>
      <c r="AT53" s="118">
        <v>4.75</v>
      </c>
      <c r="AU53" s="118">
        <v>0.4</v>
      </c>
      <c r="AV53" s="118">
        <v>0.2</v>
      </c>
      <c r="AW53" s="118">
        <v>100</v>
      </c>
      <c r="AX53" s="118">
        <v>22.5</v>
      </c>
      <c r="AY53" s="118">
        <v>40.71</v>
      </c>
      <c r="AZ53" s="118">
        <v>0.1</v>
      </c>
      <c r="BA53" s="118">
        <v>2.5</v>
      </c>
      <c r="BB53" s="118">
        <v>0.01</v>
      </c>
      <c r="BC53" s="118">
        <v>0.1</v>
      </c>
      <c r="BD53" s="118">
        <v>0</v>
      </c>
      <c r="BE53" s="118">
        <v>0</v>
      </c>
      <c r="BF53" s="118">
        <v>0</v>
      </c>
      <c r="BG53" s="118">
        <v>0.3</v>
      </c>
      <c r="BH53" s="12">
        <v>1</v>
      </c>
      <c r="BI53" s="12">
        <v>0</v>
      </c>
      <c r="BJ53" s="12">
        <v>0</v>
      </c>
      <c r="BK53" s="12">
        <v>0</v>
      </c>
      <c r="BL53" s="12">
        <v>0</v>
      </c>
      <c r="BM53" s="12">
        <v>0</v>
      </c>
      <c r="BN53" s="12">
        <v>0</v>
      </c>
      <c r="BO53" s="12" t="s">
        <v>3837</v>
      </c>
    </row>
    <row r="54" spans="1:67" x14ac:dyDescent="0.3">
      <c r="A54" s="12">
        <v>49</v>
      </c>
      <c r="B54" s="12" t="s">
        <v>450</v>
      </c>
      <c r="C54" s="118">
        <v>35</v>
      </c>
      <c r="D54" s="118">
        <v>0.02</v>
      </c>
      <c r="E54" s="118">
        <v>27.5</v>
      </c>
      <c r="F54" s="118">
        <v>12</v>
      </c>
      <c r="G54" s="118">
        <v>5</v>
      </c>
      <c r="H54" s="118">
        <v>0.99</v>
      </c>
      <c r="I54" s="118">
        <v>15.05</v>
      </c>
      <c r="J54" s="118">
        <v>50.95</v>
      </c>
      <c r="K54" s="118">
        <v>1</v>
      </c>
      <c r="L54" s="118">
        <v>1</v>
      </c>
      <c r="M54" s="141">
        <v>2</v>
      </c>
      <c r="N54" s="118">
        <v>7.0000000000000001E-3</v>
      </c>
      <c r="O54" s="118">
        <v>0.85</v>
      </c>
      <c r="P54" s="118">
        <v>5</v>
      </c>
      <c r="Q54" s="118">
        <v>1</v>
      </c>
      <c r="R54" s="118">
        <v>2</v>
      </c>
      <c r="S54" s="119">
        <v>660.4</v>
      </c>
      <c r="T54" s="119">
        <v>1.2699999999999999E-2</v>
      </c>
      <c r="U54" s="119">
        <v>2.0999999999999999E-3</v>
      </c>
      <c r="V54" s="119">
        <v>1.5699999999999999E-2</v>
      </c>
      <c r="W54" s="119">
        <v>0.01</v>
      </c>
      <c r="X54" s="119">
        <v>0.6</v>
      </c>
      <c r="Y54" s="119">
        <v>0.4</v>
      </c>
      <c r="Z54" s="119">
        <v>20</v>
      </c>
      <c r="AA54" s="119">
        <v>72.760000000000005</v>
      </c>
      <c r="AB54" s="119">
        <v>0.1</v>
      </c>
      <c r="AC54" s="119">
        <v>2.2200000000000001E-2</v>
      </c>
      <c r="AD54" s="119">
        <v>1.4999999999999999E-2</v>
      </c>
      <c r="AE54" s="119">
        <v>1.2999999999999999E-2</v>
      </c>
      <c r="AF54" s="119">
        <v>3.7000000000000002E-3</v>
      </c>
      <c r="AG54" s="119">
        <v>2.0999999999999999E-3</v>
      </c>
      <c r="AH54" s="119">
        <v>1.6000000000000001E-3</v>
      </c>
      <c r="AI54" s="119">
        <v>2.5000000000000001E-2</v>
      </c>
      <c r="AJ54" s="119">
        <v>1.4999999999999999E-2</v>
      </c>
      <c r="AK54" s="119">
        <v>0.01</v>
      </c>
      <c r="AL54" s="119">
        <v>3.39</v>
      </c>
      <c r="AM54" s="119">
        <v>3.39</v>
      </c>
      <c r="AN54" s="119">
        <v>3.39</v>
      </c>
      <c r="AO54" s="12">
        <v>6</v>
      </c>
      <c r="AP54" s="118">
        <v>1.01</v>
      </c>
      <c r="AQ54" s="118">
        <v>5.95</v>
      </c>
      <c r="AR54" s="118">
        <v>7</v>
      </c>
      <c r="AS54" s="118">
        <v>0.5</v>
      </c>
      <c r="AT54" s="118">
        <v>4.75</v>
      </c>
      <c r="AU54" s="118">
        <v>0.4</v>
      </c>
      <c r="AV54" s="118">
        <v>0.2</v>
      </c>
      <c r="AW54" s="118">
        <v>100</v>
      </c>
      <c r="AX54" s="118">
        <v>10.1</v>
      </c>
      <c r="AY54" s="118">
        <v>100.9</v>
      </c>
      <c r="AZ54" s="118">
        <v>0.06</v>
      </c>
      <c r="BA54" s="118">
        <v>6.9</v>
      </c>
      <c r="BB54" s="118">
        <v>0.01</v>
      </c>
      <c r="BC54" s="118">
        <v>0.1</v>
      </c>
      <c r="BD54" s="118">
        <v>0</v>
      </c>
      <c r="BE54" s="118">
        <v>0</v>
      </c>
      <c r="BF54" s="118">
        <v>0</v>
      </c>
      <c r="BG54" s="118">
        <v>0.3</v>
      </c>
      <c r="BH54" s="12">
        <v>1</v>
      </c>
      <c r="BI54" s="12">
        <v>0</v>
      </c>
      <c r="BJ54" s="12">
        <v>0</v>
      </c>
      <c r="BK54" s="12">
        <v>0</v>
      </c>
      <c r="BL54" s="12">
        <v>0</v>
      </c>
      <c r="BM54" s="12">
        <v>0</v>
      </c>
      <c r="BN54" s="12">
        <v>0</v>
      </c>
      <c r="BO54" s="12" t="s">
        <v>1539</v>
      </c>
    </row>
    <row r="55" spans="1:67" x14ac:dyDescent="0.3">
      <c r="A55" s="12">
        <v>50</v>
      </c>
      <c r="B55" s="12" t="s">
        <v>3798</v>
      </c>
      <c r="C55" s="118">
        <v>25</v>
      </c>
      <c r="D55" s="118">
        <v>0.6</v>
      </c>
      <c r="E55" s="118">
        <v>27.5</v>
      </c>
      <c r="F55" s="118">
        <v>12.5</v>
      </c>
      <c r="G55" s="118">
        <v>6</v>
      </c>
      <c r="H55" s="118">
        <v>0.95</v>
      </c>
      <c r="I55" s="118">
        <v>15.05</v>
      </c>
      <c r="J55" s="118">
        <v>50.95</v>
      </c>
      <c r="K55" s="118">
        <v>0.5</v>
      </c>
      <c r="L55" s="118">
        <v>0.5</v>
      </c>
      <c r="M55" s="141">
        <v>3</v>
      </c>
      <c r="N55" s="118">
        <v>0.02</v>
      </c>
      <c r="O55" s="118">
        <v>0.85</v>
      </c>
      <c r="P55" s="118">
        <v>25</v>
      </c>
      <c r="Q55" s="118">
        <v>1</v>
      </c>
      <c r="R55" s="118">
        <v>2.2000000000000002</v>
      </c>
      <c r="S55" s="119">
        <v>660.2</v>
      </c>
      <c r="T55" s="119">
        <v>1.4E-2</v>
      </c>
      <c r="U55" s="119">
        <v>2E-3</v>
      </c>
      <c r="V55" s="119">
        <v>1.4E-2</v>
      </c>
      <c r="W55" s="119">
        <v>0.3</v>
      </c>
      <c r="X55" s="119">
        <v>0.6</v>
      </c>
      <c r="Y55" s="119">
        <v>2.82</v>
      </c>
      <c r="Z55" s="119">
        <v>1212.75</v>
      </c>
      <c r="AA55" s="119">
        <v>116.87</v>
      </c>
      <c r="AB55" s="119">
        <v>0.01</v>
      </c>
      <c r="AC55" s="119">
        <v>5.8000000000000003E-2</v>
      </c>
      <c r="AD55" s="119">
        <v>1.9E-2</v>
      </c>
      <c r="AE55" s="119">
        <v>1.77E-2</v>
      </c>
      <c r="AF55" s="119">
        <v>8.0999999999999996E-3</v>
      </c>
      <c r="AG55" s="119">
        <v>2.7000000000000001E-3</v>
      </c>
      <c r="AH55" s="119">
        <v>2.5000000000000001E-3</v>
      </c>
      <c r="AI55" s="119">
        <v>0.03</v>
      </c>
      <c r="AJ55" s="119">
        <v>2.1999999999999999E-2</v>
      </c>
      <c r="AK55" s="119">
        <v>1.4999999999999999E-2</v>
      </c>
      <c r="AL55" s="119">
        <v>1.1379999999999999</v>
      </c>
      <c r="AM55" s="119">
        <v>0.60299999999999998</v>
      </c>
      <c r="AN55" s="119">
        <v>0.33200000000000002</v>
      </c>
      <c r="AO55" s="12">
        <v>9</v>
      </c>
      <c r="AP55" s="118">
        <v>5.15</v>
      </c>
      <c r="AQ55" s="118">
        <v>15.95</v>
      </c>
      <c r="AR55" s="118">
        <v>3</v>
      </c>
      <c r="AS55" s="118">
        <v>1</v>
      </c>
      <c r="AT55" s="118">
        <v>4.3</v>
      </c>
      <c r="AU55" s="118">
        <v>0.4</v>
      </c>
      <c r="AV55" s="118">
        <v>0.1</v>
      </c>
      <c r="AW55" s="118">
        <v>100</v>
      </c>
      <c r="AX55" s="118">
        <v>3.2</v>
      </c>
      <c r="AY55" s="118">
        <v>10.9</v>
      </c>
      <c r="AZ55" s="118">
        <v>0.05</v>
      </c>
      <c r="BA55" s="118">
        <v>7.7</v>
      </c>
      <c r="BB55" s="118">
        <v>0.01</v>
      </c>
      <c r="BC55" s="118">
        <v>0.1</v>
      </c>
      <c r="BD55" s="118">
        <v>0</v>
      </c>
      <c r="BE55" s="118">
        <v>0.27</v>
      </c>
      <c r="BF55" s="118">
        <v>0.38</v>
      </c>
      <c r="BG55" s="118">
        <v>0.3</v>
      </c>
      <c r="BH55" s="12">
        <v>0</v>
      </c>
      <c r="BI55" s="12">
        <v>0</v>
      </c>
      <c r="BJ55" s="12">
        <v>0</v>
      </c>
      <c r="BK55" s="12">
        <v>0</v>
      </c>
      <c r="BL55" s="12">
        <v>0</v>
      </c>
      <c r="BM55" s="12">
        <v>0</v>
      </c>
      <c r="BN55" s="12">
        <v>0</v>
      </c>
    </row>
    <row r="56" spans="1:67" x14ac:dyDescent="0.3">
      <c r="A56" s="12">
        <v>51</v>
      </c>
      <c r="B56" s="12" t="s">
        <v>451</v>
      </c>
      <c r="C56" s="118">
        <v>30</v>
      </c>
      <c r="D56" s="118">
        <v>0.95</v>
      </c>
      <c r="E56" s="118">
        <v>17</v>
      </c>
      <c r="F56" s="118">
        <v>7</v>
      </c>
      <c r="G56" s="118">
        <v>5</v>
      </c>
      <c r="H56" s="118">
        <v>0.6</v>
      </c>
      <c r="I56" s="118">
        <v>15.01</v>
      </c>
      <c r="J56" s="118">
        <v>50.95</v>
      </c>
      <c r="K56" s="118">
        <v>2</v>
      </c>
      <c r="L56" s="118">
        <v>10</v>
      </c>
      <c r="M56" s="141">
        <v>3</v>
      </c>
      <c r="N56" s="118">
        <v>7.0000000000000001E-3</v>
      </c>
      <c r="O56" s="118">
        <v>0.85</v>
      </c>
      <c r="P56" s="118">
        <v>200</v>
      </c>
      <c r="Q56" s="118">
        <v>1.2</v>
      </c>
      <c r="R56" s="118">
        <v>2</v>
      </c>
      <c r="S56" s="119">
        <v>660.41</v>
      </c>
      <c r="T56" s="119">
        <v>1.7600000000000001E-2</v>
      </c>
      <c r="U56" s="119">
        <v>2.2000000000000001E-3</v>
      </c>
      <c r="V56" s="119">
        <v>2.5499999999999998E-2</v>
      </c>
      <c r="W56" s="119">
        <v>0.95</v>
      </c>
      <c r="X56" s="119">
        <v>0.6</v>
      </c>
      <c r="Y56" s="119">
        <v>0.23</v>
      </c>
      <c r="Z56" s="119">
        <v>266.8</v>
      </c>
      <c r="AA56" s="119">
        <v>266.8</v>
      </c>
      <c r="AB56" s="119">
        <v>0.8</v>
      </c>
      <c r="AC56" s="119">
        <v>3.5000000000000003E-2</v>
      </c>
      <c r="AD56" s="119">
        <v>0.02</v>
      </c>
      <c r="AE56" s="119">
        <v>1.2E-2</v>
      </c>
      <c r="AF56" s="119">
        <v>6.0000000000000001E-3</v>
      </c>
      <c r="AG56" s="119">
        <v>2.5000000000000001E-3</v>
      </c>
      <c r="AH56" s="119">
        <v>1.9E-3</v>
      </c>
      <c r="AI56" s="119">
        <v>0.04</v>
      </c>
      <c r="AJ56" s="119">
        <v>0.02</v>
      </c>
      <c r="AK56" s="119">
        <v>3.0000000000000001E-3</v>
      </c>
      <c r="AL56" s="119">
        <v>1.266</v>
      </c>
      <c r="AM56" s="119">
        <v>0.63300000000000001</v>
      </c>
      <c r="AN56" s="119">
        <v>0.72899999999999998</v>
      </c>
      <c r="AO56" s="12">
        <v>5</v>
      </c>
      <c r="AP56" s="118">
        <v>5.01</v>
      </c>
      <c r="AQ56" s="118">
        <v>15.95</v>
      </c>
      <c r="AR56" s="118">
        <v>10</v>
      </c>
      <c r="AS56" s="118">
        <v>1</v>
      </c>
      <c r="AT56" s="118">
        <v>4.75</v>
      </c>
      <c r="AU56" s="118">
        <v>0.4</v>
      </c>
      <c r="AV56" s="118">
        <v>0.9</v>
      </c>
      <c r="AW56" s="118">
        <v>0</v>
      </c>
      <c r="AX56" s="118">
        <v>4.47</v>
      </c>
      <c r="AY56" s="118">
        <v>7.77</v>
      </c>
      <c r="AZ56" s="118">
        <v>0.12</v>
      </c>
      <c r="BA56" s="118">
        <v>1.7</v>
      </c>
      <c r="BB56" s="118">
        <v>0.01</v>
      </c>
      <c r="BC56" s="118">
        <v>0.1</v>
      </c>
      <c r="BD56" s="118">
        <v>0</v>
      </c>
      <c r="BE56" s="118">
        <v>0</v>
      </c>
      <c r="BF56" s="118">
        <v>0</v>
      </c>
      <c r="BG56" s="118">
        <v>0.3</v>
      </c>
      <c r="BH56" s="12">
        <v>0</v>
      </c>
      <c r="BI56" s="12">
        <v>0</v>
      </c>
      <c r="BJ56" s="12">
        <v>0</v>
      </c>
      <c r="BK56" s="12">
        <v>0</v>
      </c>
      <c r="BL56" s="12">
        <v>0</v>
      </c>
      <c r="BM56" s="12">
        <v>0</v>
      </c>
      <c r="BN56" s="12">
        <v>0</v>
      </c>
      <c r="BO56" s="12" t="s">
        <v>1540</v>
      </c>
    </row>
    <row r="57" spans="1:67" x14ac:dyDescent="0.3">
      <c r="A57" s="12">
        <v>52</v>
      </c>
      <c r="B57" s="12" t="s">
        <v>452</v>
      </c>
      <c r="C57" s="118">
        <v>90</v>
      </c>
      <c r="D57" s="118">
        <v>0.8</v>
      </c>
      <c r="E57" s="118">
        <v>35</v>
      </c>
      <c r="F57" s="118">
        <v>10</v>
      </c>
      <c r="G57" s="118">
        <v>4.2</v>
      </c>
      <c r="H57" s="118">
        <v>1</v>
      </c>
      <c r="I57" s="118">
        <v>25.23</v>
      </c>
      <c r="J57" s="118">
        <v>40.86</v>
      </c>
      <c r="K57" s="118">
        <v>0.1</v>
      </c>
      <c r="L57" s="118">
        <v>0.1</v>
      </c>
      <c r="M57" s="141">
        <v>3</v>
      </c>
      <c r="N57" s="118">
        <v>0.01</v>
      </c>
      <c r="O57" s="118">
        <v>0.85</v>
      </c>
      <c r="P57" s="118">
        <v>35</v>
      </c>
      <c r="Q57" s="118">
        <v>1.2</v>
      </c>
      <c r="R57" s="118">
        <v>1.5</v>
      </c>
      <c r="S57" s="119">
        <v>661.22</v>
      </c>
      <c r="T57" s="119">
        <v>6.3200000000000006E-2</v>
      </c>
      <c r="U57" s="119">
        <v>6.7000000000000002E-3</v>
      </c>
      <c r="V57" s="119">
        <v>3.9E-2</v>
      </c>
      <c r="W57" s="119">
        <v>0.8</v>
      </c>
      <c r="X57" s="119">
        <v>0.6</v>
      </c>
      <c r="Y57" s="119">
        <v>5.6</v>
      </c>
      <c r="Z57" s="119">
        <v>120</v>
      </c>
      <c r="AA57" s="119">
        <v>5</v>
      </c>
      <c r="AB57" s="119">
        <v>0.92</v>
      </c>
      <c r="AC57" s="119">
        <v>7.0000000000000007E-2</v>
      </c>
      <c r="AD57" s="119">
        <v>0.06</v>
      </c>
      <c r="AE57" s="119">
        <v>5.5E-2</v>
      </c>
      <c r="AF57" s="119">
        <v>6.0000000000000001E-3</v>
      </c>
      <c r="AG57" s="119">
        <v>4.0000000000000001E-3</v>
      </c>
      <c r="AH57" s="119">
        <v>3.0000000000000001E-3</v>
      </c>
      <c r="AI57" s="119">
        <v>0.04</v>
      </c>
      <c r="AJ57" s="119">
        <v>3.5000000000000003E-2</v>
      </c>
      <c r="AK57" s="119">
        <v>0.03</v>
      </c>
      <c r="AL57" s="119">
        <v>1.266</v>
      </c>
      <c r="AM57" s="119">
        <v>0.63300000000000001</v>
      </c>
      <c r="AN57" s="119">
        <v>0.72899999999999998</v>
      </c>
      <c r="AO57" s="12">
        <v>6</v>
      </c>
      <c r="AP57" s="118">
        <v>5.01</v>
      </c>
      <c r="AQ57" s="118">
        <v>15.95</v>
      </c>
      <c r="AR57" s="118">
        <v>5</v>
      </c>
      <c r="AS57" s="118">
        <v>1</v>
      </c>
      <c r="AT57" s="118">
        <v>4.75</v>
      </c>
      <c r="AU57" s="118">
        <v>0.4</v>
      </c>
      <c r="AV57" s="118">
        <v>0.2</v>
      </c>
      <c r="AW57" s="118">
        <v>100</v>
      </c>
      <c r="AX57" s="118">
        <v>20.2</v>
      </c>
      <c r="AY57" s="118">
        <v>100.9</v>
      </c>
      <c r="AZ57" s="118">
        <v>0.12</v>
      </c>
      <c r="BA57" s="118">
        <v>1.7</v>
      </c>
      <c r="BB57" s="118">
        <v>0.01</v>
      </c>
      <c r="BC57" s="118">
        <v>0.1</v>
      </c>
      <c r="BD57" s="118">
        <v>0</v>
      </c>
      <c r="BE57" s="118">
        <v>0</v>
      </c>
      <c r="BF57" s="118">
        <v>0</v>
      </c>
      <c r="BG57" s="118">
        <v>0.3</v>
      </c>
      <c r="BH57" s="12">
        <v>0</v>
      </c>
      <c r="BI57" s="12">
        <v>0</v>
      </c>
      <c r="BJ57" s="12">
        <v>0</v>
      </c>
      <c r="BK57" s="12">
        <v>0</v>
      </c>
      <c r="BL57" s="12">
        <v>0</v>
      </c>
      <c r="BM57" s="12">
        <v>0</v>
      </c>
      <c r="BN57" s="12">
        <v>0</v>
      </c>
      <c r="BO57" s="12" t="s">
        <v>1541</v>
      </c>
    </row>
    <row r="58" spans="1:67" x14ac:dyDescent="0.3">
      <c r="A58" s="12">
        <v>53</v>
      </c>
      <c r="B58" s="12" t="s">
        <v>453</v>
      </c>
      <c r="C58" s="118">
        <v>26</v>
      </c>
      <c r="D58" s="118">
        <v>0.8</v>
      </c>
      <c r="E58" s="118">
        <v>24</v>
      </c>
      <c r="F58" s="118">
        <v>4</v>
      </c>
      <c r="G58" s="118">
        <v>4.2</v>
      </c>
      <c r="H58" s="118">
        <v>1</v>
      </c>
      <c r="I58" s="118">
        <v>25.23</v>
      </c>
      <c r="J58" s="118">
        <v>40.86</v>
      </c>
      <c r="K58" s="118">
        <v>0.1</v>
      </c>
      <c r="L58" s="118">
        <v>0.1</v>
      </c>
      <c r="M58" s="141">
        <v>3</v>
      </c>
      <c r="N58" s="118">
        <v>0.01</v>
      </c>
      <c r="O58" s="118">
        <v>0.85</v>
      </c>
      <c r="P58" s="118">
        <v>0.31</v>
      </c>
      <c r="Q58" s="118">
        <v>1.2</v>
      </c>
      <c r="R58" s="118">
        <v>0.7</v>
      </c>
      <c r="S58" s="119">
        <v>660.35</v>
      </c>
      <c r="T58" s="119">
        <v>5.1200000000000002E-2</v>
      </c>
      <c r="U58" s="119">
        <v>7.1000000000000004E-3</v>
      </c>
      <c r="V58" s="119">
        <v>3.49E-2</v>
      </c>
      <c r="W58" s="119">
        <v>0.8</v>
      </c>
      <c r="X58" s="119">
        <v>0.6</v>
      </c>
      <c r="Y58" s="119">
        <v>1155.92</v>
      </c>
      <c r="Z58" s="119">
        <v>120</v>
      </c>
      <c r="AA58" s="119">
        <v>5</v>
      </c>
      <c r="AB58" s="119">
        <v>0.91</v>
      </c>
      <c r="AC58" s="119">
        <v>7.0000000000000007E-2</v>
      </c>
      <c r="AD58" s="119">
        <v>0.05</v>
      </c>
      <c r="AE58" s="119">
        <v>0.04</v>
      </c>
      <c r="AF58" s="119">
        <v>6.0000000000000001E-3</v>
      </c>
      <c r="AG58" s="119">
        <v>4.0000000000000001E-3</v>
      </c>
      <c r="AH58" s="119">
        <v>3.0000000000000001E-3</v>
      </c>
      <c r="AI58" s="119">
        <v>0.05</v>
      </c>
      <c r="AJ58" s="119">
        <v>0.05</v>
      </c>
      <c r="AK58" s="119">
        <v>0.05</v>
      </c>
      <c r="AL58" s="119">
        <v>1.266</v>
      </c>
      <c r="AM58" s="119">
        <v>0.63300000000000001</v>
      </c>
      <c r="AN58" s="119">
        <v>0.72899999999999998</v>
      </c>
      <c r="AO58" s="12">
        <v>6</v>
      </c>
      <c r="AP58" s="118">
        <v>5.01</v>
      </c>
      <c r="AQ58" s="118">
        <v>15.95</v>
      </c>
      <c r="AR58" s="118">
        <v>5</v>
      </c>
      <c r="AS58" s="118">
        <v>1</v>
      </c>
      <c r="AT58" s="118">
        <v>4.75</v>
      </c>
      <c r="AU58" s="118">
        <v>0.4</v>
      </c>
      <c r="AV58" s="118">
        <v>0.2</v>
      </c>
      <c r="AW58" s="118">
        <v>100</v>
      </c>
      <c r="AX58" s="118">
        <v>10.199999999999999</v>
      </c>
      <c r="AY58" s="118">
        <v>50.9</v>
      </c>
      <c r="AZ58" s="118">
        <v>0.12</v>
      </c>
      <c r="BA58" s="118">
        <v>1.7</v>
      </c>
      <c r="BB58" s="118">
        <v>0.01</v>
      </c>
      <c r="BC58" s="118">
        <v>0.1</v>
      </c>
      <c r="BD58" s="118">
        <v>0</v>
      </c>
      <c r="BE58" s="118">
        <v>0</v>
      </c>
      <c r="BF58" s="118">
        <v>0</v>
      </c>
      <c r="BG58" s="118">
        <v>0.3</v>
      </c>
      <c r="BH58" s="12">
        <v>0</v>
      </c>
      <c r="BI58" s="12">
        <v>0</v>
      </c>
      <c r="BJ58" s="12">
        <v>0</v>
      </c>
      <c r="BK58" s="12">
        <v>0</v>
      </c>
      <c r="BL58" s="12">
        <v>0</v>
      </c>
      <c r="BM58" s="12">
        <v>0</v>
      </c>
      <c r="BN58" s="12">
        <v>0</v>
      </c>
      <c r="BO58" s="12" t="s">
        <v>1542</v>
      </c>
    </row>
    <row r="59" spans="1:67" x14ac:dyDescent="0.3">
      <c r="A59" s="12">
        <v>54</v>
      </c>
      <c r="B59" s="12" t="s">
        <v>454</v>
      </c>
      <c r="C59" s="118">
        <v>19</v>
      </c>
      <c r="D59" s="118">
        <v>0.8</v>
      </c>
      <c r="E59" s="118">
        <v>24</v>
      </c>
      <c r="F59" s="118">
        <v>4</v>
      </c>
      <c r="G59" s="118">
        <v>3</v>
      </c>
      <c r="H59" s="118">
        <v>1</v>
      </c>
      <c r="I59" s="118">
        <v>25.23</v>
      </c>
      <c r="J59" s="118">
        <v>40.86</v>
      </c>
      <c r="K59" s="118">
        <v>0.1</v>
      </c>
      <c r="L59" s="118">
        <v>0.1</v>
      </c>
      <c r="M59" s="141">
        <v>3</v>
      </c>
      <c r="N59" s="118">
        <v>0.01</v>
      </c>
      <c r="O59" s="118">
        <v>0.85</v>
      </c>
      <c r="P59" s="118">
        <v>35</v>
      </c>
      <c r="Q59" s="118">
        <v>1.2</v>
      </c>
      <c r="R59" s="118">
        <v>0.7</v>
      </c>
      <c r="S59" s="119">
        <v>660.26</v>
      </c>
      <c r="T59" s="119">
        <v>2.5899999999999999E-2</v>
      </c>
      <c r="U59" s="119">
        <v>3.0999999999999999E-3</v>
      </c>
      <c r="V59" s="119">
        <v>3.2899999999999999E-2</v>
      </c>
      <c r="W59" s="119">
        <v>0.8</v>
      </c>
      <c r="X59" s="119">
        <v>0.6</v>
      </c>
      <c r="Y59" s="119">
        <v>77.8</v>
      </c>
      <c r="Z59" s="119">
        <v>120</v>
      </c>
      <c r="AA59" s="119">
        <v>5</v>
      </c>
      <c r="AB59" s="119">
        <v>0.93</v>
      </c>
      <c r="AC59" s="119">
        <v>7.0000000000000007E-2</v>
      </c>
      <c r="AD59" s="119">
        <v>0.03</v>
      </c>
      <c r="AE59" s="119">
        <v>0.02</v>
      </c>
      <c r="AF59" s="119">
        <v>6.0000000000000001E-3</v>
      </c>
      <c r="AG59" s="119">
        <v>3.5000000000000001E-3</v>
      </c>
      <c r="AH59" s="119">
        <v>2E-3</v>
      </c>
      <c r="AI59" s="119">
        <v>0.04</v>
      </c>
      <c r="AJ59" s="119">
        <v>0.04</v>
      </c>
      <c r="AK59" s="119">
        <v>0.04</v>
      </c>
      <c r="AL59" s="119">
        <v>1.266</v>
      </c>
      <c r="AM59" s="119">
        <v>0.63300000000000001</v>
      </c>
      <c r="AN59" s="119">
        <v>0.72899999999999998</v>
      </c>
      <c r="AO59" s="12">
        <v>6</v>
      </c>
      <c r="AP59" s="118">
        <v>5.01</v>
      </c>
      <c r="AQ59" s="118">
        <v>15.95</v>
      </c>
      <c r="AR59" s="118">
        <v>5</v>
      </c>
      <c r="AS59" s="118">
        <v>1</v>
      </c>
      <c r="AT59" s="118">
        <v>4.75</v>
      </c>
      <c r="AU59" s="118">
        <v>0.4</v>
      </c>
      <c r="AV59" s="118">
        <v>0.2</v>
      </c>
      <c r="AW59" s="118">
        <v>100</v>
      </c>
      <c r="AX59" s="118">
        <v>10.199999999999999</v>
      </c>
      <c r="AY59" s="118">
        <v>50.9</v>
      </c>
      <c r="AZ59" s="118">
        <v>0.12</v>
      </c>
      <c r="BA59" s="118">
        <v>1.7</v>
      </c>
      <c r="BB59" s="118">
        <v>0.01</v>
      </c>
      <c r="BC59" s="118">
        <v>0.1</v>
      </c>
      <c r="BD59" s="118">
        <v>0</v>
      </c>
      <c r="BE59" s="118">
        <v>0</v>
      </c>
      <c r="BF59" s="118">
        <v>0</v>
      </c>
      <c r="BG59" s="118">
        <v>0.3</v>
      </c>
      <c r="BH59" s="12">
        <v>0</v>
      </c>
      <c r="BI59" s="12">
        <v>0</v>
      </c>
      <c r="BJ59" s="12">
        <v>0</v>
      </c>
      <c r="BK59" s="12">
        <v>0</v>
      </c>
      <c r="BL59" s="12">
        <v>0</v>
      </c>
      <c r="BM59" s="12">
        <v>0</v>
      </c>
      <c r="BN59" s="12">
        <v>0</v>
      </c>
      <c r="BO59" s="12" t="s">
        <v>1543</v>
      </c>
    </row>
    <row r="60" spans="1:67" x14ac:dyDescent="0.3">
      <c r="A60" s="12">
        <v>55</v>
      </c>
      <c r="B60" s="12" t="s">
        <v>455</v>
      </c>
      <c r="C60" s="118">
        <v>21</v>
      </c>
      <c r="D60" s="118">
        <v>0.8</v>
      </c>
      <c r="E60" s="118">
        <v>24</v>
      </c>
      <c r="F60" s="118">
        <v>7</v>
      </c>
      <c r="G60" s="118">
        <v>2.5</v>
      </c>
      <c r="H60" s="118">
        <v>1</v>
      </c>
      <c r="I60" s="118">
        <v>25.23</v>
      </c>
      <c r="J60" s="118">
        <v>40.86</v>
      </c>
      <c r="K60" s="118">
        <v>0.1</v>
      </c>
      <c r="L60" s="118">
        <v>0.1</v>
      </c>
      <c r="M60" s="141">
        <v>3</v>
      </c>
      <c r="N60" s="118">
        <v>0.01</v>
      </c>
      <c r="O60" s="118">
        <v>0.85</v>
      </c>
      <c r="P60" s="118">
        <v>35</v>
      </c>
      <c r="Q60" s="118">
        <v>1.2</v>
      </c>
      <c r="R60" s="118">
        <v>0.7</v>
      </c>
      <c r="S60" s="119">
        <v>660.28</v>
      </c>
      <c r="T60" s="119">
        <v>4.1099999999999998E-2</v>
      </c>
      <c r="U60" s="119">
        <v>5.8999999999999999E-3</v>
      </c>
      <c r="V60" s="119">
        <v>4.5900000000000003E-2</v>
      </c>
      <c r="W60" s="119">
        <v>0.8</v>
      </c>
      <c r="X60" s="119">
        <v>0.6</v>
      </c>
      <c r="Y60" s="119">
        <v>755.8</v>
      </c>
      <c r="Z60" s="119">
        <v>120</v>
      </c>
      <c r="AA60" s="119">
        <v>5</v>
      </c>
      <c r="AB60" s="119">
        <v>0.92</v>
      </c>
      <c r="AC60" s="119">
        <v>7.0000000000000007E-2</v>
      </c>
      <c r="AD60" s="119">
        <v>0.04</v>
      </c>
      <c r="AE60" s="119">
        <v>0.03</v>
      </c>
      <c r="AF60" s="119">
        <v>6.0000000000000001E-3</v>
      </c>
      <c r="AG60" s="119">
        <v>3.5000000000000001E-3</v>
      </c>
      <c r="AH60" s="119">
        <v>2E-3</v>
      </c>
      <c r="AI60" s="119">
        <v>0.04</v>
      </c>
      <c r="AJ60" s="119">
        <v>0.04</v>
      </c>
      <c r="AK60" s="119">
        <v>0.04</v>
      </c>
      <c r="AL60" s="119">
        <v>1.266</v>
      </c>
      <c r="AM60" s="119">
        <v>0.63300000000000001</v>
      </c>
      <c r="AN60" s="119">
        <v>0.72899999999999998</v>
      </c>
      <c r="AO60" s="12">
        <v>6</v>
      </c>
      <c r="AP60" s="118">
        <v>5.01</v>
      </c>
      <c r="AQ60" s="118">
        <v>15.95</v>
      </c>
      <c r="AR60" s="118">
        <v>5</v>
      </c>
      <c r="AS60" s="118">
        <v>1</v>
      </c>
      <c r="AT60" s="118">
        <v>4.75</v>
      </c>
      <c r="AU60" s="118">
        <v>0.4</v>
      </c>
      <c r="AV60" s="118">
        <v>0.2</v>
      </c>
      <c r="AW60" s="118">
        <v>100</v>
      </c>
      <c r="AX60" s="118">
        <v>10.199999999999999</v>
      </c>
      <c r="AY60" s="118">
        <v>50.9</v>
      </c>
      <c r="AZ60" s="118">
        <v>0.12</v>
      </c>
      <c r="BA60" s="118">
        <v>1.7</v>
      </c>
      <c r="BB60" s="118">
        <v>0.01</v>
      </c>
      <c r="BC60" s="118">
        <v>0.1</v>
      </c>
      <c r="BD60" s="118">
        <v>0</v>
      </c>
      <c r="BE60" s="118">
        <v>0</v>
      </c>
      <c r="BF60" s="118">
        <v>0</v>
      </c>
      <c r="BG60" s="118">
        <v>0.3</v>
      </c>
      <c r="BH60" s="12">
        <v>0</v>
      </c>
      <c r="BI60" s="12">
        <v>0</v>
      </c>
      <c r="BJ60" s="12">
        <v>0</v>
      </c>
      <c r="BK60" s="12">
        <v>0</v>
      </c>
      <c r="BL60" s="12">
        <v>0</v>
      </c>
      <c r="BM60" s="12">
        <v>0</v>
      </c>
      <c r="BN60" s="12">
        <v>0</v>
      </c>
      <c r="BO60" s="12" t="s">
        <v>1544</v>
      </c>
    </row>
    <row r="61" spans="1:67" x14ac:dyDescent="0.3">
      <c r="A61" s="12">
        <v>56</v>
      </c>
      <c r="B61" s="12" t="s">
        <v>456</v>
      </c>
      <c r="C61" s="118">
        <v>27</v>
      </c>
      <c r="D61" s="118">
        <v>0.8</v>
      </c>
      <c r="E61" s="118">
        <v>24</v>
      </c>
      <c r="F61" s="118">
        <v>7</v>
      </c>
      <c r="G61" s="118">
        <v>2.5</v>
      </c>
      <c r="H61" s="118">
        <v>1</v>
      </c>
      <c r="I61" s="118">
        <v>25.23</v>
      </c>
      <c r="J61" s="118">
        <v>40.86</v>
      </c>
      <c r="K61" s="118">
        <v>0.1</v>
      </c>
      <c r="L61" s="118">
        <v>0.1</v>
      </c>
      <c r="M61" s="141">
        <v>3</v>
      </c>
      <c r="N61" s="118">
        <v>0.01</v>
      </c>
      <c r="O61" s="118">
        <v>0.85</v>
      </c>
      <c r="P61" s="118">
        <v>35</v>
      </c>
      <c r="Q61" s="118">
        <v>1.2</v>
      </c>
      <c r="R61" s="118">
        <v>0.7</v>
      </c>
      <c r="S61" s="119">
        <v>660.36</v>
      </c>
      <c r="T61" s="119">
        <v>0.02</v>
      </c>
      <c r="U61" s="119">
        <v>4.8999999999999998E-3</v>
      </c>
      <c r="V61" s="119">
        <v>5.3600000000000002E-2</v>
      </c>
      <c r="W61" s="119">
        <v>0.8</v>
      </c>
      <c r="X61" s="119">
        <v>0.6</v>
      </c>
      <c r="Y61" s="119">
        <v>195.13</v>
      </c>
      <c r="Z61" s="119">
        <v>120</v>
      </c>
      <c r="AA61" s="119">
        <v>5</v>
      </c>
      <c r="AB61" s="119">
        <v>0.95</v>
      </c>
      <c r="AC61" s="119">
        <v>0.05</v>
      </c>
      <c r="AD61" s="119">
        <v>0.02</v>
      </c>
      <c r="AE61" s="119">
        <v>0.01</v>
      </c>
      <c r="AF61" s="119">
        <v>7.0000000000000001E-3</v>
      </c>
      <c r="AG61" s="119">
        <v>5.0000000000000001E-3</v>
      </c>
      <c r="AH61" s="119">
        <v>4.0000000000000001E-3</v>
      </c>
      <c r="AI61" s="119">
        <v>0.05</v>
      </c>
      <c r="AJ61" s="119">
        <v>0.05</v>
      </c>
      <c r="AK61" s="119">
        <v>0.05</v>
      </c>
      <c r="AL61" s="119">
        <v>1.266</v>
      </c>
      <c r="AM61" s="119">
        <v>0.63300000000000001</v>
      </c>
      <c r="AN61" s="119">
        <v>0.72899999999999998</v>
      </c>
      <c r="AO61" s="12">
        <v>6</v>
      </c>
      <c r="AP61" s="118">
        <v>5.01</v>
      </c>
      <c r="AQ61" s="118">
        <v>15.95</v>
      </c>
      <c r="AR61" s="118">
        <v>5</v>
      </c>
      <c r="AS61" s="118">
        <v>1</v>
      </c>
      <c r="AT61" s="118">
        <v>4.75</v>
      </c>
      <c r="AU61" s="118">
        <v>0.4</v>
      </c>
      <c r="AV61" s="118">
        <v>0.2</v>
      </c>
      <c r="AW61" s="118">
        <v>100</v>
      </c>
      <c r="AX61" s="118">
        <v>10.199999999999999</v>
      </c>
      <c r="AY61" s="118">
        <v>50.9</v>
      </c>
      <c r="AZ61" s="118">
        <v>0.12</v>
      </c>
      <c r="BA61" s="118">
        <v>1.7</v>
      </c>
      <c r="BB61" s="118">
        <v>0.01</v>
      </c>
      <c r="BC61" s="118">
        <v>0.1</v>
      </c>
      <c r="BD61" s="118">
        <v>0</v>
      </c>
      <c r="BE61" s="118">
        <v>0</v>
      </c>
      <c r="BF61" s="118">
        <v>0</v>
      </c>
      <c r="BG61" s="118">
        <v>0.3</v>
      </c>
      <c r="BH61" s="12">
        <v>0</v>
      </c>
      <c r="BI61" s="12">
        <v>0</v>
      </c>
      <c r="BJ61" s="12">
        <v>0</v>
      </c>
      <c r="BK61" s="12">
        <v>0</v>
      </c>
      <c r="BL61" s="12">
        <v>0</v>
      </c>
      <c r="BM61" s="12">
        <v>0</v>
      </c>
      <c r="BN61" s="12">
        <v>0</v>
      </c>
      <c r="BO61" s="12" t="s">
        <v>1545</v>
      </c>
    </row>
    <row r="62" spans="1:67" x14ac:dyDescent="0.3">
      <c r="A62" s="12">
        <v>57</v>
      </c>
      <c r="B62" s="12" t="s">
        <v>457</v>
      </c>
      <c r="C62" s="118">
        <v>23</v>
      </c>
      <c r="D62" s="118">
        <v>0.8</v>
      </c>
      <c r="E62" s="118">
        <v>18.2</v>
      </c>
      <c r="F62" s="118">
        <v>0</v>
      </c>
      <c r="G62" s="118">
        <v>4.2</v>
      </c>
      <c r="H62" s="118">
        <v>1</v>
      </c>
      <c r="I62" s="118">
        <v>25.23</v>
      </c>
      <c r="J62" s="118">
        <v>40.86</v>
      </c>
      <c r="K62" s="118">
        <v>0.1</v>
      </c>
      <c r="L62" s="118">
        <v>0.5</v>
      </c>
      <c r="M62" s="141">
        <v>2</v>
      </c>
      <c r="N62" s="118">
        <v>1.2200000000000001E-2</v>
      </c>
      <c r="O62" s="118">
        <v>0.86</v>
      </c>
      <c r="P62" s="118">
        <v>2.5</v>
      </c>
      <c r="Q62" s="118">
        <v>0.2</v>
      </c>
      <c r="R62" s="118">
        <v>0.8</v>
      </c>
      <c r="S62" s="119">
        <v>660.31</v>
      </c>
      <c r="T62" s="119">
        <v>3.9399999999999998E-2</v>
      </c>
      <c r="U62" s="119">
        <v>4.8999999999999998E-3</v>
      </c>
      <c r="V62" s="119">
        <v>3.8399999999999997E-2</v>
      </c>
      <c r="W62" s="119">
        <v>0.8</v>
      </c>
      <c r="X62" s="119">
        <v>0.6</v>
      </c>
      <c r="Y62" s="119">
        <v>148.19</v>
      </c>
      <c r="Z62" s="119">
        <v>4500</v>
      </c>
      <c r="AA62" s="119">
        <v>5</v>
      </c>
      <c r="AB62" s="119">
        <v>0.96</v>
      </c>
      <c r="AC62" s="119">
        <v>0.05</v>
      </c>
      <c r="AD62" s="119">
        <v>2.5000000000000001E-2</v>
      </c>
      <c r="AE62" s="119">
        <v>2.1000000000000001E-2</v>
      </c>
      <c r="AF62" s="119">
        <v>8.3999999999999995E-3</v>
      </c>
      <c r="AG62" s="119">
        <v>3.2000000000000002E-3</v>
      </c>
      <c r="AH62" s="119">
        <v>1.9E-3</v>
      </c>
      <c r="AI62" s="119">
        <v>0.04</v>
      </c>
      <c r="AJ62" s="119">
        <v>0.04</v>
      </c>
      <c r="AK62" s="119">
        <v>0.04</v>
      </c>
      <c r="AL62" s="119">
        <v>1.266</v>
      </c>
      <c r="AM62" s="119">
        <v>0.63300000000000001</v>
      </c>
      <c r="AN62" s="119">
        <v>0.72899999999999998</v>
      </c>
      <c r="AO62" s="12">
        <v>5</v>
      </c>
      <c r="AP62" s="118">
        <v>5.01</v>
      </c>
      <c r="AQ62" s="118">
        <v>15.1</v>
      </c>
      <c r="AR62" s="118">
        <v>8</v>
      </c>
      <c r="AS62" s="118">
        <v>0.5</v>
      </c>
      <c r="AT62" s="118">
        <v>4.3</v>
      </c>
      <c r="AU62" s="118">
        <v>0.4</v>
      </c>
      <c r="AV62" s="118">
        <v>0.2</v>
      </c>
      <c r="AW62" s="118">
        <v>100</v>
      </c>
      <c r="AX62" s="118">
        <v>10.199999999999999</v>
      </c>
      <c r="AY62" s="118">
        <v>50.9</v>
      </c>
      <c r="AZ62" s="118">
        <v>0.12</v>
      </c>
      <c r="BA62" s="118">
        <v>1.7</v>
      </c>
      <c r="BB62" s="118">
        <v>0.01</v>
      </c>
      <c r="BC62" s="118">
        <v>0.1</v>
      </c>
      <c r="BD62" s="118">
        <v>0</v>
      </c>
      <c r="BE62" s="118">
        <v>0</v>
      </c>
      <c r="BF62" s="118">
        <v>0</v>
      </c>
      <c r="BG62" s="118">
        <v>0.3</v>
      </c>
      <c r="BH62" s="12">
        <v>0</v>
      </c>
      <c r="BI62" s="12">
        <v>0</v>
      </c>
      <c r="BJ62" s="12">
        <v>0</v>
      </c>
      <c r="BK62" s="12">
        <v>0</v>
      </c>
      <c r="BL62" s="12">
        <v>0</v>
      </c>
      <c r="BM62" s="12">
        <v>0</v>
      </c>
      <c r="BN62" s="12">
        <v>0</v>
      </c>
      <c r="BO62" s="12" t="s">
        <v>1546</v>
      </c>
    </row>
    <row r="63" spans="1:67" x14ac:dyDescent="0.3">
      <c r="A63" s="12">
        <v>58</v>
      </c>
      <c r="B63" s="12" t="s">
        <v>458</v>
      </c>
      <c r="C63" s="118">
        <v>19</v>
      </c>
      <c r="D63" s="118">
        <v>0.8</v>
      </c>
      <c r="E63" s="118">
        <v>18.2</v>
      </c>
      <c r="F63" s="118">
        <v>0</v>
      </c>
      <c r="G63" s="118">
        <v>4.2</v>
      </c>
      <c r="H63" s="118">
        <v>1</v>
      </c>
      <c r="I63" s="118">
        <v>25.23</v>
      </c>
      <c r="J63" s="118">
        <v>40.86</v>
      </c>
      <c r="K63" s="118">
        <v>0.1</v>
      </c>
      <c r="L63" s="118">
        <v>0.5</v>
      </c>
      <c r="M63" s="141">
        <v>2</v>
      </c>
      <c r="N63" s="118">
        <v>1.2200000000000001E-2</v>
      </c>
      <c r="O63" s="118">
        <v>0.86</v>
      </c>
      <c r="P63" s="118">
        <v>2.5</v>
      </c>
      <c r="Q63" s="118">
        <v>0.2</v>
      </c>
      <c r="R63" s="118">
        <v>0.8</v>
      </c>
      <c r="S63" s="119">
        <v>660.26</v>
      </c>
      <c r="T63" s="119">
        <v>3.4700000000000002E-2</v>
      </c>
      <c r="U63" s="119">
        <v>4.1999999999999997E-3</v>
      </c>
      <c r="V63" s="119">
        <v>4.3999999999999997E-2</v>
      </c>
      <c r="W63" s="119">
        <v>0.8</v>
      </c>
      <c r="X63" s="119">
        <v>0.6</v>
      </c>
      <c r="Y63" s="119">
        <v>136.1</v>
      </c>
      <c r="Z63" s="119">
        <v>4500</v>
      </c>
      <c r="AA63" s="119">
        <v>5</v>
      </c>
      <c r="AB63" s="119">
        <v>0.94</v>
      </c>
      <c r="AC63" s="119">
        <v>0.05</v>
      </c>
      <c r="AD63" s="119">
        <v>2.5000000000000001E-2</v>
      </c>
      <c r="AE63" s="119">
        <v>2.1000000000000001E-2</v>
      </c>
      <c r="AF63" s="119">
        <v>8.3999999999999995E-3</v>
      </c>
      <c r="AG63" s="119">
        <v>3.2000000000000002E-3</v>
      </c>
      <c r="AH63" s="119">
        <v>1.9E-3</v>
      </c>
      <c r="AI63" s="119">
        <v>4.3999999999999997E-2</v>
      </c>
      <c r="AJ63" s="119">
        <v>4.3999999999999997E-2</v>
      </c>
      <c r="AK63" s="119">
        <v>4.3999999999999997E-2</v>
      </c>
      <c r="AL63" s="119">
        <v>1.266</v>
      </c>
      <c r="AM63" s="119">
        <v>0.63300000000000001</v>
      </c>
      <c r="AN63" s="119">
        <v>0.72899999999999998</v>
      </c>
      <c r="AO63" s="12">
        <v>5</v>
      </c>
      <c r="AP63" s="118">
        <v>5.01</v>
      </c>
      <c r="AQ63" s="118">
        <v>15.1</v>
      </c>
      <c r="AR63" s="118">
        <v>8</v>
      </c>
      <c r="AS63" s="118">
        <v>0.5</v>
      </c>
      <c r="AT63" s="118">
        <v>4.3</v>
      </c>
      <c r="AU63" s="118">
        <v>0.4</v>
      </c>
      <c r="AV63" s="118">
        <v>0.2</v>
      </c>
      <c r="AW63" s="118">
        <v>100</v>
      </c>
      <c r="AX63" s="118">
        <v>10.199999999999999</v>
      </c>
      <c r="AY63" s="118">
        <v>50.9</v>
      </c>
      <c r="AZ63" s="118">
        <v>0.12</v>
      </c>
      <c r="BA63" s="118">
        <v>1.7</v>
      </c>
      <c r="BB63" s="118">
        <v>0.01</v>
      </c>
      <c r="BC63" s="118">
        <v>0.1</v>
      </c>
      <c r="BD63" s="118">
        <v>0</v>
      </c>
      <c r="BE63" s="118">
        <v>0</v>
      </c>
      <c r="BF63" s="118">
        <v>0</v>
      </c>
      <c r="BG63" s="118">
        <v>0.3</v>
      </c>
      <c r="BH63" s="12">
        <v>0</v>
      </c>
      <c r="BI63" s="12">
        <v>0</v>
      </c>
      <c r="BJ63" s="12">
        <v>0</v>
      </c>
      <c r="BK63" s="12">
        <v>0</v>
      </c>
      <c r="BL63" s="12">
        <v>0</v>
      </c>
      <c r="BM63" s="12">
        <v>0</v>
      </c>
      <c r="BN63" s="12">
        <v>0</v>
      </c>
      <c r="BO63" s="12" t="s">
        <v>1547</v>
      </c>
    </row>
    <row r="64" spans="1:67" x14ac:dyDescent="0.3">
      <c r="A64" s="12">
        <v>59</v>
      </c>
      <c r="B64" s="12" t="s">
        <v>459</v>
      </c>
      <c r="C64" s="118">
        <v>30</v>
      </c>
      <c r="D64" s="118">
        <v>0.95</v>
      </c>
      <c r="E64" s="118">
        <v>24</v>
      </c>
      <c r="F64" s="118">
        <v>4</v>
      </c>
      <c r="G64" s="118">
        <v>4.2</v>
      </c>
      <c r="H64" s="118">
        <v>0.95</v>
      </c>
      <c r="I64" s="118">
        <v>10.050000000000001</v>
      </c>
      <c r="J64" s="118">
        <v>90.95</v>
      </c>
      <c r="K64" s="118">
        <v>0.1</v>
      </c>
      <c r="L64" s="118">
        <v>0.1</v>
      </c>
      <c r="M64" s="141">
        <v>3</v>
      </c>
      <c r="N64" s="118">
        <v>0.01</v>
      </c>
      <c r="O64" s="118">
        <v>0.85</v>
      </c>
      <c r="P64" s="118">
        <v>35</v>
      </c>
      <c r="Q64" s="118">
        <v>1.2</v>
      </c>
      <c r="R64" s="118">
        <v>0.7</v>
      </c>
      <c r="S64" s="119">
        <v>660.41</v>
      </c>
      <c r="T64" s="119">
        <v>5.4399999999999997E-2</v>
      </c>
      <c r="U64" s="119">
        <v>5.7999999999999996E-3</v>
      </c>
      <c r="V64" s="119">
        <v>6.6299999999999998E-2</v>
      </c>
      <c r="W64" s="119">
        <v>0.95</v>
      </c>
      <c r="X64" s="119">
        <v>0.6</v>
      </c>
      <c r="Y64" s="119">
        <v>35.840000000000003</v>
      </c>
      <c r="Z64" s="119">
        <v>120</v>
      </c>
      <c r="AA64" s="119">
        <v>5</v>
      </c>
      <c r="AB64" s="119">
        <v>0.92</v>
      </c>
      <c r="AC64" s="119">
        <v>7.0000000000000007E-2</v>
      </c>
      <c r="AD64" s="119">
        <v>0.04</v>
      </c>
      <c r="AE64" s="119">
        <v>0.03</v>
      </c>
      <c r="AF64" s="119">
        <v>5.0000000000000001E-3</v>
      </c>
      <c r="AG64" s="119">
        <v>4.0000000000000001E-3</v>
      </c>
      <c r="AH64" s="119">
        <v>3.5000000000000001E-3</v>
      </c>
      <c r="AI64" s="119">
        <v>6.6000000000000003E-2</v>
      </c>
      <c r="AJ64" s="119">
        <v>6.6000000000000003E-2</v>
      </c>
      <c r="AK64" s="119">
        <v>6.6000000000000003E-2</v>
      </c>
      <c r="AL64" s="119">
        <v>1.266</v>
      </c>
      <c r="AM64" s="119">
        <v>0.63300000000000001</v>
      </c>
      <c r="AN64" s="119">
        <v>0.72899999999999998</v>
      </c>
      <c r="AO64" s="12">
        <v>6</v>
      </c>
      <c r="AP64" s="118">
        <v>5.01</v>
      </c>
      <c r="AQ64" s="118">
        <v>15.95</v>
      </c>
      <c r="AR64" s="118">
        <v>5</v>
      </c>
      <c r="AS64" s="118">
        <v>1</v>
      </c>
      <c r="AT64" s="118">
        <v>4.75</v>
      </c>
      <c r="AU64" s="118">
        <v>0.4</v>
      </c>
      <c r="AV64" s="118">
        <v>0.2</v>
      </c>
      <c r="AW64" s="118">
        <v>100</v>
      </c>
      <c r="AX64" s="118">
        <v>10.199999999999999</v>
      </c>
      <c r="AY64" s="118">
        <v>50.9</v>
      </c>
      <c r="AZ64" s="118">
        <v>0.12</v>
      </c>
      <c r="BA64" s="118">
        <v>1.7</v>
      </c>
      <c r="BB64" s="118">
        <v>0.01</v>
      </c>
      <c r="BC64" s="118">
        <v>0.1</v>
      </c>
      <c r="BD64" s="118">
        <v>0</v>
      </c>
      <c r="BE64" s="118">
        <v>0</v>
      </c>
      <c r="BF64" s="118">
        <v>0</v>
      </c>
      <c r="BG64" s="118">
        <v>0.3</v>
      </c>
      <c r="BH64" s="12">
        <v>0</v>
      </c>
      <c r="BI64" s="12">
        <v>0</v>
      </c>
      <c r="BJ64" s="12">
        <v>0</v>
      </c>
      <c r="BK64" s="12">
        <v>0</v>
      </c>
      <c r="BL64" s="12">
        <v>0</v>
      </c>
      <c r="BM64" s="12">
        <v>0</v>
      </c>
      <c r="BN64" s="12">
        <v>0</v>
      </c>
      <c r="BO64" s="12" t="s">
        <v>1548</v>
      </c>
    </row>
    <row r="65" spans="1:67" x14ac:dyDescent="0.3">
      <c r="A65" s="12">
        <v>60</v>
      </c>
      <c r="B65" s="12" t="s">
        <v>460</v>
      </c>
      <c r="C65" s="118">
        <v>30</v>
      </c>
      <c r="D65" s="118">
        <v>1.1200000000000001</v>
      </c>
      <c r="E65" s="118">
        <v>24</v>
      </c>
      <c r="F65" s="118">
        <v>7</v>
      </c>
      <c r="G65" s="118">
        <v>3.5</v>
      </c>
      <c r="H65" s="118">
        <v>0.6</v>
      </c>
      <c r="I65" s="118">
        <v>15.01</v>
      </c>
      <c r="J65" s="118">
        <v>50.95</v>
      </c>
      <c r="K65" s="118">
        <v>2</v>
      </c>
      <c r="L65" s="118">
        <v>10</v>
      </c>
      <c r="M65" s="141">
        <v>3</v>
      </c>
      <c r="N65" s="118">
        <v>7.0000000000000001E-3</v>
      </c>
      <c r="O65" s="118">
        <v>0.85</v>
      </c>
      <c r="P65" s="118">
        <v>35</v>
      </c>
      <c r="Q65" s="118">
        <v>0.3</v>
      </c>
      <c r="R65" s="118">
        <v>1.1000000000000001</v>
      </c>
      <c r="S65" s="119">
        <v>660.41</v>
      </c>
      <c r="T65" s="119">
        <v>1.35E-2</v>
      </c>
      <c r="U65" s="119">
        <v>3.5999999999999999E-3</v>
      </c>
      <c r="V65" s="119">
        <v>2.6499999999999999E-2</v>
      </c>
      <c r="W65" s="119">
        <v>0.75</v>
      </c>
      <c r="X65" s="119">
        <v>0.6</v>
      </c>
      <c r="Y65" s="119">
        <v>169.19</v>
      </c>
      <c r="Z65" s="119">
        <v>348.39</v>
      </c>
      <c r="AA65" s="119">
        <v>348.39</v>
      </c>
      <c r="AB65" s="119">
        <v>0.88</v>
      </c>
      <c r="AC65" s="119">
        <v>5.5E-2</v>
      </c>
      <c r="AD65" s="119">
        <v>1.4E-2</v>
      </c>
      <c r="AE65" s="119">
        <v>1.2E-2</v>
      </c>
      <c r="AF65" s="119">
        <v>6.0000000000000001E-3</v>
      </c>
      <c r="AG65" s="119">
        <v>3.0000000000000001E-3</v>
      </c>
      <c r="AH65" s="119">
        <v>2E-3</v>
      </c>
      <c r="AI65" s="119">
        <v>3.4000000000000002E-2</v>
      </c>
      <c r="AJ65" s="119">
        <v>3.4000000000000002E-2</v>
      </c>
      <c r="AK65" s="119">
        <v>3.4000000000000002E-2</v>
      </c>
      <c r="AL65" s="119">
        <v>1.266</v>
      </c>
      <c r="AM65" s="119">
        <v>0.63300000000000001</v>
      </c>
      <c r="AN65" s="119">
        <v>0.72899999999999998</v>
      </c>
      <c r="AO65" s="12">
        <v>4</v>
      </c>
      <c r="AP65" s="118">
        <v>5.01</v>
      </c>
      <c r="AQ65" s="118">
        <v>15.95</v>
      </c>
      <c r="AR65" s="118">
        <v>10</v>
      </c>
      <c r="AS65" s="118">
        <v>1</v>
      </c>
      <c r="AT65" s="118">
        <v>4.75</v>
      </c>
      <c r="AU65" s="118">
        <v>0.4</v>
      </c>
      <c r="AV65" s="118">
        <v>0.6</v>
      </c>
      <c r="AW65" s="118">
        <v>100</v>
      </c>
      <c r="AX65" s="118">
        <v>10.199999999999999</v>
      </c>
      <c r="AY65" s="118">
        <v>50.9</v>
      </c>
      <c r="AZ65" s="118">
        <v>0.12</v>
      </c>
      <c r="BA65" s="118">
        <v>1.7</v>
      </c>
      <c r="BB65" s="118">
        <v>0.01</v>
      </c>
      <c r="BC65" s="118">
        <v>0.1</v>
      </c>
      <c r="BD65" s="118">
        <v>0</v>
      </c>
      <c r="BE65" s="118">
        <v>0</v>
      </c>
      <c r="BF65" s="118">
        <v>0</v>
      </c>
      <c r="BG65" s="118">
        <v>0.3</v>
      </c>
      <c r="BH65" s="12">
        <v>0</v>
      </c>
      <c r="BI65" s="12">
        <v>0</v>
      </c>
      <c r="BJ65" s="12">
        <v>0</v>
      </c>
      <c r="BK65" s="12">
        <v>0</v>
      </c>
      <c r="BL65" s="12">
        <v>0</v>
      </c>
      <c r="BM65" s="12">
        <v>0</v>
      </c>
      <c r="BN65" s="12">
        <v>0</v>
      </c>
      <c r="BO65" s="12" t="s">
        <v>1549</v>
      </c>
    </row>
    <row r="66" spans="1:67" x14ac:dyDescent="0.3">
      <c r="A66" s="12">
        <v>61</v>
      </c>
      <c r="B66" s="12" t="s">
        <v>461</v>
      </c>
      <c r="C66" s="118">
        <v>30</v>
      </c>
      <c r="D66" s="118">
        <v>1.25</v>
      </c>
      <c r="E66" s="118">
        <v>29</v>
      </c>
      <c r="F66" s="118">
        <v>7</v>
      </c>
      <c r="G66" s="118">
        <v>1.5</v>
      </c>
      <c r="H66" s="118">
        <v>0.6</v>
      </c>
      <c r="I66" s="118">
        <v>15.01</v>
      </c>
      <c r="J66" s="118">
        <v>50.95</v>
      </c>
      <c r="K66" s="118">
        <v>2</v>
      </c>
      <c r="L66" s="118">
        <v>10</v>
      </c>
      <c r="M66" s="141">
        <v>3</v>
      </c>
      <c r="N66" s="118">
        <v>7.0000000000000001E-3</v>
      </c>
      <c r="O66" s="118">
        <v>0.85</v>
      </c>
      <c r="P66" s="118">
        <v>35</v>
      </c>
      <c r="Q66" s="118">
        <v>1.2</v>
      </c>
      <c r="R66" s="118">
        <v>0.7</v>
      </c>
      <c r="S66" s="119">
        <v>660.41</v>
      </c>
      <c r="T66" s="119">
        <v>2.06E-2</v>
      </c>
      <c r="U66" s="119">
        <v>3.2000000000000002E-3</v>
      </c>
      <c r="V66" s="119">
        <v>1.6899999999999998E-2</v>
      </c>
      <c r="W66" s="119">
        <v>0.75</v>
      </c>
      <c r="X66" s="119">
        <v>0.6</v>
      </c>
      <c r="Y66" s="119">
        <v>205.25</v>
      </c>
      <c r="Z66" s="119">
        <v>405.72</v>
      </c>
      <c r="AA66" s="119">
        <v>405.72</v>
      </c>
      <c r="AB66" s="119">
        <v>0.91</v>
      </c>
      <c r="AC66" s="119">
        <v>0.04</v>
      </c>
      <c r="AD66" s="119">
        <v>2.1999999999999999E-2</v>
      </c>
      <c r="AE66" s="119">
        <v>0.02</v>
      </c>
      <c r="AF66" s="119">
        <v>4.0000000000000001E-3</v>
      </c>
      <c r="AG66" s="119">
        <v>2E-3</v>
      </c>
      <c r="AH66" s="119">
        <v>1.9E-3</v>
      </c>
      <c r="AI66" s="119">
        <v>0.03</v>
      </c>
      <c r="AJ66" s="119">
        <v>0.03</v>
      </c>
      <c r="AK66" s="119">
        <v>0.03</v>
      </c>
      <c r="AL66" s="119">
        <v>1.266</v>
      </c>
      <c r="AM66" s="119">
        <v>0.63300000000000001</v>
      </c>
      <c r="AN66" s="119">
        <v>0.72899999999999998</v>
      </c>
      <c r="AO66" s="12">
        <v>4</v>
      </c>
      <c r="AP66" s="118">
        <v>5.01</v>
      </c>
      <c r="AQ66" s="118">
        <v>15.95</v>
      </c>
      <c r="AR66" s="118">
        <v>10</v>
      </c>
      <c r="AS66" s="118">
        <v>1</v>
      </c>
      <c r="AT66" s="118">
        <v>4.75</v>
      </c>
      <c r="AU66" s="118">
        <v>0.4</v>
      </c>
      <c r="AV66" s="118">
        <v>0.6</v>
      </c>
      <c r="AW66" s="118">
        <v>100</v>
      </c>
      <c r="AX66" s="118">
        <v>10.199999999999999</v>
      </c>
      <c r="AY66" s="118">
        <v>50.9</v>
      </c>
      <c r="AZ66" s="118">
        <v>0.12</v>
      </c>
      <c r="BA66" s="118">
        <v>1.7</v>
      </c>
      <c r="BB66" s="118">
        <v>0.01</v>
      </c>
      <c r="BC66" s="118">
        <v>0.1</v>
      </c>
      <c r="BD66" s="118">
        <v>0</v>
      </c>
      <c r="BE66" s="118">
        <v>0</v>
      </c>
      <c r="BF66" s="118">
        <v>0</v>
      </c>
      <c r="BG66" s="118">
        <v>0.3</v>
      </c>
      <c r="BH66" s="12">
        <v>0</v>
      </c>
      <c r="BI66" s="12">
        <v>0</v>
      </c>
      <c r="BJ66" s="12">
        <v>0</v>
      </c>
      <c r="BK66" s="12">
        <v>0</v>
      </c>
      <c r="BL66" s="12">
        <v>0</v>
      </c>
      <c r="BM66" s="12">
        <v>0</v>
      </c>
      <c r="BN66" s="12">
        <v>0</v>
      </c>
      <c r="BO66" s="12" t="s">
        <v>1550</v>
      </c>
    </row>
    <row r="67" spans="1:67" x14ac:dyDescent="0.3">
      <c r="A67" s="12">
        <v>62</v>
      </c>
      <c r="B67" s="12" t="s">
        <v>462</v>
      </c>
      <c r="C67" s="118">
        <v>31</v>
      </c>
      <c r="D67" s="118">
        <v>2</v>
      </c>
      <c r="E67" s="118">
        <v>22</v>
      </c>
      <c r="F67" s="118">
        <v>4</v>
      </c>
      <c r="G67" s="118">
        <v>5</v>
      </c>
      <c r="H67" s="118">
        <v>0.8</v>
      </c>
      <c r="I67" s="118">
        <v>5.01</v>
      </c>
      <c r="J67" s="118">
        <v>50.95</v>
      </c>
      <c r="K67" s="118">
        <v>1</v>
      </c>
      <c r="L67" s="118">
        <v>1</v>
      </c>
      <c r="M67" s="141">
        <v>3</v>
      </c>
      <c r="N67" s="118">
        <v>7.0000000000000001E-3</v>
      </c>
      <c r="O67" s="118">
        <v>0.85</v>
      </c>
      <c r="P67" s="118">
        <v>200</v>
      </c>
      <c r="Q67" s="118">
        <v>1.2</v>
      </c>
      <c r="R67" s="118">
        <v>2</v>
      </c>
      <c r="S67" s="119">
        <v>660.35</v>
      </c>
      <c r="T67" s="119">
        <v>1.2999999999999999E-2</v>
      </c>
      <c r="U67" s="119">
        <v>2E-3</v>
      </c>
      <c r="V67" s="119">
        <v>2.5999999999999999E-2</v>
      </c>
      <c r="W67" s="119">
        <v>0.3</v>
      </c>
      <c r="X67" s="119">
        <v>0.6</v>
      </c>
      <c r="Y67" s="119">
        <v>1.1599999999999999</v>
      </c>
      <c r="Z67" s="119">
        <v>110</v>
      </c>
      <c r="AA67" s="119">
        <v>35</v>
      </c>
      <c r="AB67" s="119">
        <v>0.84</v>
      </c>
      <c r="AC67" s="119">
        <v>5.5E-2</v>
      </c>
      <c r="AD67" s="119">
        <v>0.02</v>
      </c>
      <c r="AE67" s="119">
        <v>1.2E-2</v>
      </c>
      <c r="AF67" s="119">
        <v>6.0000000000000001E-3</v>
      </c>
      <c r="AG67" s="119">
        <v>2E-3</v>
      </c>
      <c r="AH67" s="119">
        <v>2E-3</v>
      </c>
      <c r="AI67" s="119">
        <v>0.1</v>
      </c>
      <c r="AJ67" s="119">
        <v>0.04</v>
      </c>
      <c r="AK67" s="119">
        <v>2.4E-2</v>
      </c>
      <c r="AL67" s="119">
        <v>1.1379999999999999</v>
      </c>
      <c r="AM67" s="119">
        <v>0.60299999999999998</v>
      </c>
      <c r="AN67" s="119">
        <v>0.33200000000000002</v>
      </c>
      <c r="AO67" s="12">
        <v>4</v>
      </c>
      <c r="AP67" s="118">
        <v>5.01</v>
      </c>
      <c r="AQ67" s="118">
        <v>15.95</v>
      </c>
      <c r="AR67" s="118">
        <v>10</v>
      </c>
      <c r="AS67" s="118">
        <v>1</v>
      </c>
      <c r="AT67" s="118">
        <v>4.75</v>
      </c>
      <c r="AU67" s="118">
        <v>0.4</v>
      </c>
      <c r="AV67" s="118">
        <v>0.6</v>
      </c>
      <c r="AW67" s="118">
        <v>0</v>
      </c>
      <c r="AX67" s="118">
        <v>1.5</v>
      </c>
      <c r="AY67" s="118">
        <v>10.9</v>
      </c>
      <c r="AZ67" s="118">
        <v>0.06</v>
      </c>
      <c r="BA67" s="118">
        <v>7</v>
      </c>
      <c r="BB67" s="118">
        <v>0.01</v>
      </c>
      <c r="BC67" s="118">
        <v>0.1</v>
      </c>
      <c r="BD67" s="118">
        <v>0</v>
      </c>
      <c r="BE67" s="118">
        <v>0</v>
      </c>
      <c r="BF67" s="118">
        <v>0</v>
      </c>
      <c r="BG67" s="118">
        <v>0.3</v>
      </c>
      <c r="BH67" s="12">
        <v>0</v>
      </c>
      <c r="BI67" s="12">
        <v>0</v>
      </c>
      <c r="BJ67" s="12">
        <v>0</v>
      </c>
      <c r="BK67" s="12">
        <v>0</v>
      </c>
      <c r="BL67" s="12">
        <v>0</v>
      </c>
      <c r="BM67" s="12">
        <v>0</v>
      </c>
      <c r="BN67" s="12">
        <v>0</v>
      </c>
      <c r="BO67" s="12" t="s">
        <v>1551</v>
      </c>
    </row>
    <row r="68" spans="1:67" x14ac:dyDescent="0.3">
      <c r="A68" s="12">
        <v>63</v>
      </c>
      <c r="B68" s="12" t="s">
        <v>463</v>
      </c>
      <c r="C68" s="118">
        <v>25</v>
      </c>
      <c r="D68" s="118">
        <v>0.1</v>
      </c>
      <c r="E68" s="118">
        <v>27</v>
      </c>
      <c r="F68" s="118">
        <v>10</v>
      </c>
      <c r="G68" s="118">
        <v>1.5</v>
      </c>
      <c r="H68" s="118">
        <v>0.9</v>
      </c>
      <c r="I68" s="118">
        <v>10.050000000000001</v>
      </c>
      <c r="J68" s="118">
        <v>80.95</v>
      </c>
      <c r="K68" s="118">
        <v>1</v>
      </c>
      <c r="L68" s="118">
        <v>1</v>
      </c>
      <c r="M68" s="141">
        <v>3</v>
      </c>
      <c r="N68" s="118">
        <v>0.01</v>
      </c>
      <c r="O68" s="118">
        <v>0.85</v>
      </c>
      <c r="P68" s="118">
        <v>35</v>
      </c>
      <c r="Q68" s="118">
        <v>0.6</v>
      </c>
      <c r="R68" s="118">
        <v>1.1000000000000001</v>
      </c>
      <c r="S68" s="119">
        <v>660.34</v>
      </c>
      <c r="T68" s="119">
        <v>2.9899999999999999E-2</v>
      </c>
      <c r="U68" s="119">
        <v>3.8999999999999998E-3</v>
      </c>
      <c r="V68" s="119">
        <v>2.1499999999999998E-2</v>
      </c>
      <c r="W68" s="119">
        <v>0.1</v>
      </c>
      <c r="X68" s="119">
        <v>0.6</v>
      </c>
      <c r="Y68" s="119">
        <v>2.96</v>
      </c>
      <c r="Z68" s="119">
        <v>120</v>
      </c>
      <c r="AA68" s="119">
        <v>5</v>
      </c>
      <c r="AB68" s="119">
        <v>0.9</v>
      </c>
      <c r="AC68" s="119">
        <v>0.05</v>
      </c>
      <c r="AD68" s="119">
        <v>0.03</v>
      </c>
      <c r="AE68" s="119">
        <v>0.02</v>
      </c>
      <c r="AF68" s="119">
        <v>6.0000000000000001E-3</v>
      </c>
      <c r="AG68" s="119">
        <v>3.5000000000000001E-3</v>
      </c>
      <c r="AH68" s="119">
        <v>2.5000000000000001E-3</v>
      </c>
      <c r="AI68" s="119">
        <v>0.03</v>
      </c>
      <c r="AJ68" s="119">
        <v>2.5000000000000001E-2</v>
      </c>
      <c r="AK68" s="119">
        <v>1.7000000000000001E-2</v>
      </c>
      <c r="AL68" s="119">
        <v>1.266</v>
      </c>
      <c r="AM68" s="119">
        <v>0.63300000000000001</v>
      </c>
      <c r="AN68" s="119">
        <v>0.72899999999999998</v>
      </c>
      <c r="AO68" s="12">
        <v>1</v>
      </c>
      <c r="AP68" s="118">
        <v>5.01</v>
      </c>
      <c r="AQ68" s="118">
        <v>15.95</v>
      </c>
      <c r="AR68" s="118">
        <v>5</v>
      </c>
      <c r="AS68" s="118">
        <v>1</v>
      </c>
      <c r="AT68" s="118">
        <v>4.75</v>
      </c>
      <c r="AU68" s="118">
        <v>0.4</v>
      </c>
      <c r="AV68" s="118">
        <v>0.2</v>
      </c>
      <c r="AW68" s="118">
        <v>100</v>
      </c>
      <c r="AX68" s="118">
        <v>10.199999999999999</v>
      </c>
      <c r="AY68" s="118">
        <v>50.9</v>
      </c>
      <c r="AZ68" s="118">
        <v>0.19</v>
      </c>
      <c r="BA68" s="118">
        <v>1</v>
      </c>
      <c r="BB68" s="118">
        <v>0.01</v>
      </c>
      <c r="BC68" s="118">
        <v>0.1</v>
      </c>
      <c r="BD68" s="118">
        <v>0</v>
      </c>
      <c r="BE68" s="118">
        <v>0</v>
      </c>
      <c r="BF68" s="118">
        <v>0</v>
      </c>
      <c r="BG68" s="118">
        <v>0.3</v>
      </c>
      <c r="BH68" s="12">
        <v>0</v>
      </c>
      <c r="BI68" s="12">
        <v>0</v>
      </c>
      <c r="BJ68" s="12">
        <v>0</v>
      </c>
      <c r="BK68" s="12">
        <v>0</v>
      </c>
      <c r="BL68" s="12">
        <v>0</v>
      </c>
      <c r="BM68" s="12">
        <v>0</v>
      </c>
      <c r="BN68" s="12">
        <v>0</v>
      </c>
      <c r="BO68" s="12" t="s">
        <v>1552</v>
      </c>
    </row>
    <row r="69" spans="1:67" x14ac:dyDescent="0.3">
      <c r="A69" s="12">
        <v>64</v>
      </c>
      <c r="B69" s="12" t="s">
        <v>464</v>
      </c>
      <c r="C69" s="118">
        <v>25</v>
      </c>
      <c r="D69" s="118">
        <v>0.3</v>
      </c>
      <c r="E69" s="118">
        <v>27</v>
      </c>
      <c r="F69" s="118">
        <v>10</v>
      </c>
      <c r="G69" s="118">
        <v>2.5</v>
      </c>
      <c r="H69" s="118">
        <v>0.9</v>
      </c>
      <c r="I69" s="118">
        <v>10.050000000000001</v>
      </c>
      <c r="J69" s="118">
        <v>80.95</v>
      </c>
      <c r="K69" s="118">
        <v>0.1</v>
      </c>
      <c r="L69" s="118">
        <v>0.1</v>
      </c>
      <c r="M69" s="141">
        <v>3</v>
      </c>
      <c r="N69" s="118">
        <v>0.01</v>
      </c>
      <c r="O69" s="118">
        <v>0.85</v>
      </c>
      <c r="P69" s="118">
        <v>35</v>
      </c>
      <c r="Q69" s="118">
        <v>0.6</v>
      </c>
      <c r="R69" s="118">
        <v>1.5</v>
      </c>
      <c r="S69" s="119">
        <v>660.34</v>
      </c>
      <c r="T69" s="119">
        <v>3.6600000000000001E-2</v>
      </c>
      <c r="U69" s="119">
        <v>4.5999999999999999E-3</v>
      </c>
      <c r="V69" s="119">
        <v>1.5699999999999999E-2</v>
      </c>
      <c r="W69" s="119">
        <v>0.22</v>
      </c>
      <c r="X69" s="119">
        <v>0.6</v>
      </c>
      <c r="Y69" s="119">
        <v>2.96</v>
      </c>
      <c r="Z69" s="119">
        <v>120</v>
      </c>
      <c r="AA69" s="119">
        <v>5</v>
      </c>
      <c r="AB69" s="119">
        <v>0.7</v>
      </c>
      <c r="AC69" s="119">
        <v>5.5E-2</v>
      </c>
      <c r="AD69" s="119">
        <v>3.5000000000000003E-2</v>
      </c>
      <c r="AE69" s="119">
        <v>2.5000000000000001E-2</v>
      </c>
      <c r="AF69" s="119">
        <v>5.0000000000000001E-3</v>
      </c>
      <c r="AG69" s="119">
        <v>3.0000000000000001E-3</v>
      </c>
      <c r="AH69" s="119">
        <v>2.5000000000000001E-3</v>
      </c>
      <c r="AI69" s="119">
        <v>0.03</v>
      </c>
      <c r="AJ69" s="119">
        <v>2.5000000000000001E-2</v>
      </c>
      <c r="AK69" s="119">
        <v>1.7000000000000001E-2</v>
      </c>
      <c r="AL69" s="119">
        <v>1.266</v>
      </c>
      <c r="AM69" s="119">
        <v>0.63300000000000001</v>
      </c>
      <c r="AN69" s="119">
        <v>0.72899999999999998</v>
      </c>
      <c r="AO69" s="12">
        <v>1</v>
      </c>
      <c r="AP69" s="118">
        <v>5.01</v>
      </c>
      <c r="AQ69" s="118">
        <v>15.95</v>
      </c>
      <c r="AR69" s="118">
        <v>5</v>
      </c>
      <c r="AS69" s="118">
        <v>1</v>
      </c>
      <c r="AT69" s="118">
        <v>4.75</v>
      </c>
      <c r="AU69" s="118">
        <v>0.4</v>
      </c>
      <c r="AV69" s="118">
        <v>0.2</v>
      </c>
      <c r="AW69" s="118">
        <v>100</v>
      </c>
      <c r="AX69" s="118">
        <v>10.199999999999999</v>
      </c>
      <c r="AY69" s="118">
        <v>50.9</v>
      </c>
      <c r="AZ69" s="118">
        <v>0.19</v>
      </c>
      <c r="BA69" s="118">
        <v>1</v>
      </c>
      <c r="BB69" s="118">
        <v>0.01</v>
      </c>
      <c r="BC69" s="118">
        <v>0.1</v>
      </c>
      <c r="BD69" s="118">
        <v>0</v>
      </c>
      <c r="BE69" s="118">
        <v>0</v>
      </c>
      <c r="BF69" s="118">
        <v>0</v>
      </c>
      <c r="BG69" s="118">
        <v>0.3</v>
      </c>
      <c r="BH69" s="12">
        <v>0</v>
      </c>
      <c r="BI69" s="12">
        <v>0</v>
      </c>
      <c r="BJ69" s="12">
        <v>0</v>
      </c>
      <c r="BK69" s="12">
        <v>0</v>
      </c>
      <c r="BL69" s="12">
        <v>0</v>
      </c>
      <c r="BM69" s="12">
        <v>0</v>
      </c>
      <c r="BN69" s="12">
        <v>0</v>
      </c>
      <c r="BO69" s="12" t="s">
        <v>1553</v>
      </c>
    </row>
    <row r="70" spans="1:67" x14ac:dyDescent="0.3">
      <c r="A70" s="12">
        <v>65</v>
      </c>
      <c r="B70" s="12" t="s">
        <v>465</v>
      </c>
      <c r="C70" s="118">
        <v>25</v>
      </c>
      <c r="D70" s="118">
        <v>0.3</v>
      </c>
      <c r="E70" s="118">
        <v>27</v>
      </c>
      <c r="F70" s="118">
        <v>10</v>
      </c>
      <c r="G70" s="118">
        <v>2.5</v>
      </c>
      <c r="H70" s="118">
        <v>0.6</v>
      </c>
      <c r="I70" s="118">
        <v>10.050000000000001</v>
      </c>
      <c r="J70" s="118">
        <v>80.95</v>
      </c>
      <c r="K70" s="118">
        <v>1</v>
      </c>
      <c r="L70" s="118">
        <v>1</v>
      </c>
      <c r="M70" s="141">
        <v>3</v>
      </c>
      <c r="N70" s="118">
        <v>0.01</v>
      </c>
      <c r="O70" s="118">
        <v>0.85</v>
      </c>
      <c r="P70" s="118">
        <v>35</v>
      </c>
      <c r="Q70" s="118">
        <v>0.6</v>
      </c>
      <c r="R70" s="118">
        <v>1.1000000000000001</v>
      </c>
      <c r="S70" s="119">
        <v>660.34</v>
      </c>
      <c r="T70" s="119">
        <v>4.1000000000000002E-2</v>
      </c>
      <c r="U70" s="119">
        <v>5.1000000000000004E-3</v>
      </c>
      <c r="V70" s="119">
        <v>1.7999999999999999E-2</v>
      </c>
      <c r="W70" s="119">
        <v>0.22</v>
      </c>
      <c r="X70" s="119">
        <v>0.6</v>
      </c>
      <c r="Y70" s="119">
        <v>0.9</v>
      </c>
      <c r="Z70" s="119">
        <v>120</v>
      </c>
      <c r="AA70" s="119">
        <v>5</v>
      </c>
      <c r="AB70" s="119">
        <v>0.79</v>
      </c>
      <c r="AC70" s="119">
        <v>0.06</v>
      </c>
      <c r="AD70" s="119">
        <v>0.04</v>
      </c>
      <c r="AE70" s="119">
        <v>0.03</v>
      </c>
      <c r="AF70" s="119">
        <v>3.0000000000000001E-3</v>
      </c>
      <c r="AG70" s="119">
        <v>2E-3</v>
      </c>
      <c r="AH70" s="119">
        <v>1.5E-3</v>
      </c>
      <c r="AI70" s="119">
        <v>4.4999999999999998E-2</v>
      </c>
      <c r="AJ70" s="119">
        <v>0.04</v>
      </c>
      <c r="AK70" s="119">
        <v>3.5000000000000003E-2</v>
      </c>
      <c r="AL70" s="119">
        <v>1.266</v>
      </c>
      <c r="AM70" s="119">
        <v>0.63300000000000001</v>
      </c>
      <c r="AN70" s="119">
        <v>0.72899999999999998</v>
      </c>
      <c r="AO70" s="12">
        <v>1</v>
      </c>
      <c r="AP70" s="118">
        <v>5.01</v>
      </c>
      <c r="AQ70" s="118">
        <v>15.1</v>
      </c>
      <c r="AR70" s="118">
        <v>5</v>
      </c>
      <c r="AS70" s="118">
        <v>1</v>
      </c>
      <c r="AT70" s="118">
        <v>4.75</v>
      </c>
      <c r="AU70" s="118">
        <v>0.4</v>
      </c>
      <c r="AV70" s="118">
        <v>0.2</v>
      </c>
      <c r="AW70" s="118">
        <v>100</v>
      </c>
      <c r="AX70" s="118">
        <v>10.199999999999999</v>
      </c>
      <c r="AY70" s="118">
        <v>50.9</v>
      </c>
      <c r="AZ70" s="118">
        <v>0.1</v>
      </c>
      <c r="BA70" s="118">
        <v>2.5</v>
      </c>
      <c r="BB70" s="118">
        <v>0.01</v>
      </c>
      <c r="BC70" s="118">
        <v>0.1</v>
      </c>
      <c r="BD70" s="118">
        <v>0</v>
      </c>
      <c r="BE70" s="118">
        <v>0</v>
      </c>
      <c r="BF70" s="118">
        <v>0</v>
      </c>
      <c r="BG70" s="118">
        <v>0.3</v>
      </c>
      <c r="BH70" s="12">
        <v>0</v>
      </c>
      <c r="BI70" s="12">
        <v>0</v>
      </c>
      <c r="BJ70" s="12">
        <v>0</v>
      </c>
      <c r="BK70" s="12">
        <v>0</v>
      </c>
      <c r="BL70" s="12">
        <v>0</v>
      </c>
      <c r="BM70" s="12">
        <v>0</v>
      </c>
      <c r="BN70" s="12">
        <v>0</v>
      </c>
      <c r="BO70" s="12" t="s">
        <v>465</v>
      </c>
    </row>
    <row r="71" spans="1:67" x14ac:dyDescent="0.3">
      <c r="A71" s="12">
        <v>66</v>
      </c>
      <c r="B71" s="12" t="s">
        <v>466</v>
      </c>
      <c r="C71" s="118">
        <v>30</v>
      </c>
      <c r="D71" s="118">
        <v>0.27</v>
      </c>
      <c r="E71" s="118">
        <v>32</v>
      </c>
      <c r="F71" s="118">
        <v>16</v>
      </c>
      <c r="G71" s="118">
        <v>1.5</v>
      </c>
      <c r="H71" s="118">
        <v>0.6</v>
      </c>
      <c r="I71" s="118">
        <v>15.05</v>
      </c>
      <c r="J71" s="118">
        <v>50.95</v>
      </c>
      <c r="K71" s="118">
        <v>1</v>
      </c>
      <c r="L71" s="118">
        <v>1</v>
      </c>
      <c r="M71" s="141">
        <v>2</v>
      </c>
      <c r="N71" s="118">
        <v>7.0000000000000001E-3</v>
      </c>
      <c r="O71" s="118">
        <v>0.85</v>
      </c>
      <c r="P71" s="118">
        <v>90</v>
      </c>
      <c r="Q71" s="118">
        <v>0.8</v>
      </c>
      <c r="R71" s="118">
        <v>1.1000000000000001</v>
      </c>
      <c r="S71" s="119">
        <v>660.41</v>
      </c>
      <c r="T71" s="119">
        <v>2.18E-2</v>
      </c>
      <c r="U71" s="119">
        <v>4.3E-3</v>
      </c>
      <c r="V71" s="119">
        <v>3.7699999999999997E-2</v>
      </c>
      <c r="W71" s="119">
        <v>0.24</v>
      </c>
      <c r="X71" s="119">
        <v>0.6</v>
      </c>
      <c r="Y71" s="119">
        <v>311.22000000000003</v>
      </c>
      <c r="Z71" s="119">
        <v>120</v>
      </c>
      <c r="AA71" s="119">
        <v>5</v>
      </c>
      <c r="AB71" s="119">
        <v>0.96</v>
      </c>
      <c r="AC71" s="119">
        <v>0.04</v>
      </c>
      <c r="AD71" s="119">
        <v>0.02</v>
      </c>
      <c r="AE71" s="119">
        <v>1.4999999999999999E-2</v>
      </c>
      <c r="AF71" s="119">
        <v>5.3E-3</v>
      </c>
      <c r="AG71" s="119">
        <v>2.5000000000000001E-3</v>
      </c>
      <c r="AH71" s="119">
        <v>1.1999999999999999E-3</v>
      </c>
      <c r="AI71" s="119">
        <v>0.03</v>
      </c>
      <c r="AJ71" s="119">
        <v>0.03</v>
      </c>
      <c r="AK71" s="119">
        <v>0.03</v>
      </c>
      <c r="AL71" s="119">
        <v>1.266</v>
      </c>
      <c r="AM71" s="119">
        <v>0.63300000000000001</v>
      </c>
      <c r="AN71" s="119">
        <v>0.72899999999999998</v>
      </c>
      <c r="AO71" s="12">
        <v>5</v>
      </c>
      <c r="AP71" s="118">
        <v>5.15</v>
      </c>
      <c r="AQ71" s="118">
        <v>15.95</v>
      </c>
      <c r="AR71" s="118">
        <v>8</v>
      </c>
      <c r="AS71" s="118">
        <v>0.5</v>
      </c>
      <c r="AT71" s="118">
        <v>4.75</v>
      </c>
      <c r="AU71" s="118">
        <v>0.4</v>
      </c>
      <c r="AV71" s="118">
        <v>0.2</v>
      </c>
      <c r="AW71" s="118">
        <v>100</v>
      </c>
      <c r="AX71" s="118">
        <v>4.4000000000000004</v>
      </c>
      <c r="AY71" s="118">
        <v>7.9</v>
      </c>
      <c r="AZ71" s="118">
        <v>0.19</v>
      </c>
      <c r="BA71" s="118">
        <v>1</v>
      </c>
      <c r="BB71" s="118">
        <v>0.01</v>
      </c>
      <c r="BC71" s="118">
        <v>0.1</v>
      </c>
      <c r="BD71" s="118">
        <v>0</v>
      </c>
      <c r="BE71" s="118">
        <v>0</v>
      </c>
      <c r="BF71" s="118">
        <v>0</v>
      </c>
      <c r="BG71" s="118">
        <v>0.3</v>
      </c>
      <c r="BH71" s="12">
        <v>0</v>
      </c>
      <c r="BI71" s="12">
        <v>0</v>
      </c>
      <c r="BJ71" s="12">
        <v>0</v>
      </c>
      <c r="BK71" s="12">
        <v>0</v>
      </c>
      <c r="BL71" s="12">
        <v>0</v>
      </c>
      <c r="BM71" s="12">
        <v>0</v>
      </c>
      <c r="BN71" s="12">
        <v>0</v>
      </c>
      <c r="BO71" s="12" t="s">
        <v>1554</v>
      </c>
    </row>
    <row r="72" spans="1:67" x14ac:dyDescent="0.3">
      <c r="A72" s="12">
        <v>67</v>
      </c>
      <c r="B72" s="12" t="s">
        <v>467</v>
      </c>
      <c r="C72" s="118">
        <v>30</v>
      </c>
      <c r="D72" s="118">
        <v>0.59</v>
      </c>
      <c r="E72" s="118">
        <v>35</v>
      </c>
      <c r="F72" s="118">
        <v>18</v>
      </c>
      <c r="G72" s="118">
        <v>3</v>
      </c>
      <c r="H72" s="118">
        <v>0.6</v>
      </c>
      <c r="I72" s="118">
        <v>15.05</v>
      </c>
      <c r="J72" s="118">
        <v>50.95</v>
      </c>
      <c r="K72" s="118">
        <v>0.1</v>
      </c>
      <c r="L72" s="118">
        <v>0.1</v>
      </c>
      <c r="M72" s="141">
        <v>2</v>
      </c>
      <c r="N72" s="118">
        <v>7.0000000000000001E-3</v>
      </c>
      <c r="O72" s="118">
        <v>0.85</v>
      </c>
      <c r="P72" s="118">
        <v>90</v>
      </c>
      <c r="Q72" s="118">
        <v>0.8</v>
      </c>
      <c r="R72" s="118">
        <v>1.1000000000000001</v>
      </c>
      <c r="S72" s="119">
        <v>660.41</v>
      </c>
      <c r="T72" s="119">
        <v>2.18E-2</v>
      </c>
      <c r="U72" s="119">
        <v>4.1000000000000003E-3</v>
      </c>
      <c r="V72" s="119">
        <v>2.7099999999999999E-2</v>
      </c>
      <c r="W72" s="119">
        <v>0.28999999999999998</v>
      </c>
      <c r="X72" s="119">
        <v>0.6</v>
      </c>
      <c r="Y72" s="119">
        <v>197.37</v>
      </c>
      <c r="Z72" s="119">
        <v>120</v>
      </c>
      <c r="AA72" s="119">
        <v>5</v>
      </c>
      <c r="AB72" s="119">
        <v>0.92</v>
      </c>
      <c r="AC72" s="119">
        <v>0.04</v>
      </c>
      <c r="AD72" s="119">
        <v>0.02</v>
      </c>
      <c r="AE72" s="119">
        <v>1.4999999999999999E-2</v>
      </c>
      <c r="AF72" s="119">
        <v>5.3E-3</v>
      </c>
      <c r="AG72" s="119">
        <v>2E-3</v>
      </c>
      <c r="AH72" s="119">
        <v>1.1999999999999999E-3</v>
      </c>
      <c r="AI72" s="119">
        <v>0.02</v>
      </c>
      <c r="AJ72" s="119">
        <v>0.02</v>
      </c>
      <c r="AK72" s="119">
        <v>0.02</v>
      </c>
      <c r="AL72" s="119">
        <v>1.266</v>
      </c>
      <c r="AM72" s="119">
        <v>0.63300000000000001</v>
      </c>
      <c r="AN72" s="119">
        <v>0.72899999999999998</v>
      </c>
      <c r="AO72" s="12">
        <v>5</v>
      </c>
      <c r="AP72" s="118">
        <v>5.15</v>
      </c>
      <c r="AQ72" s="118">
        <v>15.95</v>
      </c>
      <c r="AR72" s="118">
        <v>8</v>
      </c>
      <c r="AS72" s="118">
        <v>0.5</v>
      </c>
      <c r="AT72" s="118">
        <v>4.75</v>
      </c>
      <c r="AU72" s="118">
        <v>0.4</v>
      </c>
      <c r="AV72" s="118">
        <v>0.2</v>
      </c>
      <c r="AW72" s="118">
        <v>100</v>
      </c>
      <c r="AX72" s="118">
        <v>5.2</v>
      </c>
      <c r="AY72" s="118">
        <v>25.9</v>
      </c>
      <c r="AZ72" s="118">
        <v>0.19</v>
      </c>
      <c r="BA72" s="118">
        <v>1</v>
      </c>
      <c r="BB72" s="118">
        <v>0.01</v>
      </c>
      <c r="BC72" s="118">
        <v>0.1</v>
      </c>
      <c r="BD72" s="118">
        <v>0</v>
      </c>
      <c r="BE72" s="118">
        <v>0</v>
      </c>
      <c r="BF72" s="118">
        <v>0</v>
      </c>
      <c r="BG72" s="118">
        <v>0.3</v>
      </c>
      <c r="BH72" s="12">
        <v>0</v>
      </c>
      <c r="BI72" s="12">
        <v>0</v>
      </c>
      <c r="BJ72" s="12">
        <v>0</v>
      </c>
      <c r="BK72" s="12">
        <v>0</v>
      </c>
      <c r="BL72" s="12">
        <v>0</v>
      </c>
      <c r="BM72" s="12">
        <v>0</v>
      </c>
      <c r="BN72" s="12">
        <v>0</v>
      </c>
      <c r="BO72" s="12" t="s">
        <v>1555</v>
      </c>
    </row>
    <row r="73" spans="1:67" x14ac:dyDescent="0.3">
      <c r="A73" s="12">
        <v>68</v>
      </c>
      <c r="B73" s="12" t="s">
        <v>468</v>
      </c>
      <c r="C73" s="118">
        <v>30</v>
      </c>
      <c r="D73" s="118">
        <v>0.5</v>
      </c>
      <c r="E73" s="118">
        <v>32</v>
      </c>
      <c r="F73" s="118">
        <v>16</v>
      </c>
      <c r="G73" s="118">
        <v>3</v>
      </c>
      <c r="H73" s="118">
        <v>0.6</v>
      </c>
      <c r="I73" s="118">
        <v>15.05</v>
      </c>
      <c r="J73" s="118">
        <v>50.95</v>
      </c>
      <c r="K73" s="118">
        <v>1</v>
      </c>
      <c r="L73" s="118">
        <v>1</v>
      </c>
      <c r="M73" s="141">
        <v>2</v>
      </c>
      <c r="N73" s="118">
        <v>7.0000000000000001E-3</v>
      </c>
      <c r="O73" s="118">
        <v>0.85</v>
      </c>
      <c r="P73" s="118">
        <v>90</v>
      </c>
      <c r="Q73" s="118">
        <v>0.9</v>
      </c>
      <c r="R73" s="118">
        <v>1.3</v>
      </c>
      <c r="S73" s="119">
        <v>660.41</v>
      </c>
      <c r="T73" s="119">
        <v>1.38E-2</v>
      </c>
      <c r="U73" s="119">
        <v>1.6999999999999999E-3</v>
      </c>
      <c r="V73" s="119">
        <v>3.0200000000000001E-2</v>
      </c>
      <c r="W73" s="119">
        <v>0.25</v>
      </c>
      <c r="X73" s="119">
        <v>0.6</v>
      </c>
      <c r="Y73" s="119">
        <v>89.61</v>
      </c>
      <c r="Z73" s="119">
        <v>535.82000000000005</v>
      </c>
      <c r="AA73" s="119">
        <v>5</v>
      </c>
      <c r="AB73" s="119">
        <v>0.9</v>
      </c>
      <c r="AC73" s="119">
        <v>0.03</v>
      </c>
      <c r="AD73" s="119">
        <v>1.4999999999999999E-2</v>
      </c>
      <c r="AE73" s="119">
        <v>0.01</v>
      </c>
      <c r="AF73" s="119">
        <v>5.3E-3</v>
      </c>
      <c r="AG73" s="119">
        <v>2E-3</v>
      </c>
      <c r="AH73" s="119">
        <v>1.1999999999999999E-3</v>
      </c>
      <c r="AI73" s="119">
        <v>0.02</v>
      </c>
      <c r="AJ73" s="119">
        <v>0.02</v>
      </c>
      <c r="AK73" s="119">
        <v>0.02</v>
      </c>
      <c r="AL73" s="119">
        <v>1.266</v>
      </c>
      <c r="AM73" s="119">
        <v>0.63300000000000001</v>
      </c>
      <c r="AN73" s="119">
        <v>0.72899999999999998</v>
      </c>
      <c r="AO73" s="12">
        <v>5</v>
      </c>
      <c r="AP73" s="118">
        <v>5.15</v>
      </c>
      <c r="AQ73" s="118">
        <v>15.95</v>
      </c>
      <c r="AR73" s="118">
        <v>8</v>
      </c>
      <c r="AS73" s="118">
        <v>0.5</v>
      </c>
      <c r="AT73" s="118">
        <v>4.75</v>
      </c>
      <c r="AU73" s="118">
        <v>0.4</v>
      </c>
      <c r="AV73" s="118">
        <v>0.2</v>
      </c>
      <c r="AW73" s="118">
        <v>100</v>
      </c>
      <c r="AX73" s="118">
        <v>4.4000000000000004</v>
      </c>
      <c r="AY73" s="118">
        <v>7.9</v>
      </c>
      <c r="AZ73" s="118">
        <v>0.19</v>
      </c>
      <c r="BA73" s="118">
        <v>1</v>
      </c>
      <c r="BB73" s="118">
        <v>0.01</v>
      </c>
      <c r="BC73" s="118">
        <v>0.1</v>
      </c>
      <c r="BD73" s="118">
        <v>0</v>
      </c>
      <c r="BE73" s="118">
        <v>0</v>
      </c>
      <c r="BF73" s="118">
        <v>0</v>
      </c>
      <c r="BG73" s="118">
        <v>0.3</v>
      </c>
      <c r="BH73" s="12">
        <v>0</v>
      </c>
      <c r="BI73" s="12">
        <v>0</v>
      </c>
      <c r="BJ73" s="12">
        <v>0</v>
      </c>
      <c r="BK73" s="12">
        <v>0</v>
      </c>
      <c r="BL73" s="12">
        <v>0</v>
      </c>
      <c r="BM73" s="12">
        <v>0</v>
      </c>
      <c r="BN73" s="12">
        <v>0</v>
      </c>
      <c r="BO73" s="12" t="s">
        <v>1556</v>
      </c>
    </row>
    <row r="74" spans="1:67" x14ac:dyDescent="0.3">
      <c r="A74" s="12">
        <v>69</v>
      </c>
      <c r="B74" s="12" t="s">
        <v>469</v>
      </c>
      <c r="C74" s="118">
        <v>30</v>
      </c>
      <c r="D74" s="118">
        <v>0.55000000000000004</v>
      </c>
      <c r="E74" s="118">
        <v>35</v>
      </c>
      <c r="F74" s="118">
        <v>16</v>
      </c>
      <c r="G74" s="118">
        <v>4</v>
      </c>
      <c r="H74" s="118">
        <v>0.6</v>
      </c>
      <c r="I74" s="118">
        <v>15.05</v>
      </c>
      <c r="J74" s="118">
        <v>50.95</v>
      </c>
      <c r="K74" s="118">
        <v>1</v>
      </c>
      <c r="L74" s="118">
        <v>1</v>
      </c>
      <c r="M74" s="141">
        <v>2</v>
      </c>
      <c r="N74" s="118">
        <v>7.0000000000000001E-3</v>
      </c>
      <c r="O74" s="118">
        <v>0.85</v>
      </c>
      <c r="P74" s="118">
        <v>90</v>
      </c>
      <c r="Q74" s="118">
        <v>0.8</v>
      </c>
      <c r="R74" s="118">
        <v>1.1000000000000001</v>
      </c>
      <c r="S74" s="119">
        <v>660.41</v>
      </c>
      <c r="T74" s="119">
        <v>7.1999999999999998E-3</v>
      </c>
      <c r="U74" s="119">
        <v>1E-3</v>
      </c>
      <c r="V74" s="119">
        <v>2.6200000000000001E-2</v>
      </c>
      <c r="W74" s="119">
        <v>0.28000000000000003</v>
      </c>
      <c r="X74" s="119">
        <v>0.6</v>
      </c>
      <c r="Y74" s="119">
        <v>0.4</v>
      </c>
      <c r="Z74" s="119">
        <v>564.48</v>
      </c>
      <c r="AA74" s="119">
        <v>5</v>
      </c>
      <c r="AB74" s="119">
        <v>0.9</v>
      </c>
      <c r="AC74" s="119">
        <v>0.02</v>
      </c>
      <c r="AD74" s="119">
        <v>0.01</v>
      </c>
      <c r="AE74" s="119">
        <v>8.0000000000000002E-3</v>
      </c>
      <c r="AF74" s="119">
        <v>2.5999999999999999E-3</v>
      </c>
      <c r="AG74" s="119">
        <v>2E-3</v>
      </c>
      <c r="AH74" s="119">
        <v>1.6999999999999999E-3</v>
      </c>
      <c r="AI74" s="119">
        <v>0.02</v>
      </c>
      <c r="AJ74" s="119">
        <v>0.02</v>
      </c>
      <c r="AK74" s="119">
        <v>0.02</v>
      </c>
      <c r="AL74" s="119">
        <v>1.266</v>
      </c>
      <c r="AM74" s="119">
        <v>0.63300000000000001</v>
      </c>
      <c r="AN74" s="119">
        <v>0.72899999999999998</v>
      </c>
      <c r="AO74" s="12">
        <v>5</v>
      </c>
      <c r="AP74" s="118">
        <v>5.15</v>
      </c>
      <c r="AQ74" s="118">
        <v>15.95</v>
      </c>
      <c r="AR74" s="118">
        <v>8</v>
      </c>
      <c r="AS74" s="118">
        <v>0.5</v>
      </c>
      <c r="AT74" s="118">
        <v>4.75</v>
      </c>
      <c r="AU74" s="118">
        <v>0.4</v>
      </c>
      <c r="AV74" s="118">
        <v>0.2</v>
      </c>
      <c r="AW74" s="118">
        <v>100</v>
      </c>
      <c r="AX74" s="118">
        <v>4.4000000000000004</v>
      </c>
      <c r="AY74" s="118">
        <v>7.9</v>
      </c>
      <c r="AZ74" s="118">
        <v>0.19</v>
      </c>
      <c r="BA74" s="118">
        <v>1</v>
      </c>
      <c r="BB74" s="118">
        <v>0.01</v>
      </c>
      <c r="BC74" s="118">
        <v>0.1</v>
      </c>
      <c r="BD74" s="118">
        <v>0</v>
      </c>
      <c r="BE74" s="118">
        <v>0</v>
      </c>
      <c r="BF74" s="118">
        <v>0</v>
      </c>
      <c r="BG74" s="118">
        <v>0.3</v>
      </c>
      <c r="BH74" s="12">
        <v>0</v>
      </c>
      <c r="BI74" s="12">
        <v>0</v>
      </c>
      <c r="BJ74" s="12">
        <v>0</v>
      </c>
      <c r="BK74" s="12">
        <v>0</v>
      </c>
      <c r="BL74" s="12">
        <v>0</v>
      </c>
      <c r="BM74" s="12">
        <v>0</v>
      </c>
      <c r="BN74" s="12">
        <v>0</v>
      </c>
      <c r="BO74" s="12" t="s">
        <v>1557</v>
      </c>
    </row>
    <row r="75" spans="1:67" x14ac:dyDescent="0.3">
      <c r="A75" s="12">
        <v>70</v>
      </c>
      <c r="B75" s="12" t="s">
        <v>470</v>
      </c>
      <c r="C75" s="118">
        <v>30</v>
      </c>
      <c r="D75" s="118">
        <v>0.5</v>
      </c>
      <c r="E75" s="118">
        <v>35</v>
      </c>
      <c r="F75" s="118">
        <v>18</v>
      </c>
      <c r="G75" s="118">
        <v>1.5</v>
      </c>
      <c r="H75" s="118">
        <v>0.6</v>
      </c>
      <c r="I75" s="118">
        <v>15.05</v>
      </c>
      <c r="J75" s="118">
        <v>50.95</v>
      </c>
      <c r="K75" s="118">
        <v>1</v>
      </c>
      <c r="L75" s="118">
        <v>1</v>
      </c>
      <c r="M75" s="141">
        <v>2</v>
      </c>
      <c r="N75" s="118">
        <v>7.0000000000000001E-3</v>
      </c>
      <c r="O75" s="118">
        <v>0.85</v>
      </c>
      <c r="P75" s="118">
        <v>90</v>
      </c>
      <c r="Q75" s="118">
        <v>0.8</v>
      </c>
      <c r="R75" s="118">
        <v>1.1000000000000001</v>
      </c>
      <c r="S75" s="119">
        <v>660.41</v>
      </c>
      <c r="T75" s="119">
        <v>1.17E-2</v>
      </c>
      <c r="U75" s="119">
        <v>1.1000000000000001E-3</v>
      </c>
      <c r="V75" s="119">
        <v>1.37E-2</v>
      </c>
      <c r="W75" s="119">
        <v>0.25</v>
      </c>
      <c r="X75" s="119">
        <v>0.6</v>
      </c>
      <c r="Y75" s="119">
        <v>493.98</v>
      </c>
      <c r="Z75" s="119">
        <v>120</v>
      </c>
      <c r="AA75" s="119">
        <v>5</v>
      </c>
      <c r="AB75" s="119">
        <v>0.92</v>
      </c>
      <c r="AC75" s="119">
        <v>2.5000000000000001E-2</v>
      </c>
      <c r="AD75" s="119">
        <v>1.4999999999999999E-2</v>
      </c>
      <c r="AE75" s="119">
        <v>0.01</v>
      </c>
      <c r="AF75" s="119">
        <v>5.3E-3</v>
      </c>
      <c r="AG75" s="119">
        <v>2.5000000000000001E-3</v>
      </c>
      <c r="AH75" s="119">
        <v>1.1999999999999999E-3</v>
      </c>
      <c r="AI75" s="119">
        <v>0.01</v>
      </c>
      <c r="AJ75" s="119">
        <v>0.01</v>
      </c>
      <c r="AK75" s="119">
        <v>0.01</v>
      </c>
      <c r="AL75" s="119">
        <v>1.266</v>
      </c>
      <c r="AM75" s="119">
        <v>0.63300000000000001</v>
      </c>
      <c r="AN75" s="119">
        <v>0.72899999999999998</v>
      </c>
      <c r="AO75" s="12">
        <v>5</v>
      </c>
      <c r="AP75" s="118">
        <v>5.15</v>
      </c>
      <c r="AQ75" s="118">
        <v>15.95</v>
      </c>
      <c r="AR75" s="118">
        <v>8</v>
      </c>
      <c r="AS75" s="118">
        <v>0.5</v>
      </c>
      <c r="AT75" s="118">
        <v>4.75</v>
      </c>
      <c r="AU75" s="118">
        <v>0.4</v>
      </c>
      <c r="AV75" s="118">
        <v>0.2</v>
      </c>
      <c r="AW75" s="118">
        <v>100</v>
      </c>
      <c r="AX75" s="118">
        <v>4.4000000000000004</v>
      </c>
      <c r="AY75" s="118">
        <v>7.9</v>
      </c>
      <c r="AZ75" s="118">
        <v>0.19</v>
      </c>
      <c r="BA75" s="118">
        <v>1</v>
      </c>
      <c r="BB75" s="118">
        <v>0.01</v>
      </c>
      <c r="BC75" s="118">
        <v>0.1</v>
      </c>
      <c r="BD75" s="118">
        <v>0</v>
      </c>
      <c r="BE75" s="118">
        <v>0</v>
      </c>
      <c r="BF75" s="118">
        <v>0</v>
      </c>
      <c r="BG75" s="118">
        <v>0.3</v>
      </c>
      <c r="BH75" s="12">
        <v>0</v>
      </c>
      <c r="BI75" s="12">
        <v>0</v>
      </c>
      <c r="BJ75" s="12">
        <v>0</v>
      </c>
      <c r="BK75" s="12">
        <v>0</v>
      </c>
      <c r="BL75" s="12">
        <v>0</v>
      </c>
      <c r="BM75" s="12">
        <v>0</v>
      </c>
      <c r="BN75" s="12">
        <v>0</v>
      </c>
      <c r="BO75" s="12" t="s">
        <v>1558</v>
      </c>
    </row>
    <row r="76" spans="1:67" x14ac:dyDescent="0.3">
      <c r="A76" s="12">
        <v>71</v>
      </c>
      <c r="B76" s="12" t="s">
        <v>471</v>
      </c>
      <c r="C76" s="118">
        <v>30</v>
      </c>
      <c r="D76" s="118">
        <v>0.6</v>
      </c>
      <c r="E76" s="118">
        <v>27</v>
      </c>
      <c r="F76" s="118">
        <v>12</v>
      </c>
      <c r="G76" s="118">
        <v>5</v>
      </c>
      <c r="H76" s="118">
        <v>0.6</v>
      </c>
      <c r="I76" s="118">
        <v>15.05</v>
      </c>
      <c r="J76" s="118">
        <v>50.95</v>
      </c>
      <c r="K76" s="118">
        <v>0.1</v>
      </c>
      <c r="L76" s="118">
        <v>0.1</v>
      </c>
      <c r="M76" s="141">
        <v>2</v>
      </c>
      <c r="N76" s="118">
        <v>7.0000000000000001E-3</v>
      </c>
      <c r="O76" s="118">
        <v>0.85</v>
      </c>
      <c r="P76" s="118">
        <v>0.28000000000000003</v>
      </c>
      <c r="Q76" s="118">
        <v>0.8</v>
      </c>
      <c r="R76" s="118">
        <v>1.1000000000000001</v>
      </c>
      <c r="S76" s="119">
        <v>660.41</v>
      </c>
      <c r="T76" s="119">
        <v>1.8800000000000001E-2</v>
      </c>
      <c r="U76" s="119">
        <v>3.0000000000000001E-3</v>
      </c>
      <c r="V76" s="119">
        <v>2.7E-2</v>
      </c>
      <c r="W76" s="119">
        <v>0.3</v>
      </c>
      <c r="X76" s="119">
        <v>0.6</v>
      </c>
      <c r="Y76" s="119">
        <v>1481.94</v>
      </c>
      <c r="Z76" s="119">
        <v>120</v>
      </c>
      <c r="AA76" s="119">
        <v>5</v>
      </c>
      <c r="AB76" s="119">
        <v>0.93</v>
      </c>
      <c r="AC76" s="119">
        <v>0.03</v>
      </c>
      <c r="AD76" s="119">
        <v>0.02</v>
      </c>
      <c r="AE76" s="119">
        <v>1.4999999999999999E-2</v>
      </c>
      <c r="AF76" s="119">
        <v>5.3E-3</v>
      </c>
      <c r="AG76" s="119">
        <v>2E-3</v>
      </c>
      <c r="AH76" s="119">
        <v>1.1999999999999999E-3</v>
      </c>
      <c r="AI76" s="119">
        <v>0.02</v>
      </c>
      <c r="AJ76" s="119">
        <v>0.02</v>
      </c>
      <c r="AK76" s="119">
        <v>0.02</v>
      </c>
      <c r="AL76" s="119">
        <v>1.266</v>
      </c>
      <c r="AM76" s="119">
        <v>0.63300000000000001</v>
      </c>
      <c r="AN76" s="119">
        <v>0.72899999999999998</v>
      </c>
      <c r="AO76" s="12">
        <v>4</v>
      </c>
      <c r="AP76" s="118">
        <v>5.15</v>
      </c>
      <c r="AQ76" s="118">
        <v>15.95</v>
      </c>
      <c r="AR76" s="118">
        <v>8</v>
      </c>
      <c r="AS76" s="118">
        <v>0.5</v>
      </c>
      <c r="AT76" s="118">
        <v>4.75</v>
      </c>
      <c r="AU76" s="118">
        <v>0.4</v>
      </c>
      <c r="AV76" s="118">
        <v>0.2</v>
      </c>
      <c r="AW76" s="118">
        <v>100</v>
      </c>
      <c r="AX76" s="118">
        <v>5.2</v>
      </c>
      <c r="AY76" s="118">
        <v>25.9</v>
      </c>
      <c r="AZ76" s="118">
        <v>0.19</v>
      </c>
      <c r="BA76" s="118">
        <v>1</v>
      </c>
      <c r="BB76" s="118">
        <v>0.01</v>
      </c>
      <c r="BC76" s="118">
        <v>0.1</v>
      </c>
      <c r="BD76" s="118">
        <v>0</v>
      </c>
      <c r="BE76" s="118">
        <v>0</v>
      </c>
      <c r="BF76" s="118">
        <v>0</v>
      </c>
      <c r="BG76" s="118">
        <v>0.3</v>
      </c>
      <c r="BH76" s="12">
        <v>0</v>
      </c>
      <c r="BI76" s="12">
        <v>0</v>
      </c>
      <c r="BJ76" s="12">
        <v>0</v>
      </c>
      <c r="BK76" s="12">
        <v>0</v>
      </c>
      <c r="BL76" s="12">
        <v>0</v>
      </c>
      <c r="BM76" s="12">
        <v>0</v>
      </c>
      <c r="BN76" s="12">
        <v>0</v>
      </c>
      <c r="BO76" s="12" t="s">
        <v>1559</v>
      </c>
    </row>
    <row r="77" spans="1:67" x14ac:dyDescent="0.3">
      <c r="A77" s="12">
        <v>72</v>
      </c>
      <c r="B77" s="12" t="s">
        <v>472</v>
      </c>
      <c r="C77" s="118">
        <v>30</v>
      </c>
      <c r="D77" s="118">
        <v>0.45</v>
      </c>
      <c r="E77" s="118">
        <v>32</v>
      </c>
      <c r="F77" s="118">
        <v>10</v>
      </c>
      <c r="G77" s="118">
        <v>3</v>
      </c>
      <c r="H77" s="118">
        <v>0.6</v>
      </c>
      <c r="I77" s="118">
        <v>15.05</v>
      </c>
      <c r="J77" s="118">
        <v>50.95</v>
      </c>
      <c r="K77" s="118">
        <v>1</v>
      </c>
      <c r="L77" s="118">
        <v>1</v>
      </c>
      <c r="M77" s="141">
        <v>2</v>
      </c>
      <c r="N77" s="118">
        <v>7.0000000000000001E-3</v>
      </c>
      <c r="O77" s="118">
        <v>0.85</v>
      </c>
      <c r="P77" s="118">
        <v>90</v>
      </c>
      <c r="Q77" s="118">
        <v>0.8</v>
      </c>
      <c r="R77" s="118">
        <v>0.7</v>
      </c>
      <c r="S77" s="119">
        <v>660.39</v>
      </c>
      <c r="T77" s="119">
        <v>1.1599999999999999E-2</v>
      </c>
      <c r="U77" s="119">
        <v>2.3E-3</v>
      </c>
      <c r="V77" s="119">
        <v>2.1000000000000001E-2</v>
      </c>
      <c r="W77" s="119">
        <v>0.22</v>
      </c>
      <c r="X77" s="119">
        <v>0.6</v>
      </c>
      <c r="Y77" s="119">
        <v>32.1</v>
      </c>
      <c r="Z77" s="119">
        <v>120</v>
      </c>
      <c r="AA77" s="119">
        <v>5</v>
      </c>
      <c r="AB77" s="119">
        <v>0.92</v>
      </c>
      <c r="AC77" s="119">
        <v>6.6299999999999998E-2</v>
      </c>
      <c r="AD77" s="119">
        <v>2.5499999999999998E-2</v>
      </c>
      <c r="AE77" s="119">
        <v>1.4800000000000001E-2</v>
      </c>
      <c r="AF77" s="119">
        <v>5.3E-3</v>
      </c>
      <c r="AG77" s="119">
        <v>2E-3</v>
      </c>
      <c r="AH77" s="119">
        <v>1.1999999999999999E-3</v>
      </c>
      <c r="AI77" s="119">
        <v>0.02</v>
      </c>
      <c r="AJ77" s="119">
        <v>0.02</v>
      </c>
      <c r="AK77" s="119">
        <v>0.02</v>
      </c>
      <c r="AL77" s="119">
        <v>3.39</v>
      </c>
      <c r="AM77" s="119">
        <v>3.39</v>
      </c>
      <c r="AN77" s="119">
        <v>1.61</v>
      </c>
      <c r="AO77" s="12">
        <v>6</v>
      </c>
      <c r="AP77" s="118">
        <v>5.15</v>
      </c>
      <c r="AQ77" s="118">
        <v>15.95</v>
      </c>
      <c r="AR77" s="118">
        <v>8</v>
      </c>
      <c r="AS77" s="118">
        <v>0.5</v>
      </c>
      <c r="AT77" s="118">
        <v>4.75</v>
      </c>
      <c r="AU77" s="118">
        <v>0.4</v>
      </c>
      <c r="AV77" s="118">
        <v>0.2</v>
      </c>
      <c r="AW77" s="118">
        <v>100</v>
      </c>
      <c r="AX77" s="118">
        <v>5.2</v>
      </c>
      <c r="AY77" s="118">
        <v>25.9</v>
      </c>
      <c r="AZ77" s="118">
        <v>0.19</v>
      </c>
      <c r="BA77" s="118">
        <v>1</v>
      </c>
      <c r="BB77" s="118">
        <v>0.01</v>
      </c>
      <c r="BC77" s="118">
        <v>0.1</v>
      </c>
      <c r="BD77" s="118">
        <v>0</v>
      </c>
      <c r="BE77" s="118">
        <v>0</v>
      </c>
      <c r="BF77" s="118">
        <v>0</v>
      </c>
      <c r="BG77" s="118">
        <v>0.3</v>
      </c>
      <c r="BH77" s="12">
        <v>0</v>
      </c>
      <c r="BI77" s="12">
        <v>0</v>
      </c>
      <c r="BJ77" s="12">
        <v>0</v>
      </c>
      <c r="BK77" s="12">
        <v>0</v>
      </c>
      <c r="BL77" s="12">
        <v>0</v>
      </c>
      <c r="BM77" s="12">
        <v>0</v>
      </c>
      <c r="BN77" s="12">
        <v>0</v>
      </c>
      <c r="BO77" s="12" t="s">
        <v>1560</v>
      </c>
    </row>
    <row r="78" spans="1:67" x14ac:dyDescent="0.3">
      <c r="A78" s="12">
        <v>73</v>
      </c>
      <c r="B78" s="12" t="s">
        <v>473</v>
      </c>
      <c r="C78" s="118">
        <v>30</v>
      </c>
      <c r="D78" s="118">
        <v>0.33</v>
      </c>
      <c r="E78" s="118">
        <v>27</v>
      </c>
      <c r="F78" s="118">
        <v>10</v>
      </c>
      <c r="G78" s="118">
        <v>3</v>
      </c>
      <c r="H78" s="118">
        <v>0.95</v>
      </c>
      <c r="I78" s="118">
        <v>15.05</v>
      </c>
      <c r="J78" s="118">
        <v>50.95</v>
      </c>
      <c r="K78" s="118">
        <v>0.1</v>
      </c>
      <c r="L78" s="118">
        <v>0.1</v>
      </c>
      <c r="M78" s="141">
        <v>2</v>
      </c>
      <c r="N78" s="118">
        <v>7.0000000000000001E-3</v>
      </c>
      <c r="O78" s="118">
        <v>0.85</v>
      </c>
      <c r="P78" s="118">
        <v>90</v>
      </c>
      <c r="Q78" s="118">
        <v>0.8</v>
      </c>
      <c r="R78" s="118">
        <v>1.5</v>
      </c>
      <c r="S78" s="119">
        <v>660.41</v>
      </c>
      <c r="T78" s="119">
        <v>2.35E-2</v>
      </c>
      <c r="U78" s="119">
        <v>3.8E-3</v>
      </c>
      <c r="V78" s="119">
        <v>3.4200000000000001E-2</v>
      </c>
      <c r="W78" s="119">
        <v>0.17</v>
      </c>
      <c r="X78" s="119">
        <v>0.6</v>
      </c>
      <c r="Y78" s="119">
        <v>1136.1600000000001</v>
      </c>
      <c r="Z78" s="119">
        <v>120</v>
      </c>
      <c r="AA78" s="119">
        <v>5</v>
      </c>
      <c r="AB78" s="119">
        <v>0.94</v>
      </c>
      <c r="AC78" s="119">
        <v>6.6299999999999998E-2</v>
      </c>
      <c r="AD78" s="119">
        <v>0.03</v>
      </c>
      <c r="AE78" s="119">
        <v>2.5000000000000001E-2</v>
      </c>
      <c r="AF78" s="119">
        <v>5.3E-3</v>
      </c>
      <c r="AG78" s="119">
        <v>3.5000000000000001E-3</v>
      </c>
      <c r="AH78" s="119">
        <v>2.5000000000000001E-3</v>
      </c>
      <c r="AI78" s="119">
        <v>5.2999999999999999E-2</v>
      </c>
      <c r="AJ78" s="119">
        <v>4.4999999999999998E-2</v>
      </c>
      <c r="AK78" s="119">
        <v>0.04</v>
      </c>
      <c r="AL78" s="119">
        <v>1.1379999999999999</v>
      </c>
      <c r="AM78" s="119">
        <v>0.60299999999999998</v>
      </c>
      <c r="AN78" s="119">
        <v>0.33200000000000002</v>
      </c>
      <c r="AO78" s="12">
        <v>4</v>
      </c>
      <c r="AP78" s="118">
        <v>5.15</v>
      </c>
      <c r="AQ78" s="118">
        <v>15.95</v>
      </c>
      <c r="AR78" s="118">
        <v>8</v>
      </c>
      <c r="AS78" s="118">
        <v>0.5</v>
      </c>
      <c r="AT78" s="118">
        <v>4.75</v>
      </c>
      <c r="AU78" s="118">
        <v>0.4</v>
      </c>
      <c r="AV78" s="118">
        <v>0.2</v>
      </c>
      <c r="AW78" s="118">
        <v>100</v>
      </c>
      <c r="AX78" s="118">
        <v>4.4000000000000004</v>
      </c>
      <c r="AY78" s="118">
        <v>7.9</v>
      </c>
      <c r="AZ78" s="118">
        <v>0.19</v>
      </c>
      <c r="BA78" s="118">
        <v>1</v>
      </c>
      <c r="BB78" s="118">
        <v>0.01</v>
      </c>
      <c r="BC78" s="118">
        <v>0.1</v>
      </c>
      <c r="BD78" s="118">
        <v>0</v>
      </c>
      <c r="BE78" s="118">
        <v>0</v>
      </c>
      <c r="BF78" s="118">
        <v>0</v>
      </c>
      <c r="BG78" s="118">
        <v>0.3</v>
      </c>
      <c r="BH78" s="12">
        <v>0</v>
      </c>
      <c r="BI78" s="12">
        <v>0</v>
      </c>
      <c r="BJ78" s="12">
        <v>0</v>
      </c>
      <c r="BK78" s="12">
        <v>0</v>
      </c>
      <c r="BL78" s="12">
        <v>0</v>
      </c>
      <c r="BM78" s="12">
        <v>0</v>
      </c>
      <c r="BN78" s="12">
        <v>0</v>
      </c>
      <c r="BO78" s="12" t="s">
        <v>1561</v>
      </c>
    </row>
    <row r="79" spans="1:67" x14ac:dyDescent="0.3">
      <c r="A79" s="12">
        <v>74</v>
      </c>
      <c r="B79" s="12" t="s">
        <v>474</v>
      </c>
      <c r="C79" s="118">
        <v>15</v>
      </c>
      <c r="D79" s="118">
        <v>0.6</v>
      </c>
      <c r="E79" s="118">
        <v>29</v>
      </c>
      <c r="F79" s="118">
        <v>14</v>
      </c>
      <c r="G79" s="118">
        <v>5</v>
      </c>
      <c r="H79" s="118">
        <v>0.6</v>
      </c>
      <c r="I79" s="118">
        <v>15.05</v>
      </c>
      <c r="J79" s="118">
        <v>50.95</v>
      </c>
      <c r="K79" s="118">
        <v>1</v>
      </c>
      <c r="L79" s="118">
        <v>1</v>
      </c>
      <c r="M79" s="141">
        <v>3</v>
      </c>
      <c r="N79" s="118">
        <v>0.01</v>
      </c>
      <c r="O79" s="118">
        <v>0.85</v>
      </c>
      <c r="P79" s="118">
        <v>200</v>
      </c>
      <c r="Q79" s="118">
        <v>0.8</v>
      </c>
      <c r="R79" s="118">
        <v>2</v>
      </c>
      <c r="S79" s="119">
        <v>660.2</v>
      </c>
      <c r="T79" s="119">
        <v>9.7000000000000003E-3</v>
      </c>
      <c r="U79" s="119">
        <v>1E-3</v>
      </c>
      <c r="V79" s="119">
        <v>7.4999999999999997E-3</v>
      </c>
      <c r="W79" s="119">
        <v>0.6</v>
      </c>
      <c r="X79" s="119">
        <v>0.6</v>
      </c>
      <c r="Y79" s="119">
        <v>0.31</v>
      </c>
      <c r="Z79" s="119">
        <v>120</v>
      </c>
      <c r="AA79" s="119">
        <v>5</v>
      </c>
      <c r="AB79" s="119">
        <v>0.73</v>
      </c>
      <c r="AC79" s="119">
        <v>5.3199999999999997E-2</v>
      </c>
      <c r="AD79" s="119">
        <v>0.02</v>
      </c>
      <c r="AE79" s="119">
        <v>1.0999999999999999E-2</v>
      </c>
      <c r="AF79" s="119">
        <v>7.7999999999999996E-3</v>
      </c>
      <c r="AG79" s="119">
        <v>3.3E-3</v>
      </c>
      <c r="AH79" s="119">
        <v>1.5E-3</v>
      </c>
      <c r="AI79" s="119">
        <v>0.04</v>
      </c>
      <c r="AJ79" s="119">
        <v>0.02</v>
      </c>
      <c r="AK79" s="119">
        <v>3.0000000000000001E-3</v>
      </c>
      <c r="AL79" s="119">
        <v>1.1379999999999999</v>
      </c>
      <c r="AM79" s="119">
        <v>0.60299999999999998</v>
      </c>
      <c r="AN79" s="119">
        <v>0.33200000000000002</v>
      </c>
      <c r="AO79" s="12">
        <v>4</v>
      </c>
      <c r="AP79" s="118">
        <v>5.15</v>
      </c>
      <c r="AQ79" s="118">
        <v>15.95</v>
      </c>
      <c r="AR79" s="118">
        <v>3</v>
      </c>
      <c r="AS79" s="118">
        <v>0.5</v>
      </c>
      <c r="AT79" s="118">
        <v>4.75</v>
      </c>
      <c r="AU79" s="118">
        <v>0.4</v>
      </c>
      <c r="AV79" s="118">
        <v>0.6</v>
      </c>
      <c r="AW79" s="118">
        <v>100</v>
      </c>
      <c r="AX79" s="118">
        <v>4.4000000000000004</v>
      </c>
      <c r="AY79" s="118">
        <v>7.9</v>
      </c>
      <c r="AZ79" s="118">
        <v>0</v>
      </c>
      <c r="BA79" s="118">
        <v>0</v>
      </c>
      <c r="BB79" s="118">
        <v>0.01</v>
      </c>
      <c r="BC79" s="118">
        <v>0.1</v>
      </c>
      <c r="BD79" s="118">
        <v>0</v>
      </c>
      <c r="BE79" s="118">
        <v>0</v>
      </c>
      <c r="BF79" s="118">
        <v>0</v>
      </c>
      <c r="BG79" s="118">
        <v>0.3</v>
      </c>
      <c r="BH79" s="12">
        <v>0</v>
      </c>
      <c r="BI79" s="12">
        <v>0</v>
      </c>
      <c r="BJ79" s="12">
        <v>0</v>
      </c>
      <c r="BK79" s="12">
        <v>0</v>
      </c>
      <c r="BL79" s="12">
        <v>0</v>
      </c>
      <c r="BM79" s="12">
        <v>0</v>
      </c>
      <c r="BN79" s="12">
        <v>0</v>
      </c>
      <c r="BO79" s="12" t="s">
        <v>1562</v>
      </c>
    </row>
    <row r="80" spans="1:67" x14ac:dyDescent="0.3">
      <c r="A80" s="12">
        <v>75</v>
      </c>
      <c r="B80" s="12" t="s">
        <v>475</v>
      </c>
      <c r="C80" s="118">
        <v>39</v>
      </c>
      <c r="D80" s="118">
        <v>0.55000000000000004</v>
      </c>
      <c r="E80" s="118">
        <v>35</v>
      </c>
      <c r="F80" s="118">
        <v>8</v>
      </c>
      <c r="G80" s="118">
        <v>3</v>
      </c>
      <c r="H80" s="118">
        <v>0.5</v>
      </c>
      <c r="I80" s="118">
        <v>15.01</v>
      </c>
      <c r="J80" s="118">
        <v>50.95</v>
      </c>
      <c r="K80" s="118">
        <v>0.5</v>
      </c>
      <c r="L80" s="118">
        <v>0.5</v>
      </c>
      <c r="M80" s="141">
        <v>3</v>
      </c>
      <c r="N80" s="118">
        <v>7.0000000000000001E-3</v>
      </c>
      <c r="O80" s="118">
        <v>0.85</v>
      </c>
      <c r="P80" s="118">
        <v>20</v>
      </c>
      <c r="Q80" s="118">
        <v>2.5</v>
      </c>
      <c r="R80" s="118">
        <v>2</v>
      </c>
      <c r="S80" s="119">
        <v>660.45</v>
      </c>
      <c r="T80" s="119">
        <v>2.1399999999999999E-2</v>
      </c>
      <c r="U80" s="119">
        <v>3.7000000000000002E-3</v>
      </c>
      <c r="V80" s="119">
        <v>1.12E-2</v>
      </c>
      <c r="W80" s="119">
        <v>0.28000000000000003</v>
      </c>
      <c r="X80" s="119">
        <v>0.6</v>
      </c>
      <c r="Y80" s="119">
        <v>9.1199999999999992</v>
      </c>
      <c r="Z80" s="119">
        <v>100</v>
      </c>
      <c r="AA80" s="119">
        <v>5</v>
      </c>
      <c r="AB80" s="119">
        <v>0.76</v>
      </c>
      <c r="AC80" s="119">
        <v>4.7E-2</v>
      </c>
      <c r="AD80" s="119">
        <v>1.77E-2</v>
      </c>
      <c r="AE80" s="119">
        <v>1.38E-2</v>
      </c>
      <c r="AF80" s="119">
        <v>4.7999999999999996E-3</v>
      </c>
      <c r="AG80" s="119">
        <v>1.8E-3</v>
      </c>
      <c r="AH80" s="119">
        <v>1.4E-3</v>
      </c>
      <c r="AI80" s="119">
        <v>1.6E-2</v>
      </c>
      <c r="AJ80" s="119">
        <v>1.2999999999999999E-2</v>
      </c>
      <c r="AK80" s="119">
        <v>1.0999999999999999E-2</v>
      </c>
      <c r="AL80" s="119">
        <v>0.433</v>
      </c>
      <c r="AM80" s="119">
        <v>0.433</v>
      </c>
      <c r="AN80" s="119">
        <v>0.21299999999999999</v>
      </c>
      <c r="AO80" s="12">
        <v>4</v>
      </c>
      <c r="AP80" s="118">
        <v>5.15</v>
      </c>
      <c r="AQ80" s="118">
        <v>15.95</v>
      </c>
      <c r="AR80" s="118">
        <v>8</v>
      </c>
      <c r="AS80" s="118">
        <v>0.5</v>
      </c>
      <c r="AT80" s="118">
        <v>4.75</v>
      </c>
      <c r="AU80" s="118">
        <v>0.4</v>
      </c>
      <c r="AV80" s="118">
        <v>0.2</v>
      </c>
      <c r="AW80" s="118">
        <v>100</v>
      </c>
      <c r="AX80" s="118">
        <v>4.47</v>
      </c>
      <c r="AY80" s="118">
        <v>7.77</v>
      </c>
      <c r="AZ80" s="118">
        <v>0.12</v>
      </c>
      <c r="BA80" s="118">
        <v>1.7</v>
      </c>
      <c r="BB80" s="118">
        <v>0.01</v>
      </c>
      <c r="BC80" s="118">
        <v>0.1</v>
      </c>
      <c r="BD80" s="118">
        <v>0</v>
      </c>
      <c r="BE80" s="118">
        <v>0</v>
      </c>
      <c r="BF80" s="118">
        <v>0</v>
      </c>
      <c r="BG80" s="118">
        <v>0.3</v>
      </c>
      <c r="BH80" s="12">
        <v>0</v>
      </c>
      <c r="BI80" s="12">
        <v>0</v>
      </c>
      <c r="BJ80" s="12">
        <v>0</v>
      </c>
      <c r="BK80" s="12">
        <v>0</v>
      </c>
      <c r="BL80" s="12">
        <v>0</v>
      </c>
      <c r="BM80" s="12">
        <v>0</v>
      </c>
      <c r="BN80" s="12">
        <v>0</v>
      </c>
      <c r="BO80" s="12" t="s">
        <v>1563</v>
      </c>
    </row>
    <row r="81" spans="1:67" x14ac:dyDescent="0.3">
      <c r="A81" s="12">
        <v>76</v>
      </c>
      <c r="B81" s="12" t="s">
        <v>476</v>
      </c>
      <c r="C81" s="118">
        <v>39</v>
      </c>
      <c r="D81" s="118">
        <v>0.55000000000000004</v>
      </c>
      <c r="E81" s="118">
        <v>25</v>
      </c>
      <c r="F81" s="118">
        <v>8</v>
      </c>
      <c r="G81" s="118">
        <v>8</v>
      </c>
      <c r="H81" s="118">
        <v>0.7</v>
      </c>
      <c r="I81" s="118">
        <v>15.05</v>
      </c>
      <c r="J81" s="118">
        <v>50.95</v>
      </c>
      <c r="K81" s="118">
        <v>1</v>
      </c>
      <c r="L81" s="118">
        <v>1</v>
      </c>
      <c r="M81" s="141">
        <v>3</v>
      </c>
      <c r="N81" s="118">
        <v>7.0000000000000001E-3</v>
      </c>
      <c r="O81" s="118">
        <v>0.85</v>
      </c>
      <c r="P81" s="118">
        <v>20</v>
      </c>
      <c r="Q81" s="118">
        <v>2.5</v>
      </c>
      <c r="R81" s="118">
        <v>2</v>
      </c>
      <c r="S81" s="119">
        <v>660.53</v>
      </c>
      <c r="T81" s="119">
        <v>1.4E-2</v>
      </c>
      <c r="U81" s="119">
        <v>2E-3</v>
      </c>
      <c r="V81" s="119">
        <v>0</v>
      </c>
      <c r="W81" s="119">
        <v>0.54</v>
      </c>
      <c r="X81" s="119">
        <v>0.6</v>
      </c>
      <c r="Y81" s="119">
        <v>5.62</v>
      </c>
      <c r="Z81" s="119">
        <v>4123.3500000000004</v>
      </c>
      <c r="AA81" s="119">
        <v>5</v>
      </c>
      <c r="AB81" s="119">
        <v>0.15</v>
      </c>
      <c r="AC81" s="119">
        <v>4.7E-2</v>
      </c>
      <c r="AD81" s="119">
        <v>1.77E-2</v>
      </c>
      <c r="AE81" s="119">
        <v>1.38E-2</v>
      </c>
      <c r="AF81" s="119">
        <v>4.7999999999999996E-3</v>
      </c>
      <c r="AG81" s="119">
        <v>1.8E-3</v>
      </c>
      <c r="AH81" s="119">
        <v>1.4E-3</v>
      </c>
      <c r="AI81" s="119">
        <v>0.02</v>
      </c>
      <c r="AJ81" s="119">
        <v>0.02</v>
      </c>
      <c r="AK81" s="119">
        <v>0.02</v>
      </c>
      <c r="AL81" s="119">
        <v>0.433</v>
      </c>
      <c r="AM81" s="119">
        <v>0.433</v>
      </c>
      <c r="AN81" s="119">
        <v>0.21299999999999999</v>
      </c>
      <c r="AO81" s="12">
        <v>4</v>
      </c>
      <c r="AP81" s="118">
        <v>5.15</v>
      </c>
      <c r="AQ81" s="118">
        <v>15.95</v>
      </c>
      <c r="AR81" s="118">
        <v>8</v>
      </c>
      <c r="AS81" s="118">
        <v>0.5</v>
      </c>
      <c r="AT81" s="118">
        <v>4.75</v>
      </c>
      <c r="AU81" s="118">
        <v>0.4</v>
      </c>
      <c r="AV81" s="118">
        <v>0.2</v>
      </c>
      <c r="AW81" s="118">
        <v>100</v>
      </c>
      <c r="AX81" s="118">
        <v>4.47</v>
      </c>
      <c r="AY81" s="118">
        <v>7.77</v>
      </c>
      <c r="AZ81" s="118">
        <v>0.12</v>
      </c>
      <c r="BA81" s="118">
        <v>1.7</v>
      </c>
      <c r="BB81" s="118">
        <v>0.01</v>
      </c>
      <c r="BC81" s="118">
        <v>0.1</v>
      </c>
      <c r="BD81" s="118">
        <v>0</v>
      </c>
      <c r="BE81" s="118">
        <v>0</v>
      </c>
      <c r="BF81" s="118">
        <v>0</v>
      </c>
      <c r="BG81" s="118">
        <v>0.3</v>
      </c>
      <c r="BH81" s="12">
        <v>0</v>
      </c>
      <c r="BI81" s="12">
        <v>0</v>
      </c>
      <c r="BJ81" s="12">
        <v>0</v>
      </c>
      <c r="BK81" s="12">
        <v>0</v>
      </c>
      <c r="BL81" s="12">
        <v>0</v>
      </c>
      <c r="BM81" s="12">
        <v>0</v>
      </c>
      <c r="BN81" s="12">
        <v>0</v>
      </c>
      <c r="BO81" s="12" t="s">
        <v>1564</v>
      </c>
    </row>
    <row r="82" spans="1:67" x14ac:dyDescent="0.3">
      <c r="A82" s="12">
        <v>77</v>
      </c>
      <c r="B82" s="12" t="s">
        <v>477</v>
      </c>
      <c r="C82" s="118">
        <v>25</v>
      </c>
      <c r="D82" s="118">
        <v>0.5</v>
      </c>
      <c r="E82" s="118">
        <v>25</v>
      </c>
      <c r="F82" s="118">
        <v>11</v>
      </c>
      <c r="G82" s="118">
        <v>6</v>
      </c>
      <c r="H82" s="118">
        <v>0.75</v>
      </c>
      <c r="I82" s="118">
        <v>15.01</v>
      </c>
      <c r="J82" s="118">
        <v>50.95</v>
      </c>
      <c r="K82" s="118">
        <v>0.5</v>
      </c>
      <c r="L82" s="118">
        <v>0.1</v>
      </c>
      <c r="M82" s="141">
        <v>3</v>
      </c>
      <c r="N82" s="118">
        <v>7.4000000000000003E-3</v>
      </c>
      <c r="O82" s="118">
        <v>0.85</v>
      </c>
      <c r="P82" s="118">
        <v>500</v>
      </c>
      <c r="Q82" s="118">
        <v>3</v>
      </c>
      <c r="R82" s="118">
        <v>2</v>
      </c>
      <c r="S82" s="119">
        <v>660.29</v>
      </c>
      <c r="T82" s="119">
        <v>6.8999999999999999E-3</v>
      </c>
      <c r="U82" s="119">
        <v>1.6999999999999999E-3</v>
      </c>
      <c r="V82" s="119">
        <v>1.5900000000000001E-2</v>
      </c>
      <c r="W82" s="119">
        <v>0.5</v>
      </c>
      <c r="X82" s="119">
        <v>0.6</v>
      </c>
      <c r="Y82" s="119">
        <v>0.22</v>
      </c>
      <c r="Z82" s="119">
        <v>400</v>
      </c>
      <c r="AA82" s="119">
        <v>5</v>
      </c>
      <c r="AB82" s="119">
        <v>0.77</v>
      </c>
      <c r="AC82" s="119">
        <v>0.01</v>
      </c>
      <c r="AD82" s="119">
        <v>4.0000000000000001E-3</v>
      </c>
      <c r="AE82" s="119">
        <v>2.5000000000000001E-3</v>
      </c>
      <c r="AF82" s="119">
        <v>7.4999999999999997E-3</v>
      </c>
      <c r="AG82" s="119">
        <v>3.0000000000000001E-3</v>
      </c>
      <c r="AH82" s="119">
        <v>1.9E-3</v>
      </c>
      <c r="AI82" s="119">
        <v>2.5000000000000001E-2</v>
      </c>
      <c r="AJ82" s="119">
        <v>2.1000000000000001E-2</v>
      </c>
      <c r="AK82" s="119">
        <v>1.4999999999999999E-2</v>
      </c>
      <c r="AL82" s="119">
        <v>3.39</v>
      </c>
      <c r="AM82" s="119">
        <v>3.39</v>
      </c>
      <c r="AN82" s="119">
        <v>3.39</v>
      </c>
      <c r="AO82" s="12">
        <v>6</v>
      </c>
      <c r="AP82" s="118">
        <v>5.15</v>
      </c>
      <c r="AQ82" s="118">
        <v>15.95</v>
      </c>
      <c r="AR82" s="118">
        <v>8</v>
      </c>
      <c r="AS82" s="118">
        <v>0.5</v>
      </c>
      <c r="AT82" s="118">
        <v>4.8</v>
      </c>
      <c r="AU82" s="118">
        <v>0.4</v>
      </c>
      <c r="AV82" s="118">
        <v>0.2</v>
      </c>
      <c r="AW82" s="118">
        <v>100</v>
      </c>
      <c r="AX82" s="118">
        <v>5.5</v>
      </c>
      <c r="AY82" s="118">
        <v>10.9</v>
      </c>
      <c r="AZ82" s="118">
        <v>0.06</v>
      </c>
      <c r="BA82" s="118">
        <v>1.7</v>
      </c>
      <c r="BB82" s="118">
        <v>0.01</v>
      </c>
      <c r="BC82" s="118">
        <v>0.1</v>
      </c>
      <c r="BD82" s="118">
        <v>0</v>
      </c>
      <c r="BE82" s="118">
        <v>0</v>
      </c>
      <c r="BF82" s="118">
        <v>0</v>
      </c>
      <c r="BG82" s="118">
        <v>0.3</v>
      </c>
      <c r="BH82" s="12">
        <v>0</v>
      </c>
      <c r="BI82" s="12">
        <v>0</v>
      </c>
      <c r="BJ82" s="12">
        <v>0</v>
      </c>
      <c r="BK82" s="12">
        <v>0</v>
      </c>
      <c r="BL82" s="12">
        <v>0</v>
      </c>
      <c r="BM82" s="12">
        <v>0</v>
      </c>
      <c r="BN82" s="12">
        <v>0</v>
      </c>
      <c r="BO82" s="12" t="s">
        <v>1565</v>
      </c>
    </row>
    <row r="83" spans="1:67" x14ac:dyDescent="0.3">
      <c r="A83" s="12">
        <v>78</v>
      </c>
      <c r="B83" s="12" t="s">
        <v>478</v>
      </c>
      <c r="C83" s="118">
        <v>30</v>
      </c>
      <c r="D83" s="118">
        <v>0.02</v>
      </c>
      <c r="E83" s="118">
        <v>15</v>
      </c>
      <c r="F83" s="118">
        <v>0</v>
      </c>
      <c r="G83" s="118">
        <v>5</v>
      </c>
      <c r="H83" s="118">
        <v>0.8</v>
      </c>
      <c r="I83" s="118">
        <v>15.01</v>
      </c>
      <c r="J83" s="118">
        <v>50.95</v>
      </c>
      <c r="K83" s="118">
        <v>1</v>
      </c>
      <c r="L83" s="118">
        <v>1</v>
      </c>
      <c r="M83" s="141">
        <v>2</v>
      </c>
      <c r="N83" s="118">
        <v>7.0000000000000001E-3</v>
      </c>
      <c r="O83" s="118">
        <v>0.85</v>
      </c>
      <c r="P83" s="118">
        <v>90</v>
      </c>
      <c r="Q83" s="118">
        <v>1.2</v>
      </c>
      <c r="R83" s="118">
        <v>2</v>
      </c>
      <c r="S83" s="119">
        <v>660.41</v>
      </c>
      <c r="T83" s="119">
        <v>1.4999999999999999E-2</v>
      </c>
      <c r="U83" s="119">
        <v>2E-3</v>
      </c>
      <c r="V83" s="119">
        <v>1.6E-2</v>
      </c>
      <c r="W83" s="119">
        <v>0.01</v>
      </c>
      <c r="X83" s="119">
        <v>0.6</v>
      </c>
      <c r="Y83" s="119">
        <v>2.0099999999999998</v>
      </c>
      <c r="Z83" s="119">
        <v>120</v>
      </c>
      <c r="AA83" s="119">
        <v>5</v>
      </c>
      <c r="AB83" s="119">
        <v>0.1</v>
      </c>
      <c r="AC83" s="119">
        <v>0.04</v>
      </c>
      <c r="AD83" s="119">
        <v>2.1000000000000001E-2</v>
      </c>
      <c r="AE83" s="119">
        <v>1.2E-2</v>
      </c>
      <c r="AF83" s="119">
        <v>9.9000000000000008E-3</v>
      </c>
      <c r="AG83" s="119">
        <v>3.8999999999999998E-3</v>
      </c>
      <c r="AH83" s="119">
        <v>2.2000000000000001E-3</v>
      </c>
      <c r="AI83" s="119">
        <v>2.3E-2</v>
      </c>
      <c r="AJ83" s="119">
        <v>1.9E-2</v>
      </c>
      <c r="AK83" s="119">
        <v>1.6E-2</v>
      </c>
      <c r="AL83" s="119">
        <v>3.39</v>
      </c>
      <c r="AM83" s="119">
        <v>3.39</v>
      </c>
      <c r="AN83" s="119">
        <v>3.39</v>
      </c>
      <c r="AO83" s="12">
        <v>6</v>
      </c>
      <c r="AP83" s="118">
        <v>5.01</v>
      </c>
      <c r="AQ83" s="118">
        <v>15.1</v>
      </c>
      <c r="AR83" s="118">
        <v>8</v>
      </c>
      <c r="AS83" s="118">
        <v>0.5</v>
      </c>
      <c r="AT83" s="118">
        <v>4.75</v>
      </c>
      <c r="AU83" s="118">
        <v>0.4</v>
      </c>
      <c r="AV83" s="118">
        <v>0.2</v>
      </c>
      <c r="AW83" s="118">
        <v>100</v>
      </c>
      <c r="AX83" s="118">
        <v>22.5</v>
      </c>
      <c r="AY83" s="118">
        <v>40.71</v>
      </c>
      <c r="AZ83" s="118">
        <v>0.05</v>
      </c>
      <c r="BA83" s="118">
        <v>3.9</v>
      </c>
      <c r="BB83" s="118">
        <v>0.01</v>
      </c>
      <c r="BC83" s="118">
        <v>0.1</v>
      </c>
      <c r="BD83" s="118">
        <v>0</v>
      </c>
      <c r="BE83" s="118">
        <v>0</v>
      </c>
      <c r="BF83" s="118">
        <v>0</v>
      </c>
      <c r="BG83" s="118">
        <v>0.3</v>
      </c>
      <c r="BH83" s="12">
        <v>1</v>
      </c>
      <c r="BI83" s="12">
        <v>0</v>
      </c>
      <c r="BJ83" s="12">
        <v>0</v>
      </c>
      <c r="BK83" s="12">
        <v>0</v>
      </c>
      <c r="BL83" s="12">
        <v>0</v>
      </c>
      <c r="BM83" s="12">
        <v>0</v>
      </c>
      <c r="BN83" s="12">
        <v>0</v>
      </c>
      <c r="BO83" s="12" t="s">
        <v>1566</v>
      </c>
    </row>
    <row r="84" spans="1:67" x14ac:dyDescent="0.3">
      <c r="A84" s="12">
        <v>79</v>
      </c>
      <c r="B84" s="12" t="s">
        <v>479</v>
      </c>
      <c r="C84" s="118">
        <v>35</v>
      </c>
      <c r="D84" s="118">
        <v>0.25</v>
      </c>
      <c r="E84" s="118">
        <v>30</v>
      </c>
      <c r="F84" s="118">
        <v>10</v>
      </c>
      <c r="G84" s="118">
        <v>2.5</v>
      </c>
      <c r="H84" s="118">
        <v>0.85</v>
      </c>
      <c r="I84" s="118">
        <v>15.01</v>
      </c>
      <c r="J84" s="118">
        <v>50.95</v>
      </c>
      <c r="K84" s="118">
        <v>1</v>
      </c>
      <c r="L84" s="118">
        <v>1</v>
      </c>
      <c r="M84" s="141">
        <v>4</v>
      </c>
      <c r="N84" s="118">
        <v>1.2E-2</v>
      </c>
      <c r="O84" s="118">
        <v>0.85</v>
      </c>
      <c r="P84" s="118">
        <v>5</v>
      </c>
      <c r="Q84" s="118">
        <v>2.5</v>
      </c>
      <c r="R84" s="118">
        <v>2</v>
      </c>
      <c r="S84" s="119">
        <v>660.4</v>
      </c>
      <c r="T84" s="119">
        <v>1.89E-2</v>
      </c>
      <c r="U84" s="119">
        <v>4.8999999999999998E-3</v>
      </c>
      <c r="V84" s="119">
        <v>3.7000000000000002E-3</v>
      </c>
      <c r="W84" s="119">
        <v>0.13</v>
      </c>
      <c r="X84" s="119">
        <v>0.6</v>
      </c>
      <c r="Y84" s="119">
        <v>0.45</v>
      </c>
      <c r="Z84" s="119">
        <v>178.24</v>
      </c>
      <c r="AA84" s="119">
        <v>5</v>
      </c>
      <c r="AB84" s="119">
        <v>0.1</v>
      </c>
      <c r="AC84" s="119">
        <v>4.3999999999999997E-2</v>
      </c>
      <c r="AD84" s="119">
        <v>0.02</v>
      </c>
      <c r="AE84" s="119">
        <v>0.01</v>
      </c>
      <c r="AF84" s="119">
        <v>6.0000000000000001E-3</v>
      </c>
      <c r="AG84" s="119">
        <v>2.2000000000000001E-3</v>
      </c>
      <c r="AH84" s="119">
        <v>1.1999999999999999E-3</v>
      </c>
      <c r="AI84" s="119">
        <v>2.8000000000000001E-2</v>
      </c>
      <c r="AJ84" s="119">
        <v>2.3E-2</v>
      </c>
      <c r="AK84" s="119">
        <v>0.02</v>
      </c>
      <c r="AL84" s="119">
        <v>0.65700000000000003</v>
      </c>
      <c r="AM84" s="119">
        <v>0.65700000000000003</v>
      </c>
      <c r="AN84" s="119">
        <v>0.32</v>
      </c>
      <c r="AO84" s="12">
        <v>4</v>
      </c>
      <c r="AP84" s="118">
        <v>5.15</v>
      </c>
      <c r="AQ84" s="118">
        <v>15.95</v>
      </c>
      <c r="AR84" s="118">
        <v>8</v>
      </c>
      <c r="AS84" s="118">
        <v>0.5</v>
      </c>
      <c r="AT84" s="118">
        <v>4.75</v>
      </c>
      <c r="AU84" s="118">
        <v>0.4</v>
      </c>
      <c r="AV84" s="118">
        <v>0.2</v>
      </c>
      <c r="AW84" s="118">
        <v>100</v>
      </c>
      <c r="AX84" s="118">
        <v>5.43</v>
      </c>
      <c r="AY84" s="118">
        <v>15.79</v>
      </c>
      <c r="AZ84" s="118">
        <v>0.12</v>
      </c>
      <c r="BA84" s="118">
        <v>1.7</v>
      </c>
      <c r="BB84" s="118">
        <v>0.01</v>
      </c>
      <c r="BC84" s="118">
        <v>0.1</v>
      </c>
      <c r="BD84" s="118">
        <v>0</v>
      </c>
      <c r="BE84" s="118">
        <v>0</v>
      </c>
      <c r="BF84" s="118">
        <v>0</v>
      </c>
      <c r="BG84" s="118">
        <v>0.3</v>
      </c>
      <c r="BH84" s="12">
        <v>1</v>
      </c>
      <c r="BI84" s="12">
        <v>0</v>
      </c>
      <c r="BJ84" s="12">
        <v>0</v>
      </c>
      <c r="BK84" s="12">
        <v>0</v>
      </c>
      <c r="BL84" s="12">
        <v>0</v>
      </c>
      <c r="BM84" s="12">
        <v>0</v>
      </c>
      <c r="BN84" s="12">
        <v>0</v>
      </c>
      <c r="BO84" s="12" t="s">
        <v>1567</v>
      </c>
    </row>
    <row r="85" spans="1:67" x14ac:dyDescent="0.3">
      <c r="A85" s="12">
        <v>80</v>
      </c>
      <c r="B85" s="12" t="s">
        <v>480</v>
      </c>
      <c r="C85" s="118">
        <v>16</v>
      </c>
      <c r="D85" s="118">
        <v>0.05</v>
      </c>
      <c r="E85" s="118">
        <v>20</v>
      </c>
      <c r="F85" s="118">
        <v>2</v>
      </c>
      <c r="G85" s="118">
        <v>5</v>
      </c>
      <c r="H85" s="118">
        <v>0.15</v>
      </c>
      <c r="I85" s="118">
        <v>10.5</v>
      </c>
      <c r="J85" s="118">
        <v>25.99</v>
      </c>
      <c r="K85" s="118">
        <v>0.5</v>
      </c>
      <c r="L85" s="118">
        <v>1</v>
      </c>
      <c r="M85" s="141">
        <v>1</v>
      </c>
      <c r="N85" s="118">
        <v>7.0000000000000001E-3</v>
      </c>
      <c r="O85" s="118">
        <v>0.85</v>
      </c>
      <c r="P85" s="118">
        <v>80</v>
      </c>
      <c r="Q85" s="118">
        <v>20</v>
      </c>
      <c r="R85" s="118">
        <v>2</v>
      </c>
      <c r="S85" s="119">
        <v>660.22</v>
      </c>
      <c r="T85" s="119">
        <v>1.5E-3</v>
      </c>
      <c r="U85" s="119">
        <v>2.9999999999999997E-4</v>
      </c>
      <c r="V85" s="119">
        <v>2E-3</v>
      </c>
      <c r="W85" s="119">
        <v>0.05</v>
      </c>
      <c r="X85" s="119">
        <v>0.6</v>
      </c>
      <c r="Y85" s="119">
        <v>6.72</v>
      </c>
      <c r="Z85" s="119">
        <v>1000</v>
      </c>
      <c r="AA85" s="119">
        <v>5</v>
      </c>
      <c r="AB85" s="119">
        <v>0.01</v>
      </c>
      <c r="AC85" s="119">
        <v>6.0000000000000001E-3</v>
      </c>
      <c r="AD85" s="119">
        <v>2E-3</v>
      </c>
      <c r="AE85" s="119">
        <v>1.5E-3</v>
      </c>
      <c r="AF85" s="119">
        <v>6.9999999999999999E-4</v>
      </c>
      <c r="AG85" s="119">
        <v>4.0000000000000002E-4</v>
      </c>
      <c r="AH85" s="119">
        <v>2.9999999999999997E-4</v>
      </c>
      <c r="AI85" s="119">
        <v>6.0000000000000001E-3</v>
      </c>
      <c r="AJ85" s="119">
        <v>3.0000000000000001E-3</v>
      </c>
      <c r="AK85" s="119">
        <v>2E-3</v>
      </c>
      <c r="AL85" s="119">
        <v>3.39</v>
      </c>
      <c r="AM85" s="119">
        <v>3.39</v>
      </c>
      <c r="AN85" s="119">
        <v>3.39</v>
      </c>
      <c r="AO85" s="12">
        <v>7</v>
      </c>
      <c r="AP85" s="118">
        <v>5.01</v>
      </c>
      <c r="AQ85" s="118">
        <v>15.03</v>
      </c>
      <c r="AR85" s="118">
        <v>3</v>
      </c>
      <c r="AS85" s="118">
        <v>0.5</v>
      </c>
      <c r="AT85" s="118">
        <v>4.75</v>
      </c>
      <c r="AU85" s="118">
        <v>0.4</v>
      </c>
      <c r="AV85" s="118">
        <v>0.2</v>
      </c>
      <c r="AW85" s="118">
        <v>100</v>
      </c>
      <c r="AX85" s="118">
        <v>1000.95</v>
      </c>
      <c r="AY85" s="118">
        <v>100.1</v>
      </c>
      <c r="AZ85" s="118">
        <v>0.05</v>
      </c>
      <c r="BA85" s="118">
        <v>1</v>
      </c>
      <c r="BB85" s="118">
        <v>0.01</v>
      </c>
      <c r="BC85" s="118">
        <v>0.1</v>
      </c>
      <c r="BD85" s="118">
        <v>0</v>
      </c>
      <c r="BE85" s="118">
        <v>0</v>
      </c>
      <c r="BF85" s="118">
        <v>0</v>
      </c>
      <c r="BG85" s="118">
        <v>0.3</v>
      </c>
      <c r="BH85" s="12">
        <v>0</v>
      </c>
      <c r="BI85" s="12">
        <v>0</v>
      </c>
      <c r="BJ85" s="12">
        <v>0</v>
      </c>
      <c r="BK85" s="12">
        <v>0</v>
      </c>
      <c r="BL85" s="12">
        <v>0</v>
      </c>
      <c r="BM85" s="12">
        <v>0</v>
      </c>
      <c r="BN85" s="12">
        <v>0</v>
      </c>
      <c r="BO85" s="12" t="s">
        <v>1568</v>
      </c>
    </row>
    <row r="86" spans="1:67" x14ac:dyDescent="0.3">
      <c r="A86" s="12">
        <v>81</v>
      </c>
      <c r="B86" s="12" t="s">
        <v>481</v>
      </c>
      <c r="C86" s="118">
        <v>15</v>
      </c>
      <c r="D86" s="118">
        <v>0.05</v>
      </c>
      <c r="E86" s="118">
        <v>30</v>
      </c>
      <c r="F86" s="118">
        <v>10</v>
      </c>
      <c r="G86" s="118">
        <v>4</v>
      </c>
      <c r="H86" s="118">
        <v>0.99</v>
      </c>
      <c r="I86" s="118">
        <v>5.05</v>
      </c>
      <c r="J86" s="118">
        <v>50.8</v>
      </c>
      <c r="K86" s="118">
        <v>1</v>
      </c>
      <c r="L86" s="118">
        <v>1</v>
      </c>
      <c r="M86" s="141">
        <v>5</v>
      </c>
      <c r="N86" s="118">
        <v>7.0000000000000001E-3</v>
      </c>
      <c r="O86" s="118">
        <v>0.85</v>
      </c>
      <c r="P86" s="118">
        <v>80</v>
      </c>
      <c r="Q86" s="118">
        <v>6</v>
      </c>
      <c r="R86" s="118">
        <v>3.5</v>
      </c>
      <c r="S86" s="119">
        <v>660.14</v>
      </c>
      <c r="T86" s="119">
        <v>1.5E-3</v>
      </c>
      <c r="U86" s="119">
        <v>2.9999999999999997E-4</v>
      </c>
      <c r="V86" s="119">
        <v>2E-3</v>
      </c>
      <c r="W86" s="119">
        <v>0.05</v>
      </c>
      <c r="X86" s="119">
        <v>0.6</v>
      </c>
      <c r="Y86" s="119">
        <v>6.72</v>
      </c>
      <c r="Z86" s="119">
        <v>1000</v>
      </c>
      <c r="AA86" s="119">
        <v>5</v>
      </c>
      <c r="AB86" s="119">
        <v>0.01</v>
      </c>
      <c r="AC86" s="119">
        <v>0.02</v>
      </c>
      <c r="AD86" s="119">
        <v>0.01</v>
      </c>
      <c r="AE86" s="119">
        <v>8.0000000000000002E-3</v>
      </c>
      <c r="AF86" s="119">
        <v>6.9999999999999999E-4</v>
      </c>
      <c r="AG86" s="119">
        <v>4.0000000000000002E-4</v>
      </c>
      <c r="AH86" s="119">
        <v>2.9999999999999997E-4</v>
      </c>
      <c r="AI86" s="119">
        <v>6.0000000000000001E-3</v>
      </c>
      <c r="AJ86" s="119">
        <v>3.0000000000000001E-3</v>
      </c>
      <c r="AK86" s="119">
        <v>2E-3</v>
      </c>
      <c r="AL86" s="119">
        <v>3.39</v>
      </c>
      <c r="AM86" s="119">
        <v>3.39</v>
      </c>
      <c r="AN86" s="119">
        <v>3.39</v>
      </c>
      <c r="AO86" s="12">
        <v>10</v>
      </c>
      <c r="AP86" s="118">
        <v>5.0999999999999996</v>
      </c>
      <c r="AQ86" s="118">
        <v>15.5</v>
      </c>
      <c r="AR86" s="118">
        <v>8</v>
      </c>
      <c r="AS86" s="118">
        <v>1</v>
      </c>
      <c r="AT86" s="118">
        <v>4.75</v>
      </c>
      <c r="AU86" s="118">
        <v>0.4</v>
      </c>
      <c r="AV86" s="118">
        <v>0.2</v>
      </c>
      <c r="AW86" s="118">
        <v>100</v>
      </c>
      <c r="AX86" s="118">
        <v>500.9</v>
      </c>
      <c r="AY86" s="118">
        <v>20.100000000000001</v>
      </c>
      <c r="AZ86" s="118">
        <v>0.05</v>
      </c>
      <c r="BA86" s="118">
        <v>1</v>
      </c>
      <c r="BB86" s="118">
        <v>0.01</v>
      </c>
      <c r="BC86" s="118">
        <v>0.1</v>
      </c>
      <c r="BD86" s="118">
        <v>0</v>
      </c>
      <c r="BE86" s="118">
        <v>0.01</v>
      </c>
      <c r="BF86" s="118">
        <v>0</v>
      </c>
      <c r="BG86" s="118">
        <v>0.3</v>
      </c>
      <c r="BH86" s="12">
        <v>0</v>
      </c>
      <c r="BI86" s="12">
        <v>0</v>
      </c>
      <c r="BJ86" s="12">
        <v>0</v>
      </c>
      <c r="BK86" s="12">
        <v>0</v>
      </c>
      <c r="BL86" s="12">
        <v>0</v>
      </c>
      <c r="BM86" s="12">
        <v>0</v>
      </c>
      <c r="BN86" s="12">
        <v>0</v>
      </c>
      <c r="BO86" s="12" t="s">
        <v>1569</v>
      </c>
    </row>
    <row r="87" spans="1:67" x14ac:dyDescent="0.3">
      <c r="A87" s="12">
        <v>82</v>
      </c>
      <c r="B87" s="12" t="s">
        <v>482</v>
      </c>
      <c r="C87" s="118">
        <v>15</v>
      </c>
      <c r="D87" s="118">
        <v>0.1</v>
      </c>
      <c r="E87" s="118">
        <v>22</v>
      </c>
      <c r="F87" s="118">
        <v>6</v>
      </c>
      <c r="G87" s="118">
        <v>4</v>
      </c>
      <c r="H87" s="118">
        <v>0.99</v>
      </c>
      <c r="I87" s="118">
        <v>10.15</v>
      </c>
      <c r="J87" s="118">
        <v>50.75</v>
      </c>
      <c r="K87" s="118">
        <v>1</v>
      </c>
      <c r="L87" s="118">
        <v>1</v>
      </c>
      <c r="M87" s="141">
        <v>5</v>
      </c>
      <c r="N87" s="118">
        <v>7.0000000000000001E-3</v>
      </c>
      <c r="O87" s="118">
        <v>0.85</v>
      </c>
      <c r="P87" s="118">
        <v>80</v>
      </c>
      <c r="Q87" s="118">
        <v>3.5</v>
      </c>
      <c r="R87" s="118">
        <v>1</v>
      </c>
      <c r="S87" s="119">
        <v>660.2</v>
      </c>
      <c r="T87" s="119">
        <v>1.9E-3</v>
      </c>
      <c r="U87" s="119">
        <v>4.0000000000000002E-4</v>
      </c>
      <c r="V87" s="119">
        <v>7.1999999999999998E-3</v>
      </c>
      <c r="W87" s="119">
        <v>0.05</v>
      </c>
      <c r="X87" s="119">
        <v>0.6</v>
      </c>
      <c r="Y87" s="119">
        <v>6.72</v>
      </c>
      <c r="Z87" s="119">
        <v>1000</v>
      </c>
      <c r="AA87" s="119">
        <v>5</v>
      </c>
      <c r="AB87" s="119">
        <v>0.84</v>
      </c>
      <c r="AC87" s="119">
        <v>6.0000000000000001E-3</v>
      </c>
      <c r="AD87" s="119">
        <v>2E-3</v>
      </c>
      <c r="AE87" s="119">
        <v>1.5E-3</v>
      </c>
      <c r="AF87" s="119">
        <v>6.9999999999999999E-4</v>
      </c>
      <c r="AG87" s="119">
        <v>4.0000000000000002E-4</v>
      </c>
      <c r="AH87" s="119">
        <v>2.9999999999999997E-4</v>
      </c>
      <c r="AI87" s="119">
        <v>8.0000000000000002E-3</v>
      </c>
      <c r="AJ87" s="119">
        <v>8.0000000000000002E-3</v>
      </c>
      <c r="AK87" s="119">
        <v>8.0000000000000002E-3</v>
      </c>
      <c r="AL87" s="119">
        <v>3.39</v>
      </c>
      <c r="AM87" s="119">
        <v>3.39</v>
      </c>
      <c r="AN87" s="119">
        <v>3.39</v>
      </c>
      <c r="AO87" s="12">
        <v>8</v>
      </c>
      <c r="AP87" s="118">
        <v>5.01</v>
      </c>
      <c r="AQ87" s="118">
        <v>15.1</v>
      </c>
      <c r="AR87" s="118">
        <v>3</v>
      </c>
      <c r="AS87" s="118">
        <v>0.5</v>
      </c>
      <c r="AT87" s="118">
        <v>4.75</v>
      </c>
      <c r="AU87" s="118">
        <v>0.4</v>
      </c>
      <c r="AV87" s="118">
        <v>0.2</v>
      </c>
      <c r="AW87" s="118">
        <v>100</v>
      </c>
      <c r="AX87" s="118">
        <v>120.88</v>
      </c>
      <c r="AY87" s="118">
        <v>20.13</v>
      </c>
      <c r="AZ87" s="118">
        <v>0.05</v>
      </c>
      <c r="BA87" s="118">
        <v>1</v>
      </c>
      <c r="BB87" s="118">
        <v>0.01</v>
      </c>
      <c r="BC87" s="118">
        <v>0.1</v>
      </c>
      <c r="BD87" s="118">
        <v>0</v>
      </c>
      <c r="BE87" s="118">
        <v>0.01</v>
      </c>
      <c r="BF87" s="118">
        <v>0</v>
      </c>
      <c r="BG87" s="118">
        <v>0.3</v>
      </c>
      <c r="BH87" s="12">
        <v>0</v>
      </c>
      <c r="BI87" s="12">
        <v>0</v>
      </c>
      <c r="BJ87" s="12">
        <v>0</v>
      </c>
      <c r="BK87" s="12">
        <v>0</v>
      </c>
      <c r="BL87" s="12">
        <v>0</v>
      </c>
      <c r="BM87" s="12">
        <v>0</v>
      </c>
      <c r="BN87" s="12">
        <v>0</v>
      </c>
      <c r="BO87" s="12" t="s">
        <v>1570</v>
      </c>
    </row>
    <row r="88" spans="1:67" x14ac:dyDescent="0.3">
      <c r="A88" s="12">
        <v>83</v>
      </c>
      <c r="B88" s="12" t="s">
        <v>3799</v>
      </c>
      <c r="C88" s="118">
        <v>25</v>
      </c>
      <c r="D88" s="118">
        <v>0.6</v>
      </c>
      <c r="E88" s="118">
        <v>27.5</v>
      </c>
      <c r="F88" s="118">
        <v>12.5</v>
      </c>
      <c r="G88" s="118">
        <v>6</v>
      </c>
      <c r="H88" s="118">
        <v>0.95</v>
      </c>
      <c r="I88" s="118">
        <v>15.05</v>
      </c>
      <c r="J88" s="118">
        <v>50.95</v>
      </c>
      <c r="K88" s="118">
        <v>0.5</v>
      </c>
      <c r="L88" s="118">
        <v>0.5</v>
      </c>
      <c r="M88" s="141">
        <v>3</v>
      </c>
      <c r="N88" s="118">
        <v>0.02</v>
      </c>
      <c r="O88" s="118">
        <v>0.85</v>
      </c>
      <c r="P88" s="118">
        <v>25</v>
      </c>
      <c r="Q88" s="118">
        <v>1</v>
      </c>
      <c r="R88" s="118">
        <v>2.2000000000000002</v>
      </c>
      <c r="S88" s="119">
        <v>660.2</v>
      </c>
      <c r="T88" s="119">
        <v>1.4E-2</v>
      </c>
      <c r="U88" s="119">
        <v>2E-3</v>
      </c>
      <c r="V88" s="119">
        <v>1.4E-2</v>
      </c>
      <c r="W88" s="119">
        <v>0.3</v>
      </c>
      <c r="X88" s="119">
        <v>0.6</v>
      </c>
      <c r="Y88" s="119">
        <v>2.82</v>
      </c>
      <c r="Z88" s="119">
        <v>1212.75</v>
      </c>
      <c r="AA88" s="119">
        <v>116.87</v>
      </c>
      <c r="AB88" s="119">
        <v>0.01</v>
      </c>
      <c r="AC88" s="119">
        <v>5.8000000000000003E-2</v>
      </c>
      <c r="AD88" s="119">
        <v>1.9E-2</v>
      </c>
      <c r="AE88" s="119">
        <v>1.77E-2</v>
      </c>
      <c r="AF88" s="119">
        <v>8.0999999999999996E-3</v>
      </c>
      <c r="AG88" s="119">
        <v>2.7000000000000001E-3</v>
      </c>
      <c r="AH88" s="119">
        <v>2.5000000000000001E-3</v>
      </c>
      <c r="AI88" s="119">
        <v>0.03</v>
      </c>
      <c r="AJ88" s="119">
        <v>2.1999999999999999E-2</v>
      </c>
      <c r="AK88" s="119">
        <v>1.4999999999999999E-2</v>
      </c>
      <c r="AL88" s="119">
        <v>1.1379999999999999</v>
      </c>
      <c r="AM88" s="119">
        <v>0.60299999999999998</v>
      </c>
      <c r="AN88" s="119">
        <v>0.33200000000000002</v>
      </c>
      <c r="AO88" s="12">
        <v>9</v>
      </c>
      <c r="AP88" s="118">
        <v>5.15</v>
      </c>
      <c r="AQ88" s="118">
        <v>15.95</v>
      </c>
      <c r="AR88" s="118">
        <v>3</v>
      </c>
      <c r="AS88" s="118">
        <v>1</v>
      </c>
      <c r="AT88" s="118">
        <v>4.3</v>
      </c>
      <c r="AU88" s="118">
        <v>0.4</v>
      </c>
      <c r="AV88" s="118">
        <v>0.1</v>
      </c>
      <c r="AW88" s="118">
        <v>100</v>
      </c>
      <c r="AX88" s="118">
        <v>3.2</v>
      </c>
      <c r="AY88" s="118">
        <v>10.9</v>
      </c>
      <c r="AZ88" s="118">
        <v>0.05</v>
      </c>
      <c r="BA88" s="118">
        <v>7.7</v>
      </c>
      <c r="BB88" s="118">
        <v>0.01</v>
      </c>
      <c r="BC88" s="118">
        <v>0.1</v>
      </c>
      <c r="BD88" s="118">
        <v>0</v>
      </c>
      <c r="BE88" s="118">
        <v>0.27</v>
      </c>
      <c r="BF88" s="118">
        <v>0.38</v>
      </c>
      <c r="BG88" s="118">
        <v>0.3</v>
      </c>
      <c r="BH88" s="12">
        <v>0</v>
      </c>
      <c r="BI88" s="12">
        <v>0</v>
      </c>
      <c r="BJ88" s="12">
        <v>0</v>
      </c>
      <c r="BK88" s="12">
        <v>0</v>
      </c>
      <c r="BL88" s="12">
        <v>0</v>
      </c>
      <c r="BM88" s="12">
        <v>0</v>
      </c>
      <c r="BN88" s="12">
        <v>0</v>
      </c>
    </row>
    <row r="89" spans="1:67" x14ac:dyDescent="0.3">
      <c r="A89" s="12">
        <v>84</v>
      </c>
      <c r="B89" s="12" t="s">
        <v>3800</v>
      </c>
      <c r="C89" s="118">
        <v>25</v>
      </c>
      <c r="D89" s="118">
        <v>0.6</v>
      </c>
      <c r="E89" s="118">
        <v>27.5</v>
      </c>
      <c r="F89" s="118">
        <v>12.5</v>
      </c>
      <c r="G89" s="118">
        <v>6</v>
      </c>
      <c r="H89" s="118">
        <v>0.95</v>
      </c>
      <c r="I89" s="118">
        <v>15.05</v>
      </c>
      <c r="J89" s="118">
        <v>50.95</v>
      </c>
      <c r="K89" s="118">
        <v>0.5</v>
      </c>
      <c r="L89" s="118">
        <v>0.5</v>
      </c>
      <c r="M89" s="141">
        <v>3</v>
      </c>
      <c r="N89" s="118">
        <v>0.02</v>
      </c>
      <c r="O89" s="118">
        <v>0.85</v>
      </c>
      <c r="P89" s="118">
        <v>25</v>
      </c>
      <c r="Q89" s="118">
        <v>1</v>
      </c>
      <c r="R89" s="118">
        <v>2.2000000000000002</v>
      </c>
      <c r="S89" s="119">
        <v>660.2</v>
      </c>
      <c r="T89" s="119">
        <v>1.4E-2</v>
      </c>
      <c r="U89" s="119">
        <v>2E-3</v>
      </c>
      <c r="V89" s="119">
        <v>1.4E-2</v>
      </c>
      <c r="W89" s="119">
        <v>0.3</v>
      </c>
      <c r="X89" s="119">
        <v>0.6</v>
      </c>
      <c r="Y89" s="119">
        <v>2.82</v>
      </c>
      <c r="Z89" s="119">
        <v>1212.75</v>
      </c>
      <c r="AA89" s="119">
        <v>116.87</v>
      </c>
      <c r="AB89" s="119">
        <v>0.01</v>
      </c>
      <c r="AC89" s="119">
        <v>5.8000000000000003E-2</v>
      </c>
      <c r="AD89" s="119">
        <v>1.9E-2</v>
      </c>
      <c r="AE89" s="119">
        <v>1.77E-2</v>
      </c>
      <c r="AF89" s="119">
        <v>8.0999999999999996E-3</v>
      </c>
      <c r="AG89" s="119">
        <v>2.7000000000000001E-3</v>
      </c>
      <c r="AH89" s="119">
        <v>2.5000000000000001E-3</v>
      </c>
      <c r="AI89" s="119">
        <v>0.03</v>
      </c>
      <c r="AJ89" s="119">
        <v>2.1999999999999999E-2</v>
      </c>
      <c r="AK89" s="119">
        <v>1.4999999999999999E-2</v>
      </c>
      <c r="AL89" s="119">
        <v>1.1379999999999999</v>
      </c>
      <c r="AM89" s="119">
        <v>0.60299999999999998</v>
      </c>
      <c r="AN89" s="119">
        <v>0.33200000000000002</v>
      </c>
      <c r="AO89" s="12">
        <v>9</v>
      </c>
      <c r="AP89" s="118">
        <v>5.15</v>
      </c>
      <c r="AQ89" s="118">
        <v>15.95</v>
      </c>
      <c r="AR89" s="118">
        <v>3</v>
      </c>
      <c r="AS89" s="118">
        <v>1</v>
      </c>
      <c r="AT89" s="118">
        <v>4.3</v>
      </c>
      <c r="AU89" s="118">
        <v>0.4</v>
      </c>
      <c r="AV89" s="118">
        <v>0.1</v>
      </c>
      <c r="AW89" s="118">
        <v>100</v>
      </c>
      <c r="AX89" s="118">
        <v>3.2</v>
      </c>
      <c r="AY89" s="118">
        <v>10.9</v>
      </c>
      <c r="AZ89" s="118">
        <v>0.05</v>
      </c>
      <c r="BA89" s="118">
        <v>7.7</v>
      </c>
      <c r="BB89" s="118">
        <v>0.01</v>
      </c>
      <c r="BC89" s="118">
        <v>0.1</v>
      </c>
      <c r="BD89" s="118">
        <v>0</v>
      </c>
      <c r="BE89" s="118">
        <v>0.32</v>
      </c>
      <c r="BF89" s="118">
        <v>0.38</v>
      </c>
      <c r="BG89" s="118">
        <v>0.3</v>
      </c>
      <c r="BH89" s="12">
        <v>0</v>
      </c>
      <c r="BI89" s="12">
        <v>0</v>
      </c>
      <c r="BJ89" s="12">
        <v>0</v>
      </c>
      <c r="BK89" s="12">
        <v>0</v>
      </c>
      <c r="BL89" s="12">
        <v>0</v>
      </c>
      <c r="BM89" s="12">
        <v>0</v>
      </c>
      <c r="BN89" s="12">
        <v>0</v>
      </c>
    </row>
    <row r="90" spans="1:67" x14ac:dyDescent="0.3">
      <c r="A90" s="12">
        <v>85</v>
      </c>
      <c r="B90" s="12" t="s">
        <v>3801</v>
      </c>
      <c r="C90" s="118">
        <v>25</v>
      </c>
      <c r="D90" s="118">
        <v>0.6</v>
      </c>
      <c r="E90" s="118">
        <v>27.5</v>
      </c>
      <c r="F90" s="118">
        <v>12.5</v>
      </c>
      <c r="G90" s="118">
        <v>6</v>
      </c>
      <c r="H90" s="118">
        <v>0.95</v>
      </c>
      <c r="I90" s="118">
        <v>15.05</v>
      </c>
      <c r="J90" s="118">
        <v>50.95</v>
      </c>
      <c r="K90" s="118">
        <v>0.5</v>
      </c>
      <c r="L90" s="118">
        <v>0.5</v>
      </c>
      <c r="M90" s="141">
        <v>3</v>
      </c>
      <c r="N90" s="118">
        <v>0.02</v>
      </c>
      <c r="O90" s="118">
        <v>0.85</v>
      </c>
      <c r="P90" s="118">
        <v>25</v>
      </c>
      <c r="Q90" s="118">
        <v>1</v>
      </c>
      <c r="R90" s="118">
        <v>2.2000000000000002</v>
      </c>
      <c r="S90" s="119">
        <v>660.2</v>
      </c>
      <c r="T90" s="119">
        <v>1.4E-2</v>
      </c>
      <c r="U90" s="119">
        <v>2E-3</v>
      </c>
      <c r="V90" s="119">
        <v>1.4E-2</v>
      </c>
      <c r="W90" s="119">
        <v>0.3</v>
      </c>
      <c r="X90" s="119">
        <v>0.6</v>
      </c>
      <c r="Y90" s="119">
        <v>2.82</v>
      </c>
      <c r="Z90" s="119">
        <v>1212.75</v>
      </c>
      <c r="AA90" s="119">
        <v>116.87</v>
      </c>
      <c r="AB90" s="119">
        <v>0.01</v>
      </c>
      <c r="AC90" s="119">
        <v>5.8000000000000003E-2</v>
      </c>
      <c r="AD90" s="119">
        <v>1.9E-2</v>
      </c>
      <c r="AE90" s="119">
        <v>1.77E-2</v>
      </c>
      <c r="AF90" s="119">
        <v>8.0999999999999996E-3</v>
      </c>
      <c r="AG90" s="119">
        <v>2.7000000000000001E-3</v>
      </c>
      <c r="AH90" s="119">
        <v>2.5000000000000001E-3</v>
      </c>
      <c r="AI90" s="119">
        <v>0.03</v>
      </c>
      <c r="AJ90" s="119">
        <v>2.1999999999999999E-2</v>
      </c>
      <c r="AK90" s="119">
        <v>1.4999999999999999E-2</v>
      </c>
      <c r="AL90" s="119">
        <v>1.1379999999999999</v>
      </c>
      <c r="AM90" s="119">
        <v>0.60299999999999998</v>
      </c>
      <c r="AN90" s="119">
        <v>0.33200000000000002</v>
      </c>
      <c r="AO90" s="12">
        <v>9</v>
      </c>
      <c r="AP90" s="118">
        <v>5.15</v>
      </c>
      <c r="AQ90" s="118">
        <v>15.95</v>
      </c>
      <c r="AR90" s="118">
        <v>3</v>
      </c>
      <c r="AS90" s="118">
        <v>1</v>
      </c>
      <c r="AT90" s="118">
        <v>4.3</v>
      </c>
      <c r="AU90" s="118">
        <v>0.4</v>
      </c>
      <c r="AV90" s="118">
        <v>0.1</v>
      </c>
      <c r="AW90" s="118">
        <v>100</v>
      </c>
      <c r="AX90" s="118">
        <v>3.2</v>
      </c>
      <c r="AY90" s="118">
        <v>10.9</v>
      </c>
      <c r="AZ90" s="118">
        <v>0.05</v>
      </c>
      <c r="BA90" s="118">
        <v>7.7</v>
      </c>
      <c r="BB90" s="118">
        <v>0.01</v>
      </c>
      <c r="BC90" s="118">
        <v>0.1</v>
      </c>
      <c r="BD90" s="118">
        <v>0</v>
      </c>
      <c r="BE90" s="118">
        <v>0.27</v>
      </c>
      <c r="BF90" s="118">
        <v>0.38</v>
      </c>
      <c r="BG90" s="118">
        <v>0.3</v>
      </c>
      <c r="BH90" s="12">
        <v>0</v>
      </c>
      <c r="BI90" s="12">
        <v>0</v>
      </c>
      <c r="BJ90" s="12">
        <v>0</v>
      </c>
      <c r="BK90" s="12">
        <v>0</v>
      </c>
      <c r="BL90" s="12">
        <v>0</v>
      </c>
      <c r="BM90" s="12">
        <v>0</v>
      </c>
      <c r="BN90" s="12">
        <v>0</v>
      </c>
    </row>
    <row r="91" spans="1:67" x14ac:dyDescent="0.3">
      <c r="A91" s="12">
        <v>86</v>
      </c>
      <c r="B91" s="12" t="s">
        <v>3802</v>
      </c>
      <c r="C91" s="118">
        <v>25</v>
      </c>
      <c r="D91" s="118">
        <v>0.6</v>
      </c>
      <c r="E91" s="118">
        <v>27.5</v>
      </c>
      <c r="F91" s="118">
        <v>12.5</v>
      </c>
      <c r="G91" s="118">
        <v>6</v>
      </c>
      <c r="H91" s="118">
        <v>0.95</v>
      </c>
      <c r="I91" s="118">
        <v>15.05</v>
      </c>
      <c r="J91" s="118">
        <v>50.95</v>
      </c>
      <c r="K91" s="118">
        <v>0.5</v>
      </c>
      <c r="L91" s="118">
        <v>0.5</v>
      </c>
      <c r="M91" s="141">
        <v>3</v>
      </c>
      <c r="N91" s="118">
        <v>0.02</v>
      </c>
      <c r="O91" s="118">
        <v>0.85</v>
      </c>
      <c r="P91" s="118">
        <v>25</v>
      </c>
      <c r="Q91" s="118">
        <v>1</v>
      </c>
      <c r="R91" s="118">
        <v>2.2000000000000002</v>
      </c>
      <c r="S91" s="119">
        <v>660.2</v>
      </c>
      <c r="T91" s="119">
        <v>1.4E-2</v>
      </c>
      <c r="U91" s="119">
        <v>2E-3</v>
      </c>
      <c r="V91" s="119">
        <v>1.4E-2</v>
      </c>
      <c r="W91" s="119">
        <v>0.3</v>
      </c>
      <c r="X91" s="119">
        <v>0.6</v>
      </c>
      <c r="Y91" s="119">
        <v>2.82</v>
      </c>
      <c r="Z91" s="119">
        <v>1212.75</v>
      </c>
      <c r="AA91" s="119">
        <v>116.87</v>
      </c>
      <c r="AB91" s="119">
        <v>0.01</v>
      </c>
      <c r="AC91" s="119">
        <v>5.8000000000000003E-2</v>
      </c>
      <c r="AD91" s="119">
        <v>1.9E-2</v>
      </c>
      <c r="AE91" s="119">
        <v>1.77E-2</v>
      </c>
      <c r="AF91" s="119">
        <v>8.0999999999999996E-3</v>
      </c>
      <c r="AG91" s="119">
        <v>2.7000000000000001E-3</v>
      </c>
      <c r="AH91" s="119">
        <v>2.5000000000000001E-3</v>
      </c>
      <c r="AI91" s="119">
        <v>0.03</v>
      </c>
      <c r="AJ91" s="119">
        <v>2.1999999999999999E-2</v>
      </c>
      <c r="AK91" s="119">
        <v>1.4999999999999999E-2</v>
      </c>
      <c r="AL91" s="119">
        <v>1.1379999999999999</v>
      </c>
      <c r="AM91" s="119">
        <v>0.60299999999999998</v>
      </c>
      <c r="AN91" s="119">
        <v>0.33200000000000002</v>
      </c>
      <c r="AO91" s="12">
        <v>9</v>
      </c>
      <c r="AP91" s="118">
        <v>5.15</v>
      </c>
      <c r="AQ91" s="118">
        <v>15.95</v>
      </c>
      <c r="AR91" s="118">
        <v>3</v>
      </c>
      <c r="AS91" s="118">
        <v>1</v>
      </c>
      <c r="AT91" s="118">
        <v>4.3</v>
      </c>
      <c r="AU91" s="118">
        <v>0.4</v>
      </c>
      <c r="AV91" s="118">
        <v>0.1</v>
      </c>
      <c r="AW91" s="118">
        <v>100</v>
      </c>
      <c r="AX91" s="118">
        <v>3.2</v>
      </c>
      <c r="AY91" s="118">
        <v>10.9</v>
      </c>
      <c r="AZ91" s="118">
        <v>0.05</v>
      </c>
      <c r="BA91" s="118">
        <v>7.7</v>
      </c>
      <c r="BB91" s="118">
        <v>0.01</v>
      </c>
      <c r="BC91" s="118">
        <v>0.1</v>
      </c>
      <c r="BD91" s="118">
        <v>0</v>
      </c>
      <c r="BE91" s="118">
        <v>0.27</v>
      </c>
      <c r="BF91" s="118">
        <v>0.38</v>
      </c>
      <c r="BG91" s="118">
        <v>0.3</v>
      </c>
      <c r="BH91" s="12">
        <v>0</v>
      </c>
      <c r="BI91" s="12">
        <v>0</v>
      </c>
      <c r="BJ91" s="12">
        <v>0</v>
      </c>
      <c r="BK91" s="12">
        <v>0</v>
      </c>
      <c r="BL91" s="12">
        <v>0</v>
      </c>
      <c r="BM91" s="12">
        <v>0</v>
      </c>
      <c r="BN91" s="12">
        <v>0</v>
      </c>
    </row>
    <row r="92" spans="1:67" x14ac:dyDescent="0.3">
      <c r="A92" s="12">
        <v>87</v>
      </c>
      <c r="B92" s="12" t="s">
        <v>3803</v>
      </c>
      <c r="C92" s="118">
        <v>25</v>
      </c>
      <c r="D92" s="118">
        <v>0.6</v>
      </c>
      <c r="E92" s="118">
        <v>27.5</v>
      </c>
      <c r="F92" s="118">
        <v>12.5</v>
      </c>
      <c r="G92" s="118">
        <v>6</v>
      </c>
      <c r="H92" s="118">
        <v>0.95</v>
      </c>
      <c r="I92" s="118">
        <v>15.05</v>
      </c>
      <c r="J92" s="118">
        <v>50.95</v>
      </c>
      <c r="K92" s="118">
        <v>0.5</v>
      </c>
      <c r="L92" s="118">
        <v>0.5</v>
      </c>
      <c r="M92" s="141">
        <v>3</v>
      </c>
      <c r="N92" s="118">
        <v>0.02</v>
      </c>
      <c r="O92" s="118">
        <v>0.85</v>
      </c>
      <c r="P92" s="118">
        <v>25</v>
      </c>
      <c r="Q92" s="118">
        <v>1</v>
      </c>
      <c r="R92" s="118">
        <v>2.2000000000000002</v>
      </c>
      <c r="S92" s="119">
        <v>660.2</v>
      </c>
      <c r="T92" s="119">
        <v>1.4E-2</v>
      </c>
      <c r="U92" s="119">
        <v>2E-3</v>
      </c>
      <c r="V92" s="119">
        <v>1.4E-2</v>
      </c>
      <c r="W92" s="119">
        <v>0.3</v>
      </c>
      <c r="X92" s="119">
        <v>0.6</v>
      </c>
      <c r="Y92" s="119">
        <v>2.82</v>
      </c>
      <c r="Z92" s="119">
        <v>1212.75</v>
      </c>
      <c r="AA92" s="119">
        <v>116.87</v>
      </c>
      <c r="AB92" s="119">
        <v>0.01</v>
      </c>
      <c r="AC92" s="119">
        <v>5.8000000000000003E-2</v>
      </c>
      <c r="AD92" s="119">
        <v>1.9E-2</v>
      </c>
      <c r="AE92" s="119">
        <v>1.77E-2</v>
      </c>
      <c r="AF92" s="119">
        <v>8.0999999999999996E-3</v>
      </c>
      <c r="AG92" s="119">
        <v>2.7000000000000001E-3</v>
      </c>
      <c r="AH92" s="119">
        <v>2.5000000000000001E-3</v>
      </c>
      <c r="AI92" s="119">
        <v>0.03</v>
      </c>
      <c r="AJ92" s="119">
        <v>2.1999999999999999E-2</v>
      </c>
      <c r="AK92" s="119">
        <v>1.4999999999999999E-2</v>
      </c>
      <c r="AL92" s="119">
        <v>1.1379999999999999</v>
      </c>
      <c r="AM92" s="119">
        <v>0.60299999999999998</v>
      </c>
      <c r="AN92" s="119">
        <v>0.33200000000000002</v>
      </c>
      <c r="AO92" s="12">
        <v>9</v>
      </c>
      <c r="AP92" s="118">
        <v>5.15</v>
      </c>
      <c r="AQ92" s="118">
        <v>15.95</v>
      </c>
      <c r="AR92" s="118">
        <v>3</v>
      </c>
      <c r="AS92" s="118">
        <v>1</v>
      </c>
      <c r="AT92" s="118">
        <v>4.3</v>
      </c>
      <c r="AU92" s="118">
        <v>0.4</v>
      </c>
      <c r="AV92" s="118">
        <v>0.1</v>
      </c>
      <c r="AW92" s="118">
        <v>100</v>
      </c>
      <c r="AX92" s="118">
        <v>3.2</v>
      </c>
      <c r="AY92" s="118">
        <v>10.9</v>
      </c>
      <c r="AZ92" s="118">
        <v>0.05</v>
      </c>
      <c r="BA92" s="118">
        <v>7.7</v>
      </c>
      <c r="BB92" s="118">
        <v>0.01</v>
      </c>
      <c r="BC92" s="118">
        <v>0.1</v>
      </c>
      <c r="BD92" s="118">
        <v>0</v>
      </c>
      <c r="BE92" s="118">
        <v>0.27</v>
      </c>
      <c r="BF92" s="118">
        <v>0.38</v>
      </c>
      <c r="BG92" s="118">
        <v>0.3</v>
      </c>
      <c r="BH92" s="12">
        <v>0</v>
      </c>
      <c r="BI92" s="12">
        <v>0</v>
      </c>
      <c r="BJ92" s="12">
        <v>0</v>
      </c>
      <c r="BK92" s="12">
        <v>0</v>
      </c>
      <c r="BL92" s="12">
        <v>0</v>
      </c>
      <c r="BM92" s="12">
        <v>0</v>
      </c>
      <c r="BN92" s="12">
        <v>0</v>
      </c>
    </row>
    <row r="93" spans="1:67" x14ac:dyDescent="0.3">
      <c r="A93" s="12">
        <v>88</v>
      </c>
      <c r="B93" s="12" t="s">
        <v>3804</v>
      </c>
      <c r="C93" s="118">
        <v>35</v>
      </c>
      <c r="D93" s="118">
        <v>0.45</v>
      </c>
      <c r="E93" s="118">
        <v>15</v>
      </c>
      <c r="F93" s="118">
        <v>0</v>
      </c>
      <c r="G93" s="118">
        <v>6</v>
      </c>
      <c r="H93" s="118">
        <v>0.6</v>
      </c>
      <c r="I93" s="118">
        <v>15.01</v>
      </c>
      <c r="J93" s="118">
        <v>50.95</v>
      </c>
      <c r="K93" s="118">
        <v>1</v>
      </c>
      <c r="L93" s="118">
        <v>1</v>
      </c>
      <c r="M93" s="141">
        <v>2</v>
      </c>
      <c r="N93" s="118">
        <v>7.0000000000000001E-3</v>
      </c>
      <c r="O93" s="118">
        <v>0.85</v>
      </c>
      <c r="P93" s="118">
        <v>90</v>
      </c>
      <c r="Q93" s="118">
        <v>1</v>
      </c>
      <c r="R93" s="118">
        <v>2</v>
      </c>
      <c r="S93" s="119">
        <v>660.47</v>
      </c>
      <c r="T93" s="119">
        <v>2.4899999999999999E-2</v>
      </c>
      <c r="U93" s="119">
        <v>3.3E-3</v>
      </c>
      <c r="V93" s="119">
        <v>4.1999999999999997E-3</v>
      </c>
      <c r="W93" s="119">
        <v>0.21</v>
      </c>
      <c r="X93" s="119">
        <v>0.6</v>
      </c>
      <c r="Y93" s="119">
        <v>0.26</v>
      </c>
      <c r="Z93" s="119">
        <v>153.62</v>
      </c>
      <c r="AA93" s="119">
        <v>20</v>
      </c>
      <c r="AB93" s="119">
        <v>0.12</v>
      </c>
      <c r="AC93" s="119">
        <v>0.06</v>
      </c>
      <c r="AD93" s="119">
        <v>2.3E-2</v>
      </c>
      <c r="AE93" s="119">
        <v>1.34E-2</v>
      </c>
      <c r="AF93" s="119">
        <v>8.3999999999999995E-3</v>
      </c>
      <c r="AG93" s="119">
        <v>3.2000000000000002E-3</v>
      </c>
      <c r="AH93" s="119">
        <v>1.9E-3</v>
      </c>
      <c r="AI93" s="119">
        <v>2.3E-2</v>
      </c>
      <c r="AJ93" s="119">
        <v>0.02</v>
      </c>
      <c r="AK93" s="119">
        <v>1.7000000000000001E-2</v>
      </c>
      <c r="AL93" s="119">
        <v>3.39</v>
      </c>
      <c r="AM93" s="119">
        <v>3.39</v>
      </c>
      <c r="AN93" s="119">
        <v>1.61</v>
      </c>
      <c r="AO93" s="12">
        <v>5</v>
      </c>
      <c r="AP93" s="118">
        <v>5.01</v>
      </c>
      <c r="AQ93" s="118">
        <v>15.1</v>
      </c>
      <c r="AR93" s="118">
        <v>6</v>
      </c>
      <c r="AS93" s="118">
        <v>0.5</v>
      </c>
      <c r="AT93" s="118">
        <v>4.75</v>
      </c>
      <c r="AU93" s="118">
        <v>0.4</v>
      </c>
      <c r="AV93" s="118">
        <v>0.2</v>
      </c>
      <c r="AW93" s="118">
        <v>100</v>
      </c>
      <c r="AX93" s="118">
        <v>125.6</v>
      </c>
      <c r="AY93" s="118">
        <v>250.95</v>
      </c>
      <c r="AZ93" s="118">
        <v>7.0000000000000007E-2</v>
      </c>
      <c r="BA93" s="118">
        <v>6</v>
      </c>
      <c r="BB93" s="118">
        <v>0.01</v>
      </c>
      <c r="BC93" s="118">
        <v>0.1</v>
      </c>
      <c r="BD93" s="118">
        <v>0</v>
      </c>
      <c r="BE93" s="118">
        <v>0</v>
      </c>
      <c r="BF93" s="118">
        <v>0</v>
      </c>
      <c r="BG93" s="118">
        <v>0.3</v>
      </c>
      <c r="BH93" s="12">
        <v>0</v>
      </c>
      <c r="BI93" s="12">
        <v>0</v>
      </c>
      <c r="BJ93" s="12">
        <v>0</v>
      </c>
      <c r="BK93" s="12">
        <v>0</v>
      </c>
      <c r="BL93" s="12">
        <v>0</v>
      </c>
      <c r="BM93" s="12">
        <v>0</v>
      </c>
      <c r="BN93" s="12">
        <v>0</v>
      </c>
    </row>
    <row r="94" spans="1:67" x14ac:dyDescent="0.3">
      <c r="A94" s="12">
        <v>89</v>
      </c>
      <c r="B94" s="12" t="s">
        <v>3805</v>
      </c>
      <c r="C94" s="118">
        <v>35</v>
      </c>
      <c r="D94" s="118">
        <v>0.45</v>
      </c>
      <c r="E94" s="118">
        <v>15</v>
      </c>
      <c r="F94" s="118">
        <v>0</v>
      </c>
      <c r="G94" s="118">
        <v>6</v>
      </c>
      <c r="H94" s="118">
        <v>0.6</v>
      </c>
      <c r="I94" s="118">
        <v>15.01</v>
      </c>
      <c r="J94" s="118">
        <v>50.95</v>
      </c>
      <c r="K94" s="118">
        <v>1</v>
      </c>
      <c r="L94" s="118">
        <v>1</v>
      </c>
      <c r="M94" s="141">
        <v>2</v>
      </c>
      <c r="N94" s="118">
        <v>7.0000000000000001E-3</v>
      </c>
      <c r="O94" s="118">
        <v>0.85</v>
      </c>
      <c r="P94" s="118">
        <v>90</v>
      </c>
      <c r="Q94" s="118">
        <v>1</v>
      </c>
      <c r="R94" s="118">
        <v>2</v>
      </c>
      <c r="S94" s="119">
        <v>660.47</v>
      </c>
      <c r="T94" s="119">
        <v>2.4899999999999999E-2</v>
      </c>
      <c r="U94" s="119">
        <v>3.3E-3</v>
      </c>
      <c r="V94" s="119">
        <v>4.1999999999999997E-3</v>
      </c>
      <c r="W94" s="119">
        <v>0.21</v>
      </c>
      <c r="X94" s="119">
        <v>0.6</v>
      </c>
      <c r="Y94" s="119">
        <v>0.26</v>
      </c>
      <c r="Z94" s="119">
        <v>153.62</v>
      </c>
      <c r="AA94" s="119">
        <v>20</v>
      </c>
      <c r="AB94" s="119">
        <v>0.12</v>
      </c>
      <c r="AC94" s="119">
        <v>0.06</v>
      </c>
      <c r="AD94" s="119">
        <v>2.3E-2</v>
      </c>
      <c r="AE94" s="119">
        <v>1.34E-2</v>
      </c>
      <c r="AF94" s="119">
        <v>8.3999999999999995E-3</v>
      </c>
      <c r="AG94" s="119">
        <v>3.2000000000000002E-3</v>
      </c>
      <c r="AH94" s="119">
        <v>1.9E-3</v>
      </c>
      <c r="AI94" s="119">
        <v>2.3E-2</v>
      </c>
      <c r="AJ94" s="119">
        <v>0.02</v>
      </c>
      <c r="AK94" s="119">
        <v>1.7000000000000001E-2</v>
      </c>
      <c r="AL94" s="119">
        <v>3.39</v>
      </c>
      <c r="AM94" s="119">
        <v>3.39</v>
      </c>
      <c r="AN94" s="119">
        <v>1.61</v>
      </c>
      <c r="AO94" s="12">
        <v>5</v>
      </c>
      <c r="AP94" s="118">
        <v>5.01</v>
      </c>
      <c r="AQ94" s="118">
        <v>15.1</v>
      </c>
      <c r="AR94" s="118">
        <v>6</v>
      </c>
      <c r="AS94" s="118">
        <v>0.5</v>
      </c>
      <c r="AT94" s="118">
        <v>4.75</v>
      </c>
      <c r="AU94" s="118">
        <v>0.4</v>
      </c>
      <c r="AV94" s="118">
        <v>0.2</v>
      </c>
      <c r="AW94" s="118">
        <v>100</v>
      </c>
      <c r="AX94" s="118">
        <v>125.6</v>
      </c>
      <c r="AY94" s="118">
        <v>250.95</v>
      </c>
      <c r="AZ94" s="118">
        <v>7.0000000000000007E-2</v>
      </c>
      <c r="BA94" s="118">
        <v>6</v>
      </c>
      <c r="BB94" s="118">
        <v>0.01</v>
      </c>
      <c r="BC94" s="118">
        <v>0.1</v>
      </c>
      <c r="BD94" s="118">
        <v>0</v>
      </c>
      <c r="BE94" s="118">
        <v>0</v>
      </c>
      <c r="BF94" s="118">
        <v>0</v>
      </c>
      <c r="BG94" s="118">
        <v>0.3</v>
      </c>
      <c r="BH94" s="12">
        <v>0</v>
      </c>
      <c r="BI94" s="12">
        <v>0</v>
      </c>
      <c r="BJ94" s="12">
        <v>0</v>
      </c>
      <c r="BK94" s="12">
        <v>0</v>
      </c>
      <c r="BL94" s="12">
        <v>0</v>
      </c>
      <c r="BM94" s="12">
        <v>0</v>
      </c>
      <c r="BN94" s="12">
        <v>0</v>
      </c>
    </row>
    <row r="95" spans="1:67" x14ac:dyDescent="0.3">
      <c r="A95" s="12">
        <v>90</v>
      </c>
      <c r="B95" s="12" t="s">
        <v>483</v>
      </c>
      <c r="C95" s="118">
        <v>30</v>
      </c>
      <c r="D95" s="118">
        <v>0.05</v>
      </c>
      <c r="E95" s="118">
        <v>30</v>
      </c>
      <c r="F95" s="118">
        <v>10</v>
      </c>
      <c r="G95" s="118">
        <v>5</v>
      </c>
      <c r="H95" s="118">
        <v>0.99</v>
      </c>
      <c r="I95" s="118">
        <v>5.05</v>
      </c>
      <c r="J95" s="118">
        <v>40.950000000000003</v>
      </c>
      <c r="K95" s="118">
        <v>1</v>
      </c>
      <c r="L95" s="118">
        <v>1</v>
      </c>
      <c r="M95" s="141">
        <v>5</v>
      </c>
      <c r="N95" s="118">
        <v>7.0000000000000001E-3</v>
      </c>
      <c r="O95" s="118">
        <v>0.85</v>
      </c>
      <c r="P95" s="118">
        <v>80</v>
      </c>
      <c r="Q95" s="118">
        <v>7.5</v>
      </c>
      <c r="R95" s="118">
        <v>3.5</v>
      </c>
      <c r="S95" s="119">
        <v>660.41</v>
      </c>
      <c r="T95" s="119">
        <v>1.5E-3</v>
      </c>
      <c r="U95" s="119">
        <v>2.9999999999999997E-4</v>
      </c>
      <c r="V95" s="119">
        <v>2E-3</v>
      </c>
      <c r="W95" s="119">
        <v>0.05</v>
      </c>
      <c r="X95" s="119">
        <v>0.6</v>
      </c>
      <c r="Y95" s="119">
        <v>6.72</v>
      </c>
      <c r="Z95" s="119">
        <v>1000</v>
      </c>
      <c r="AA95" s="119">
        <v>5</v>
      </c>
      <c r="AB95" s="119">
        <v>0.01</v>
      </c>
      <c r="AC95" s="119">
        <v>6.0000000000000001E-3</v>
      </c>
      <c r="AD95" s="119">
        <v>2E-3</v>
      </c>
      <c r="AE95" s="119">
        <v>1.5E-3</v>
      </c>
      <c r="AF95" s="119">
        <v>6.9999999999999999E-4</v>
      </c>
      <c r="AG95" s="119">
        <v>4.0000000000000002E-4</v>
      </c>
      <c r="AH95" s="119">
        <v>2.9999999999999997E-4</v>
      </c>
      <c r="AI95" s="119">
        <v>6.0000000000000001E-3</v>
      </c>
      <c r="AJ95" s="119">
        <v>3.0000000000000001E-3</v>
      </c>
      <c r="AK95" s="119">
        <v>2E-3</v>
      </c>
      <c r="AL95" s="119">
        <v>3.39</v>
      </c>
      <c r="AM95" s="119">
        <v>3.39</v>
      </c>
      <c r="AN95" s="119">
        <v>3.39</v>
      </c>
      <c r="AO95" s="12">
        <v>8</v>
      </c>
      <c r="AP95" s="118">
        <v>5.0999999999999996</v>
      </c>
      <c r="AQ95" s="118">
        <v>15.5</v>
      </c>
      <c r="AR95" s="118">
        <v>8</v>
      </c>
      <c r="AS95" s="118">
        <v>1</v>
      </c>
      <c r="AT95" s="118">
        <v>4.75</v>
      </c>
      <c r="AU95" s="118">
        <v>0.4</v>
      </c>
      <c r="AV95" s="118">
        <v>0.2</v>
      </c>
      <c r="AW95" s="118">
        <v>100</v>
      </c>
      <c r="AX95" s="118">
        <v>500.95</v>
      </c>
      <c r="AY95" s="118">
        <v>20.149999999999999</v>
      </c>
      <c r="AZ95" s="118">
        <v>0.05</v>
      </c>
      <c r="BA95" s="118">
        <v>1</v>
      </c>
      <c r="BB95" s="118">
        <v>0.01</v>
      </c>
      <c r="BC95" s="118">
        <v>0.1</v>
      </c>
      <c r="BD95" s="118">
        <v>0</v>
      </c>
      <c r="BE95" s="118">
        <v>0.01</v>
      </c>
      <c r="BF95" s="118">
        <v>0</v>
      </c>
      <c r="BG95" s="118">
        <v>0.3</v>
      </c>
      <c r="BH95" s="12">
        <v>0</v>
      </c>
      <c r="BI95" s="12">
        <v>0</v>
      </c>
      <c r="BJ95" s="12">
        <v>0</v>
      </c>
      <c r="BK95" s="12">
        <v>0</v>
      </c>
      <c r="BL95" s="12">
        <v>0</v>
      </c>
      <c r="BM95" s="12">
        <v>0</v>
      </c>
      <c r="BN95" s="12">
        <v>0</v>
      </c>
      <c r="BO95" s="12" t="s">
        <v>1571</v>
      </c>
    </row>
    <row r="96" spans="1:67" x14ac:dyDescent="0.3">
      <c r="A96" s="12">
        <v>91</v>
      </c>
      <c r="B96" s="12" t="s">
        <v>484</v>
      </c>
      <c r="C96" s="118">
        <v>25</v>
      </c>
      <c r="D96" s="118">
        <v>0.05</v>
      </c>
      <c r="E96" s="118">
        <v>30</v>
      </c>
      <c r="F96" s="118">
        <v>10</v>
      </c>
      <c r="G96" s="118">
        <v>7</v>
      </c>
      <c r="H96" s="118">
        <v>0.99</v>
      </c>
      <c r="I96" s="118">
        <v>2.5</v>
      </c>
      <c r="J96" s="118">
        <v>10.95</v>
      </c>
      <c r="K96" s="118">
        <v>1</v>
      </c>
      <c r="L96" s="118">
        <v>1</v>
      </c>
      <c r="M96" s="141">
        <v>5</v>
      </c>
      <c r="N96" s="118">
        <v>7.0000000000000001E-3</v>
      </c>
      <c r="O96" s="118">
        <v>0.85</v>
      </c>
      <c r="P96" s="118">
        <v>80</v>
      </c>
      <c r="Q96" s="118">
        <v>6</v>
      </c>
      <c r="R96" s="118">
        <v>3.5</v>
      </c>
      <c r="S96" s="119">
        <v>660.34</v>
      </c>
      <c r="T96" s="119">
        <v>1.5E-3</v>
      </c>
      <c r="U96" s="119">
        <v>2.9999999999999997E-4</v>
      </c>
      <c r="V96" s="119">
        <v>2E-3</v>
      </c>
      <c r="W96" s="119">
        <v>0.05</v>
      </c>
      <c r="X96" s="119">
        <v>0.6</v>
      </c>
      <c r="Y96" s="119">
        <v>6.72</v>
      </c>
      <c r="Z96" s="119">
        <v>1000</v>
      </c>
      <c r="AA96" s="119">
        <v>5</v>
      </c>
      <c r="AB96" s="119">
        <v>0.01</v>
      </c>
      <c r="AC96" s="119">
        <v>0.02</v>
      </c>
      <c r="AD96" s="119">
        <v>0.01</v>
      </c>
      <c r="AE96" s="119">
        <v>8.0000000000000002E-3</v>
      </c>
      <c r="AF96" s="119">
        <v>6.9999999999999999E-4</v>
      </c>
      <c r="AG96" s="119">
        <v>4.0000000000000002E-4</v>
      </c>
      <c r="AH96" s="119">
        <v>2.9999999999999997E-4</v>
      </c>
      <c r="AI96" s="119">
        <v>6.0000000000000001E-3</v>
      </c>
      <c r="AJ96" s="119">
        <v>3.0000000000000001E-3</v>
      </c>
      <c r="AK96" s="119">
        <v>2E-3</v>
      </c>
      <c r="AL96" s="119">
        <v>3.39</v>
      </c>
      <c r="AM96" s="119">
        <v>3.39</v>
      </c>
      <c r="AN96" s="119">
        <v>3.39</v>
      </c>
      <c r="AO96" s="12">
        <v>8</v>
      </c>
      <c r="AP96" s="118">
        <v>5.0999999999999996</v>
      </c>
      <c r="AQ96" s="118">
        <v>15.5</v>
      </c>
      <c r="AR96" s="118">
        <v>8</v>
      </c>
      <c r="AS96" s="118">
        <v>1</v>
      </c>
      <c r="AT96" s="118">
        <v>4.75</v>
      </c>
      <c r="AU96" s="118">
        <v>0.4</v>
      </c>
      <c r="AV96" s="118">
        <v>0.2</v>
      </c>
      <c r="AW96" s="118">
        <v>100</v>
      </c>
      <c r="AX96" s="118">
        <v>120.88</v>
      </c>
      <c r="AY96" s="118">
        <v>20.13</v>
      </c>
      <c r="AZ96" s="118">
        <v>0.05</v>
      </c>
      <c r="BA96" s="118">
        <v>1</v>
      </c>
      <c r="BB96" s="118">
        <v>0.01</v>
      </c>
      <c r="BC96" s="118">
        <v>0.1</v>
      </c>
      <c r="BD96" s="118">
        <v>0</v>
      </c>
      <c r="BE96" s="118">
        <v>0.01</v>
      </c>
      <c r="BF96" s="118">
        <v>0</v>
      </c>
      <c r="BG96" s="118">
        <v>0.3</v>
      </c>
      <c r="BH96" s="12">
        <v>0</v>
      </c>
      <c r="BI96" s="12">
        <v>0</v>
      </c>
      <c r="BJ96" s="12">
        <v>0</v>
      </c>
      <c r="BK96" s="12">
        <v>0</v>
      </c>
      <c r="BL96" s="12">
        <v>0</v>
      </c>
      <c r="BM96" s="12">
        <v>0</v>
      </c>
      <c r="BN96" s="12">
        <v>0</v>
      </c>
      <c r="BO96" s="12" t="s">
        <v>1572</v>
      </c>
    </row>
    <row r="97" spans="1:67" x14ac:dyDescent="0.3">
      <c r="A97" s="12">
        <v>92</v>
      </c>
      <c r="B97" s="12" t="s">
        <v>485</v>
      </c>
      <c r="C97" s="118">
        <v>45</v>
      </c>
      <c r="D97" s="118">
        <v>0.02</v>
      </c>
      <c r="E97" s="118">
        <v>25</v>
      </c>
      <c r="F97" s="118">
        <v>10</v>
      </c>
      <c r="G97" s="118">
        <v>12</v>
      </c>
      <c r="H97" s="118">
        <v>0.8</v>
      </c>
      <c r="I97" s="118">
        <v>15.05</v>
      </c>
      <c r="J97" s="118">
        <v>50.95</v>
      </c>
      <c r="K97" s="118">
        <v>1</v>
      </c>
      <c r="L97" s="118">
        <v>1</v>
      </c>
      <c r="M97" s="141">
        <v>2</v>
      </c>
      <c r="N97" s="118">
        <v>7.4000000000000003E-3</v>
      </c>
      <c r="O97" s="118">
        <v>0.85</v>
      </c>
      <c r="P97" s="118">
        <v>80</v>
      </c>
      <c r="Q97" s="118">
        <v>2.5</v>
      </c>
      <c r="R97" s="118">
        <v>2.2000000000000002</v>
      </c>
      <c r="S97" s="119">
        <v>660.52</v>
      </c>
      <c r="T97" s="119">
        <v>1.6E-2</v>
      </c>
      <c r="U97" s="119">
        <v>1.1999999999999999E-3</v>
      </c>
      <c r="V97" s="119">
        <v>6.0000000000000001E-3</v>
      </c>
      <c r="W97" s="119">
        <v>0.01</v>
      </c>
      <c r="X97" s="119">
        <v>0.6</v>
      </c>
      <c r="Y97" s="119">
        <v>2.2000000000000002</v>
      </c>
      <c r="Z97" s="119">
        <v>0</v>
      </c>
      <c r="AA97" s="119">
        <v>0</v>
      </c>
      <c r="AB97" s="119">
        <v>0.1</v>
      </c>
      <c r="AC97" s="119">
        <v>0.03</v>
      </c>
      <c r="AD97" s="119">
        <v>1.4999999999999999E-2</v>
      </c>
      <c r="AE97" s="119">
        <v>8.0000000000000002E-3</v>
      </c>
      <c r="AF97" s="119">
        <v>1.6000000000000001E-3</v>
      </c>
      <c r="AG97" s="119">
        <v>1E-3</v>
      </c>
      <c r="AH97" s="119">
        <v>6.9999999999999999E-4</v>
      </c>
      <c r="AI97" s="119">
        <v>2.5000000000000001E-2</v>
      </c>
      <c r="AJ97" s="119">
        <v>1.4999999999999999E-2</v>
      </c>
      <c r="AK97" s="119">
        <v>0.01</v>
      </c>
      <c r="AL97" s="119">
        <v>3.39</v>
      </c>
      <c r="AM97" s="119">
        <v>3.39</v>
      </c>
      <c r="AN97" s="119">
        <v>3.39</v>
      </c>
      <c r="AO97" s="12">
        <v>6</v>
      </c>
      <c r="AP97" s="118">
        <v>5.15</v>
      </c>
      <c r="AQ97" s="118">
        <v>15.95</v>
      </c>
      <c r="AR97" s="118">
        <v>10</v>
      </c>
      <c r="AS97" s="118">
        <v>1</v>
      </c>
      <c r="AT97" s="118">
        <v>4.75</v>
      </c>
      <c r="AU97" s="118">
        <v>0.4</v>
      </c>
      <c r="AV97" s="118">
        <v>0.35</v>
      </c>
      <c r="AW97" s="118">
        <v>100</v>
      </c>
      <c r="AX97" s="118">
        <v>22.5</v>
      </c>
      <c r="AY97" s="118">
        <v>40.71</v>
      </c>
      <c r="AZ97" s="118">
        <v>0</v>
      </c>
      <c r="BA97" s="118">
        <v>0</v>
      </c>
      <c r="BB97" s="118">
        <v>0.01</v>
      </c>
      <c r="BC97" s="118">
        <v>0.1</v>
      </c>
      <c r="BD97" s="118">
        <v>0</v>
      </c>
      <c r="BE97" s="118">
        <v>3</v>
      </c>
      <c r="BF97" s="118">
        <v>0</v>
      </c>
      <c r="BG97" s="118">
        <v>0.3</v>
      </c>
      <c r="BH97" s="12">
        <v>1</v>
      </c>
      <c r="BI97" s="12">
        <v>0</v>
      </c>
      <c r="BJ97" s="12">
        <v>0</v>
      </c>
      <c r="BK97" s="12">
        <v>0</v>
      </c>
      <c r="BL97" s="12">
        <v>0</v>
      </c>
      <c r="BM97" s="12">
        <v>0</v>
      </c>
      <c r="BN97" s="12">
        <v>0</v>
      </c>
      <c r="BO97" s="12" t="s">
        <v>1573</v>
      </c>
    </row>
    <row r="98" spans="1:67" x14ac:dyDescent="0.3">
      <c r="A98" s="12">
        <v>93</v>
      </c>
      <c r="B98" s="12" t="s">
        <v>486</v>
      </c>
      <c r="C98" s="118">
        <v>25</v>
      </c>
      <c r="D98" s="118">
        <v>0.3</v>
      </c>
      <c r="E98" s="118">
        <v>27</v>
      </c>
      <c r="F98" s="118">
        <v>10</v>
      </c>
      <c r="G98" s="118">
        <v>1.5</v>
      </c>
      <c r="H98" s="118">
        <v>0.9</v>
      </c>
      <c r="I98" s="118">
        <v>10.050000000000001</v>
      </c>
      <c r="J98" s="118">
        <v>80.95</v>
      </c>
      <c r="K98" s="118">
        <v>1</v>
      </c>
      <c r="L98" s="118">
        <v>1</v>
      </c>
      <c r="M98" s="141">
        <v>3</v>
      </c>
      <c r="N98" s="118">
        <v>0.01</v>
      </c>
      <c r="O98" s="118">
        <v>0.85</v>
      </c>
      <c r="P98" s="118">
        <v>35</v>
      </c>
      <c r="Q98" s="118">
        <v>0.6</v>
      </c>
      <c r="R98" s="118">
        <v>1.1000000000000001</v>
      </c>
      <c r="S98" s="119">
        <v>660.34</v>
      </c>
      <c r="T98" s="119">
        <v>3.7499999999999999E-2</v>
      </c>
      <c r="U98" s="119">
        <v>4.7000000000000002E-3</v>
      </c>
      <c r="V98" s="119">
        <v>1.49E-2</v>
      </c>
      <c r="W98" s="119">
        <v>0.15</v>
      </c>
      <c r="X98" s="119">
        <v>0.6</v>
      </c>
      <c r="Y98" s="119">
        <v>2.2000000000000002</v>
      </c>
      <c r="Z98" s="119">
        <v>304.29000000000002</v>
      </c>
      <c r="AA98" s="119">
        <v>0</v>
      </c>
      <c r="AB98" s="119">
        <v>0.11</v>
      </c>
      <c r="AC98" s="119">
        <v>4.4999999999999998E-2</v>
      </c>
      <c r="AD98" s="119">
        <v>0.03</v>
      </c>
      <c r="AE98" s="119">
        <v>2.5000000000000001E-2</v>
      </c>
      <c r="AF98" s="119">
        <v>4.4999999999999997E-3</v>
      </c>
      <c r="AG98" s="119">
        <v>3.0000000000000001E-3</v>
      </c>
      <c r="AH98" s="119">
        <v>2.5000000000000001E-3</v>
      </c>
      <c r="AI98" s="119">
        <v>0.03</v>
      </c>
      <c r="AJ98" s="119">
        <v>2.5000000000000001E-2</v>
      </c>
      <c r="AK98" s="119">
        <v>1.7000000000000001E-2</v>
      </c>
      <c r="AL98" s="119">
        <v>1.266</v>
      </c>
      <c r="AM98" s="119">
        <v>0.63300000000000001</v>
      </c>
      <c r="AN98" s="119">
        <v>0.72899999999999998</v>
      </c>
      <c r="AO98" s="12">
        <v>1</v>
      </c>
      <c r="AP98" s="118">
        <v>5.15</v>
      </c>
      <c r="AQ98" s="118">
        <v>15.95</v>
      </c>
      <c r="AR98" s="118">
        <v>5</v>
      </c>
      <c r="AS98" s="118">
        <v>0.5</v>
      </c>
      <c r="AT98" s="118">
        <v>4.75</v>
      </c>
      <c r="AU98" s="118">
        <v>0.4</v>
      </c>
      <c r="AV98" s="118">
        <v>0.2</v>
      </c>
      <c r="AW98" s="118">
        <v>100</v>
      </c>
      <c r="AX98" s="118">
        <v>30.43</v>
      </c>
      <c r="AY98" s="118">
        <v>50.71</v>
      </c>
      <c r="AZ98" s="118">
        <v>0</v>
      </c>
      <c r="BA98" s="118">
        <v>0</v>
      </c>
      <c r="BB98" s="118">
        <v>0.01</v>
      </c>
      <c r="BC98" s="118">
        <v>0.1</v>
      </c>
      <c r="BD98" s="118">
        <v>0</v>
      </c>
      <c r="BE98" s="118">
        <v>0</v>
      </c>
      <c r="BF98" s="118">
        <v>0</v>
      </c>
      <c r="BG98" s="118">
        <v>0.3</v>
      </c>
      <c r="BH98" s="12">
        <v>0</v>
      </c>
      <c r="BI98" s="12">
        <v>0</v>
      </c>
      <c r="BJ98" s="12">
        <v>0</v>
      </c>
      <c r="BK98" s="12">
        <v>0</v>
      </c>
      <c r="BL98" s="12">
        <v>0</v>
      </c>
      <c r="BM98" s="12">
        <v>0</v>
      </c>
      <c r="BN98" s="12">
        <v>0</v>
      </c>
      <c r="BO98" s="12" t="s">
        <v>1574</v>
      </c>
    </row>
    <row r="99" spans="1:67" x14ac:dyDescent="0.3">
      <c r="A99" s="12">
        <v>94</v>
      </c>
      <c r="B99" s="12" t="s">
        <v>487</v>
      </c>
      <c r="C99" s="118">
        <v>25</v>
      </c>
      <c r="D99" s="118">
        <v>0.5</v>
      </c>
      <c r="E99" s="118">
        <v>21</v>
      </c>
      <c r="F99" s="118">
        <v>7</v>
      </c>
      <c r="G99" s="118">
        <v>4</v>
      </c>
      <c r="H99" s="118">
        <v>0.7</v>
      </c>
      <c r="I99" s="118">
        <v>15.01</v>
      </c>
      <c r="J99" s="118">
        <v>50.95</v>
      </c>
      <c r="K99" s="118">
        <v>1</v>
      </c>
      <c r="L99" s="118">
        <v>1</v>
      </c>
      <c r="M99" s="141">
        <v>2</v>
      </c>
      <c r="N99" s="118">
        <v>0.01</v>
      </c>
      <c r="O99" s="118">
        <v>0.85</v>
      </c>
      <c r="P99" s="118">
        <v>25</v>
      </c>
      <c r="Q99" s="118">
        <v>0.7</v>
      </c>
      <c r="R99" s="118">
        <v>2</v>
      </c>
      <c r="S99" s="119">
        <v>660.34</v>
      </c>
      <c r="T99" s="119">
        <v>4.7199999999999999E-2</v>
      </c>
      <c r="U99" s="119">
        <v>5.0000000000000001E-3</v>
      </c>
      <c r="V99" s="119">
        <v>1.32E-2</v>
      </c>
      <c r="W99" s="119">
        <v>0.25</v>
      </c>
      <c r="X99" s="119">
        <v>0.6</v>
      </c>
      <c r="Y99" s="119">
        <v>2.2000000000000002</v>
      </c>
      <c r="Z99" s="119">
        <v>0</v>
      </c>
      <c r="AA99" s="119">
        <v>0</v>
      </c>
      <c r="AB99" s="119">
        <v>0.81</v>
      </c>
      <c r="AC99" s="119">
        <v>4.5999999999999999E-2</v>
      </c>
      <c r="AD99" s="119">
        <v>0.03</v>
      </c>
      <c r="AE99" s="119">
        <v>2.3E-2</v>
      </c>
      <c r="AF99" s="119">
        <v>4.7999999999999996E-3</v>
      </c>
      <c r="AG99" s="119">
        <v>3.0000000000000001E-3</v>
      </c>
      <c r="AH99" s="119">
        <v>2.5000000000000001E-3</v>
      </c>
      <c r="AI99" s="119">
        <v>0.03</v>
      </c>
      <c r="AJ99" s="119">
        <v>2.5000000000000001E-2</v>
      </c>
      <c r="AK99" s="119">
        <v>1.7000000000000001E-2</v>
      </c>
      <c r="AL99" s="119">
        <v>1.266</v>
      </c>
      <c r="AM99" s="119">
        <v>0.63300000000000001</v>
      </c>
      <c r="AN99" s="119">
        <v>0.72899999999999998</v>
      </c>
      <c r="AO99" s="12">
        <v>1</v>
      </c>
      <c r="AP99" s="118">
        <v>5.15</v>
      </c>
      <c r="AQ99" s="118">
        <v>15.95</v>
      </c>
      <c r="AR99" s="118">
        <v>5</v>
      </c>
      <c r="AS99" s="118">
        <v>0.5</v>
      </c>
      <c r="AT99" s="118">
        <v>4.75</v>
      </c>
      <c r="AU99" s="118">
        <v>0.4</v>
      </c>
      <c r="AV99" s="118">
        <v>0.2</v>
      </c>
      <c r="AW99" s="118">
        <v>100</v>
      </c>
      <c r="AX99" s="118">
        <v>30.43</v>
      </c>
      <c r="AY99" s="118">
        <v>50.71</v>
      </c>
      <c r="AZ99" s="118">
        <v>0</v>
      </c>
      <c r="BA99" s="118">
        <v>0</v>
      </c>
      <c r="BB99" s="118">
        <v>0.01</v>
      </c>
      <c r="BC99" s="118">
        <v>0.1</v>
      </c>
      <c r="BD99" s="118">
        <v>0</v>
      </c>
      <c r="BE99" s="118">
        <v>0</v>
      </c>
      <c r="BF99" s="118">
        <v>0</v>
      </c>
      <c r="BG99" s="118">
        <v>0.3</v>
      </c>
      <c r="BH99" s="12">
        <v>0</v>
      </c>
      <c r="BI99" s="12">
        <v>0</v>
      </c>
      <c r="BJ99" s="12">
        <v>0</v>
      </c>
      <c r="BK99" s="12">
        <v>0</v>
      </c>
      <c r="BL99" s="12">
        <v>0</v>
      </c>
      <c r="BM99" s="12">
        <v>0</v>
      </c>
      <c r="BN99" s="12">
        <v>0</v>
      </c>
      <c r="BO99" s="12" t="s">
        <v>1575</v>
      </c>
    </row>
    <row r="100" spans="1:67" x14ac:dyDescent="0.3">
      <c r="A100" s="12">
        <v>95</v>
      </c>
      <c r="B100" s="12" t="s">
        <v>488</v>
      </c>
      <c r="C100" s="118">
        <v>12</v>
      </c>
      <c r="D100" s="118">
        <v>0.15</v>
      </c>
      <c r="E100" s="118">
        <v>25</v>
      </c>
      <c r="F100" s="118">
        <v>8</v>
      </c>
      <c r="G100" s="118">
        <v>1.7</v>
      </c>
      <c r="H100" s="118">
        <v>0.35</v>
      </c>
      <c r="I100" s="118">
        <v>5.05</v>
      </c>
      <c r="J100" s="118">
        <v>30.7</v>
      </c>
      <c r="K100" s="118">
        <v>0.1</v>
      </c>
      <c r="L100" s="118">
        <v>10</v>
      </c>
      <c r="M100" s="141">
        <v>4</v>
      </c>
      <c r="N100" s="118">
        <v>7.0000000000000001E-3</v>
      </c>
      <c r="O100" s="118">
        <v>0.85</v>
      </c>
      <c r="P100" s="118">
        <v>5</v>
      </c>
      <c r="Q100" s="118">
        <v>0.8</v>
      </c>
      <c r="R100" s="118">
        <v>2</v>
      </c>
      <c r="S100" s="119">
        <v>660.14</v>
      </c>
      <c r="T100" s="119">
        <v>1.7000000000000001E-2</v>
      </c>
      <c r="U100" s="119">
        <v>1E-3</v>
      </c>
      <c r="V100" s="119">
        <v>6.0000000000000001E-3</v>
      </c>
      <c r="W100" s="119">
        <v>0.08</v>
      </c>
      <c r="X100" s="119">
        <v>0.6</v>
      </c>
      <c r="Y100" s="119">
        <v>2.2000000000000002</v>
      </c>
      <c r="Z100" s="119">
        <v>0</v>
      </c>
      <c r="AA100" s="119">
        <v>0</v>
      </c>
      <c r="AB100" s="119">
        <v>0.11</v>
      </c>
      <c r="AC100" s="119">
        <v>0.03</v>
      </c>
      <c r="AD100" s="119">
        <v>1.6E-2</v>
      </c>
      <c r="AE100" s="119">
        <v>8.0000000000000002E-3</v>
      </c>
      <c r="AF100" s="119">
        <v>1.8E-3</v>
      </c>
      <c r="AG100" s="119">
        <v>1E-3</v>
      </c>
      <c r="AH100" s="119">
        <v>8.0000000000000004E-4</v>
      </c>
      <c r="AI100" s="119">
        <v>2.5000000000000001E-2</v>
      </c>
      <c r="AJ100" s="119">
        <v>1.4999999999999999E-2</v>
      </c>
      <c r="AK100" s="119">
        <v>0.01</v>
      </c>
      <c r="AL100" s="119">
        <v>3.39</v>
      </c>
      <c r="AM100" s="119">
        <v>3.39</v>
      </c>
      <c r="AN100" s="119">
        <v>3.39</v>
      </c>
      <c r="AO100" s="12">
        <v>6</v>
      </c>
      <c r="AP100" s="118">
        <v>5.01</v>
      </c>
      <c r="AQ100" s="118">
        <v>15.95</v>
      </c>
      <c r="AR100" s="118">
        <v>8</v>
      </c>
      <c r="AS100" s="118">
        <v>0.5</v>
      </c>
      <c r="AT100" s="118">
        <v>4.75</v>
      </c>
      <c r="AU100" s="118">
        <v>0.4</v>
      </c>
      <c r="AV100" s="118">
        <v>0.2</v>
      </c>
      <c r="AW100" s="118">
        <v>100</v>
      </c>
      <c r="AX100" s="118">
        <v>22.5</v>
      </c>
      <c r="AY100" s="118">
        <v>40.71</v>
      </c>
      <c r="AZ100" s="118">
        <v>0</v>
      </c>
      <c r="BA100" s="118">
        <v>0</v>
      </c>
      <c r="BB100" s="118">
        <v>0.01</v>
      </c>
      <c r="BC100" s="118">
        <v>0.1</v>
      </c>
      <c r="BD100" s="118">
        <v>0</v>
      </c>
      <c r="BE100" s="118">
        <v>0</v>
      </c>
      <c r="BF100" s="118">
        <v>0</v>
      </c>
      <c r="BG100" s="118">
        <v>0.3</v>
      </c>
      <c r="BH100" s="12">
        <v>1</v>
      </c>
      <c r="BI100" s="12">
        <v>0</v>
      </c>
      <c r="BJ100" s="12">
        <v>0</v>
      </c>
      <c r="BK100" s="12">
        <v>0</v>
      </c>
      <c r="BL100" s="12">
        <v>0</v>
      </c>
      <c r="BM100" s="12">
        <v>0</v>
      </c>
      <c r="BN100" s="12">
        <v>0</v>
      </c>
      <c r="BO100" s="12" t="s">
        <v>3838</v>
      </c>
    </row>
    <row r="101" spans="1:67" x14ac:dyDescent="0.3">
      <c r="A101" s="12">
        <v>96</v>
      </c>
      <c r="B101" s="12" t="s">
        <v>489</v>
      </c>
      <c r="C101" s="118">
        <v>25</v>
      </c>
      <c r="D101" s="118">
        <v>0.15</v>
      </c>
      <c r="E101" s="118">
        <v>25</v>
      </c>
      <c r="F101" s="118">
        <v>8</v>
      </c>
      <c r="G101" s="118">
        <v>7.6</v>
      </c>
      <c r="H101" s="118">
        <v>0.9</v>
      </c>
      <c r="I101" s="118">
        <v>15.01</v>
      </c>
      <c r="J101" s="118">
        <v>50.95</v>
      </c>
      <c r="K101" s="118">
        <v>0.5</v>
      </c>
      <c r="L101" s="118">
        <v>10</v>
      </c>
      <c r="M101" s="141">
        <v>4</v>
      </c>
      <c r="N101" s="118">
        <v>7.0000000000000001E-3</v>
      </c>
      <c r="O101" s="118">
        <v>0.85</v>
      </c>
      <c r="P101" s="118">
        <v>5</v>
      </c>
      <c r="Q101" s="118">
        <v>0.8</v>
      </c>
      <c r="R101" s="118">
        <v>2</v>
      </c>
      <c r="S101" s="119">
        <v>660.18</v>
      </c>
      <c r="T101" s="119">
        <v>1.7999999999999999E-2</v>
      </c>
      <c r="U101" s="119">
        <v>1E-3</v>
      </c>
      <c r="V101" s="119">
        <v>6.0000000000000001E-3</v>
      </c>
      <c r="W101" s="119">
        <v>0.08</v>
      </c>
      <c r="X101" s="119">
        <v>0.6</v>
      </c>
      <c r="Y101" s="119">
        <v>2.2000000000000002</v>
      </c>
      <c r="Z101" s="119">
        <v>0</v>
      </c>
      <c r="AA101" s="119">
        <v>0</v>
      </c>
      <c r="AB101" s="119">
        <v>0.13</v>
      </c>
      <c r="AC101" s="119">
        <v>0.03</v>
      </c>
      <c r="AD101" s="119">
        <v>1.7000000000000001E-2</v>
      </c>
      <c r="AE101" s="119">
        <v>0.01</v>
      </c>
      <c r="AF101" s="119">
        <v>2.0999999999999999E-3</v>
      </c>
      <c r="AG101" s="119">
        <v>1E-3</v>
      </c>
      <c r="AH101" s="119">
        <v>8.0000000000000004E-4</v>
      </c>
      <c r="AI101" s="119">
        <v>2.5000000000000001E-2</v>
      </c>
      <c r="AJ101" s="119">
        <v>1.4999999999999999E-2</v>
      </c>
      <c r="AK101" s="119">
        <v>0.01</v>
      </c>
      <c r="AL101" s="119">
        <v>3.39</v>
      </c>
      <c r="AM101" s="119">
        <v>3.39</v>
      </c>
      <c r="AN101" s="119">
        <v>3.39</v>
      </c>
      <c r="AO101" s="12">
        <v>6</v>
      </c>
      <c r="AP101" s="118">
        <v>1.01</v>
      </c>
      <c r="AQ101" s="118">
        <v>5.95</v>
      </c>
      <c r="AR101" s="118">
        <v>8</v>
      </c>
      <c r="AS101" s="118">
        <v>0.5</v>
      </c>
      <c r="AT101" s="118">
        <v>4.75</v>
      </c>
      <c r="AU101" s="118">
        <v>0.4</v>
      </c>
      <c r="AV101" s="118">
        <v>0.2</v>
      </c>
      <c r="AW101" s="118">
        <v>100</v>
      </c>
      <c r="AX101" s="118">
        <v>22.5</v>
      </c>
      <c r="AY101" s="118">
        <v>40.71</v>
      </c>
      <c r="AZ101" s="118">
        <v>0</v>
      </c>
      <c r="BA101" s="118">
        <v>0</v>
      </c>
      <c r="BB101" s="118">
        <v>0.01</v>
      </c>
      <c r="BC101" s="118">
        <v>0.1</v>
      </c>
      <c r="BD101" s="118">
        <v>0</v>
      </c>
      <c r="BE101" s="118">
        <v>0</v>
      </c>
      <c r="BF101" s="118">
        <v>0</v>
      </c>
      <c r="BG101" s="118">
        <v>0.3</v>
      </c>
      <c r="BH101" s="12">
        <v>1</v>
      </c>
      <c r="BI101" s="12">
        <v>0</v>
      </c>
      <c r="BJ101" s="12">
        <v>0</v>
      </c>
      <c r="BK101" s="12">
        <v>0</v>
      </c>
      <c r="BL101" s="12">
        <v>0</v>
      </c>
      <c r="BM101" s="12">
        <v>0</v>
      </c>
      <c r="BN101" s="12">
        <v>0</v>
      </c>
      <c r="BO101" s="12" t="s">
        <v>3839</v>
      </c>
    </row>
    <row r="102" spans="1:67" x14ac:dyDescent="0.3">
      <c r="A102" s="12">
        <v>97</v>
      </c>
      <c r="B102" s="12" t="s">
        <v>490</v>
      </c>
      <c r="C102" s="118">
        <v>22</v>
      </c>
      <c r="D102" s="118">
        <v>0.15</v>
      </c>
      <c r="E102" s="118">
        <v>25</v>
      </c>
      <c r="F102" s="118">
        <v>8</v>
      </c>
      <c r="G102" s="118">
        <v>4.8</v>
      </c>
      <c r="H102" s="118">
        <v>0.4</v>
      </c>
      <c r="I102" s="118">
        <v>5.18</v>
      </c>
      <c r="J102" s="118">
        <v>25.9</v>
      </c>
      <c r="K102" s="118">
        <v>0.2</v>
      </c>
      <c r="L102" s="118">
        <v>10</v>
      </c>
      <c r="M102" s="141">
        <v>4</v>
      </c>
      <c r="N102" s="118">
        <v>7.0000000000000001E-3</v>
      </c>
      <c r="O102" s="118">
        <v>0.85</v>
      </c>
      <c r="P102" s="118">
        <v>5</v>
      </c>
      <c r="Q102" s="118">
        <v>0.8</v>
      </c>
      <c r="R102" s="118">
        <v>2</v>
      </c>
      <c r="S102" s="119">
        <v>660.25</v>
      </c>
      <c r="T102" s="119">
        <v>1.4999999999999999E-2</v>
      </c>
      <c r="U102" s="119">
        <v>1E-3</v>
      </c>
      <c r="V102" s="119">
        <v>6.0000000000000001E-3</v>
      </c>
      <c r="W102" s="119">
        <v>0.08</v>
      </c>
      <c r="X102" s="119">
        <v>0.6</v>
      </c>
      <c r="Y102" s="119">
        <v>2.2000000000000002</v>
      </c>
      <c r="Z102" s="119">
        <v>0</v>
      </c>
      <c r="AA102" s="119">
        <v>0</v>
      </c>
      <c r="AB102" s="119">
        <v>0.12</v>
      </c>
      <c r="AC102" s="119">
        <v>0.03</v>
      </c>
      <c r="AD102" s="119">
        <v>1.4999999999999999E-2</v>
      </c>
      <c r="AE102" s="119">
        <v>8.5000000000000006E-3</v>
      </c>
      <c r="AF102" s="119">
        <v>1.8E-3</v>
      </c>
      <c r="AG102" s="119">
        <v>1E-3</v>
      </c>
      <c r="AH102" s="119">
        <v>8.0000000000000004E-4</v>
      </c>
      <c r="AI102" s="119">
        <v>2.5000000000000001E-2</v>
      </c>
      <c r="AJ102" s="119">
        <v>1.4999999999999999E-2</v>
      </c>
      <c r="AK102" s="119">
        <v>0.01</v>
      </c>
      <c r="AL102" s="119">
        <v>3.39</v>
      </c>
      <c r="AM102" s="119">
        <v>3.39</v>
      </c>
      <c r="AN102" s="119">
        <v>3.39</v>
      </c>
      <c r="AO102" s="12">
        <v>6</v>
      </c>
      <c r="AP102" s="118">
        <v>5.01</v>
      </c>
      <c r="AQ102" s="118">
        <v>15.95</v>
      </c>
      <c r="AR102" s="118">
        <v>8</v>
      </c>
      <c r="AS102" s="118">
        <v>0.5</v>
      </c>
      <c r="AT102" s="118">
        <v>4.75</v>
      </c>
      <c r="AU102" s="118">
        <v>0.4</v>
      </c>
      <c r="AV102" s="118">
        <v>0.2</v>
      </c>
      <c r="AW102" s="118">
        <v>100</v>
      </c>
      <c r="AX102" s="118">
        <v>22.5</v>
      </c>
      <c r="AY102" s="118">
        <v>40.71</v>
      </c>
      <c r="AZ102" s="118">
        <v>0</v>
      </c>
      <c r="BA102" s="118">
        <v>0</v>
      </c>
      <c r="BB102" s="118">
        <v>0.01</v>
      </c>
      <c r="BC102" s="118">
        <v>0.1</v>
      </c>
      <c r="BD102" s="118">
        <v>0</v>
      </c>
      <c r="BE102" s="118">
        <v>0</v>
      </c>
      <c r="BF102" s="118">
        <v>0</v>
      </c>
      <c r="BG102" s="118">
        <v>0.3</v>
      </c>
      <c r="BH102" s="12">
        <v>1</v>
      </c>
      <c r="BI102" s="12">
        <v>0</v>
      </c>
      <c r="BJ102" s="12">
        <v>0</v>
      </c>
      <c r="BK102" s="12">
        <v>0</v>
      </c>
      <c r="BL102" s="12">
        <v>0</v>
      </c>
      <c r="BM102" s="12">
        <v>0</v>
      </c>
      <c r="BN102" s="12">
        <v>0</v>
      </c>
      <c r="BO102" s="12" t="s">
        <v>3840</v>
      </c>
    </row>
    <row r="103" spans="1:67" x14ac:dyDescent="0.3">
      <c r="A103" s="12">
        <v>98</v>
      </c>
      <c r="B103" s="12" t="s">
        <v>491</v>
      </c>
      <c r="C103" s="118">
        <v>35</v>
      </c>
      <c r="D103" s="118">
        <v>0.15</v>
      </c>
      <c r="E103" s="118">
        <v>30</v>
      </c>
      <c r="F103" s="118">
        <v>11</v>
      </c>
      <c r="G103" s="118">
        <v>5</v>
      </c>
      <c r="H103" s="118">
        <v>0.5</v>
      </c>
      <c r="I103" s="118">
        <v>15.05</v>
      </c>
      <c r="J103" s="118">
        <v>57.95</v>
      </c>
      <c r="K103" s="118">
        <v>1</v>
      </c>
      <c r="L103" s="118">
        <v>1</v>
      </c>
      <c r="M103" s="141">
        <v>3</v>
      </c>
      <c r="N103" s="118">
        <v>7.0000000000000001E-3</v>
      </c>
      <c r="O103" s="118">
        <v>0.85</v>
      </c>
      <c r="P103" s="118">
        <v>20</v>
      </c>
      <c r="Q103" s="118">
        <v>1</v>
      </c>
      <c r="R103" s="118">
        <v>2</v>
      </c>
      <c r="S103" s="119">
        <v>660.4</v>
      </c>
      <c r="T103" s="119">
        <v>1.4999999999999999E-2</v>
      </c>
      <c r="U103" s="119">
        <v>2.8E-3</v>
      </c>
      <c r="V103" s="119">
        <v>0.01</v>
      </c>
      <c r="W103" s="119">
        <v>0.08</v>
      </c>
      <c r="X103" s="119">
        <v>0.6</v>
      </c>
      <c r="Y103" s="119">
        <v>2.2000000000000002</v>
      </c>
      <c r="Z103" s="119">
        <v>0</v>
      </c>
      <c r="AA103" s="119">
        <v>0</v>
      </c>
      <c r="AB103" s="119">
        <v>0.14000000000000001</v>
      </c>
      <c r="AC103" s="119">
        <v>0.3</v>
      </c>
      <c r="AD103" s="119">
        <v>1.6400000000000001E-2</v>
      </c>
      <c r="AE103" s="119">
        <v>1.2800000000000001E-2</v>
      </c>
      <c r="AF103" s="119">
        <v>6.0000000000000001E-3</v>
      </c>
      <c r="AG103" s="119">
        <v>2.8E-3</v>
      </c>
      <c r="AH103" s="119">
        <v>1E-3</v>
      </c>
      <c r="AI103" s="119">
        <v>0</v>
      </c>
      <c r="AJ103" s="119">
        <v>0</v>
      </c>
      <c r="AK103" s="119">
        <v>0</v>
      </c>
      <c r="AL103" s="119">
        <v>3.39</v>
      </c>
      <c r="AM103" s="119">
        <v>3.39</v>
      </c>
      <c r="AN103" s="119">
        <v>1.61</v>
      </c>
      <c r="AO103" s="12">
        <v>4</v>
      </c>
      <c r="AP103" s="118">
        <v>5.15</v>
      </c>
      <c r="AQ103" s="118">
        <v>15.95</v>
      </c>
      <c r="AR103" s="118">
        <v>8</v>
      </c>
      <c r="AS103" s="118">
        <v>0.5</v>
      </c>
      <c r="AT103" s="118">
        <v>4.75</v>
      </c>
      <c r="AU103" s="118">
        <v>0.4</v>
      </c>
      <c r="AV103" s="118">
        <v>0.2</v>
      </c>
      <c r="AW103" s="118">
        <v>100</v>
      </c>
      <c r="AX103" s="118">
        <v>1.1000000000000001</v>
      </c>
      <c r="AY103" s="118">
        <v>10.95</v>
      </c>
      <c r="AZ103" s="118">
        <v>0</v>
      </c>
      <c r="BA103" s="118">
        <v>0</v>
      </c>
      <c r="BB103" s="118">
        <v>0.01</v>
      </c>
      <c r="BC103" s="118">
        <v>0.1</v>
      </c>
      <c r="BD103" s="118">
        <v>0</v>
      </c>
      <c r="BE103" s="118">
        <v>0</v>
      </c>
      <c r="BF103" s="118">
        <v>0</v>
      </c>
      <c r="BG103" s="118">
        <v>0.3</v>
      </c>
      <c r="BH103" s="12">
        <v>1</v>
      </c>
      <c r="BI103" s="12">
        <v>0</v>
      </c>
      <c r="BJ103" s="12">
        <v>0</v>
      </c>
      <c r="BK103" s="12">
        <v>0</v>
      </c>
      <c r="BL103" s="12">
        <v>0</v>
      </c>
      <c r="BM103" s="12">
        <v>0</v>
      </c>
      <c r="BN103" s="12">
        <v>0</v>
      </c>
      <c r="BO103" s="12" t="s">
        <v>1576</v>
      </c>
    </row>
    <row r="104" spans="1:67" x14ac:dyDescent="0.3">
      <c r="A104" s="12">
        <v>99</v>
      </c>
      <c r="B104" s="12" t="s">
        <v>492</v>
      </c>
      <c r="C104" s="118">
        <v>37</v>
      </c>
      <c r="D104" s="118">
        <v>0.1</v>
      </c>
      <c r="E104" s="118">
        <v>25</v>
      </c>
      <c r="F104" s="118">
        <v>10</v>
      </c>
      <c r="G104" s="118">
        <v>5</v>
      </c>
      <c r="H104" s="118">
        <v>0.6</v>
      </c>
      <c r="I104" s="118">
        <v>15.05</v>
      </c>
      <c r="J104" s="118">
        <v>54.95</v>
      </c>
      <c r="K104" s="118">
        <v>2</v>
      </c>
      <c r="L104" s="118">
        <v>1</v>
      </c>
      <c r="M104" s="141">
        <v>3</v>
      </c>
      <c r="N104" s="118">
        <v>7.0000000000000001E-3</v>
      </c>
      <c r="O104" s="118">
        <v>0.85</v>
      </c>
      <c r="P104" s="118">
        <v>35</v>
      </c>
      <c r="Q104" s="118">
        <v>1</v>
      </c>
      <c r="R104" s="118">
        <v>2</v>
      </c>
      <c r="S104" s="119">
        <v>660.5</v>
      </c>
      <c r="T104" s="119">
        <v>1.4999999999999999E-2</v>
      </c>
      <c r="U104" s="119">
        <v>9.1000000000000004E-3</v>
      </c>
      <c r="V104" s="119">
        <v>0.01</v>
      </c>
      <c r="W104" s="119">
        <v>0.05</v>
      </c>
      <c r="X104" s="119">
        <v>0.6</v>
      </c>
      <c r="Y104" s="119">
        <v>2.2000000000000002</v>
      </c>
      <c r="Z104" s="119">
        <v>0</v>
      </c>
      <c r="AA104" s="119">
        <v>0</v>
      </c>
      <c r="AB104" s="119">
        <v>0.13</v>
      </c>
      <c r="AC104" s="119">
        <v>0.03</v>
      </c>
      <c r="AD104" s="119">
        <v>2.6499999999999999E-2</v>
      </c>
      <c r="AE104" s="119">
        <v>2.58E-2</v>
      </c>
      <c r="AF104" s="119">
        <v>7.4000000000000003E-3</v>
      </c>
      <c r="AG104" s="119">
        <v>3.7000000000000002E-3</v>
      </c>
      <c r="AH104" s="119">
        <v>3.5000000000000001E-3</v>
      </c>
      <c r="AI104" s="119">
        <v>2.3E-2</v>
      </c>
      <c r="AJ104" s="119">
        <v>1.09E-2</v>
      </c>
      <c r="AK104" s="119">
        <v>8.8999999999999999E-3</v>
      </c>
      <c r="AL104" s="119">
        <v>3.39</v>
      </c>
      <c r="AM104" s="119">
        <v>3.39</v>
      </c>
      <c r="AN104" s="119">
        <v>1.61</v>
      </c>
      <c r="AO104" s="12">
        <v>4</v>
      </c>
      <c r="AP104" s="118">
        <v>5.15</v>
      </c>
      <c r="AQ104" s="118">
        <v>15.95</v>
      </c>
      <c r="AR104" s="118">
        <v>8</v>
      </c>
      <c r="AS104" s="118">
        <v>0.5</v>
      </c>
      <c r="AT104" s="118">
        <v>4.75</v>
      </c>
      <c r="AU104" s="118">
        <v>0.4</v>
      </c>
      <c r="AV104" s="118">
        <v>0.2</v>
      </c>
      <c r="AW104" s="118">
        <v>100</v>
      </c>
      <c r="AX104" s="118">
        <v>30.3</v>
      </c>
      <c r="AY104" s="118">
        <v>70.75</v>
      </c>
      <c r="AZ104" s="118">
        <v>0</v>
      </c>
      <c r="BA104" s="118">
        <v>0</v>
      </c>
      <c r="BB104" s="118">
        <v>0.01</v>
      </c>
      <c r="BC104" s="118">
        <v>0.1</v>
      </c>
      <c r="BD104" s="118">
        <v>0</v>
      </c>
      <c r="BE104" s="118">
        <v>0</v>
      </c>
      <c r="BF104" s="118">
        <v>0</v>
      </c>
      <c r="BG104" s="118">
        <v>0.3</v>
      </c>
      <c r="BH104" s="12">
        <v>0</v>
      </c>
      <c r="BI104" s="12">
        <v>0</v>
      </c>
      <c r="BJ104" s="12">
        <v>0</v>
      </c>
      <c r="BK104" s="12">
        <v>0</v>
      </c>
      <c r="BL104" s="12">
        <v>0</v>
      </c>
      <c r="BM104" s="12">
        <v>0</v>
      </c>
      <c r="BN104" s="12">
        <v>0</v>
      </c>
      <c r="BO104" s="12" t="s">
        <v>1577</v>
      </c>
    </row>
    <row r="105" spans="1:67" x14ac:dyDescent="0.3">
      <c r="A105" s="12">
        <v>100</v>
      </c>
      <c r="B105" s="12" t="s">
        <v>493</v>
      </c>
      <c r="C105" s="118">
        <v>33</v>
      </c>
      <c r="D105" s="118">
        <v>0.4</v>
      </c>
      <c r="E105" s="118">
        <v>25</v>
      </c>
      <c r="F105" s="118">
        <v>10</v>
      </c>
      <c r="G105" s="118">
        <v>2.5</v>
      </c>
      <c r="H105" s="118">
        <v>0.6</v>
      </c>
      <c r="I105" s="118">
        <v>15.05</v>
      </c>
      <c r="J105" s="118">
        <v>50.95</v>
      </c>
      <c r="K105" s="118">
        <v>0.5</v>
      </c>
      <c r="L105" s="118">
        <v>1</v>
      </c>
      <c r="M105" s="141">
        <v>3</v>
      </c>
      <c r="N105" s="118">
        <v>7.0000000000000001E-3</v>
      </c>
      <c r="O105" s="118">
        <v>0.85</v>
      </c>
      <c r="P105" s="118">
        <v>35</v>
      </c>
      <c r="Q105" s="118">
        <v>1</v>
      </c>
      <c r="R105" s="118">
        <v>2</v>
      </c>
      <c r="S105" s="119">
        <v>660.45</v>
      </c>
      <c r="T105" s="119">
        <v>6.5000000000000002E-2</v>
      </c>
      <c r="U105" s="119">
        <v>9.1000000000000004E-3</v>
      </c>
      <c r="V105" s="119">
        <v>0</v>
      </c>
      <c r="W105" s="119">
        <v>0.2</v>
      </c>
      <c r="X105" s="119">
        <v>0.6</v>
      </c>
      <c r="Y105" s="119">
        <v>2.2000000000000002</v>
      </c>
      <c r="Z105" s="119">
        <v>0</v>
      </c>
      <c r="AA105" s="119">
        <v>0</v>
      </c>
      <c r="AB105" s="119">
        <v>0.1</v>
      </c>
      <c r="AC105" s="119">
        <v>0.03</v>
      </c>
      <c r="AD105" s="119">
        <v>2.6499999999999999E-2</v>
      </c>
      <c r="AE105" s="119">
        <v>2.58E-2</v>
      </c>
      <c r="AF105" s="119">
        <v>7.4000000000000003E-3</v>
      </c>
      <c r="AG105" s="119">
        <v>3.7000000000000002E-3</v>
      </c>
      <c r="AH105" s="119">
        <v>3.5000000000000001E-3</v>
      </c>
      <c r="AI105" s="119">
        <v>0</v>
      </c>
      <c r="AJ105" s="119">
        <v>0</v>
      </c>
      <c r="AK105" s="119">
        <v>0</v>
      </c>
      <c r="AL105" s="119">
        <v>1.266</v>
      </c>
      <c r="AM105" s="119">
        <v>0.63300000000000001</v>
      </c>
      <c r="AN105" s="119">
        <v>0.72899999999999998</v>
      </c>
      <c r="AO105" s="12">
        <v>4</v>
      </c>
      <c r="AP105" s="118">
        <v>5.15</v>
      </c>
      <c r="AQ105" s="118">
        <v>15.95</v>
      </c>
      <c r="AR105" s="118">
        <v>8</v>
      </c>
      <c r="AS105" s="118">
        <v>0.5</v>
      </c>
      <c r="AT105" s="118">
        <v>4.75</v>
      </c>
      <c r="AU105" s="118">
        <v>0.4</v>
      </c>
      <c r="AV105" s="118">
        <v>0.2</v>
      </c>
      <c r="AW105" s="118">
        <v>100</v>
      </c>
      <c r="AX105" s="118">
        <v>1.6</v>
      </c>
      <c r="AY105" s="118">
        <v>3.95</v>
      </c>
      <c r="AZ105" s="118">
        <v>0</v>
      </c>
      <c r="BA105" s="118">
        <v>0</v>
      </c>
      <c r="BB105" s="118">
        <v>0.01</v>
      </c>
      <c r="BC105" s="118">
        <v>0.1</v>
      </c>
      <c r="BD105" s="118">
        <v>0</v>
      </c>
      <c r="BE105" s="118">
        <v>0</v>
      </c>
      <c r="BF105" s="118">
        <v>0</v>
      </c>
      <c r="BG105" s="118">
        <v>0.3</v>
      </c>
      <c r="BH105" s="12">
        <v>4</v>
      </c>
      <c r="BI105" s="12">
        <v>0</v>
      </c>
      <c r="BJ105" s="12">
        <v>0</v>
      </c>
      <c r="BK105" s="12">
        <v>0</v>
      </c>
      <c r="BL105" s="12">
        <v>0</v>
      </c>
      <c r="BM105" s="12">
        <v>0</v>
      </c>
      <c r="BN105" s="12">
        <v>0</v>
      </c>
      <c r="BO105" s="12" t="s">
        <v>1578</v>
      </c>
    </row>
    <row r="106" spans="1:67" x14ac:dyDescent="0.3">
      <c r="A106" s="12">
        <v>101</v>
      </c>
      <c r="B106" s="12" t="s">
        <v>494</v>
      </c>
      <c r="C106" s="118">
        <v>27</v>
      </c>
      <c r="D106" s="118">
        <v>0.02</v>
      </c>
      <c r="E106" s="118">
        <v>25</v>
      </c>
      <c r="F106" s="118">
        <v>4</v>
      </c>
      <c r="G106" s="118">
        <v>3.8</v>
      </c>
      <c r="H106" s="118">
        <v>0.9</v>
      </c>
      <c r="I106" s="118">
        <v>15.05</v>
      </c>
      <c r="J106" s="118">
        <v>50.95</v>
      </c>
      <c r="K106" s="118">
        <v>1</v>
      </c>
      <c r="L106" s="118">
        <v>1</v>
      </c>
      <c r="M106" s="141">
        <v>3</v>
      </c>
      <c r="N106" s="118">
        <v>7.0000000000000001E-3</v>
      </c>
      <c r="O106" s="118">
        <v>0.85</v>
      </c>
      <c r="P106" s="118">
        <v>35</v>
      </c>
      <c r="Q106" s="118">
        <v>1.25</v>
      </c>
      <c r="R106" s="118">
        <v>1</v>
      </c>
      <c r="S106" s="119">
        <v>660.36</v>
      </c>
      <c r="T106" s="119">
        <v>6.5000000000000002E-2</v>
      </c>
      <c r="U106" s="119">
        <v>9.1000000000000004E-3</v>
      </c>
      <c r="V106" s="119">
        <v>0</v>
      </c>
      <c r="W106" s="119">
        <v>0.01</v>
      </c>
      <c r="X106" s="119">
        <v>0.6</v>
      </c>
      <c r="Y106" s="119">
        <v>2.2000000000000002</v>
      </c>
      <c r="Z106" s="119">
        <v>0</v>
      </c>
      <c r="AA106" s="119">
        <v>0</v>
      </c>
      <c r="AB106" s="119">
        <v>0.13</v>
      </c>
      <c r="AC106" s="119">
        <v>0.03</v>
      </c>
      <c r="AD106" s="119">
        <v>2.6499999999999999E-2</v>
      </c>
      <c r="AE106" s="119">
        <v>2.58E-2</v>
      </c>
      <c r="AF106" s="119">
        <v>7.4000000000000003E-3</v>
      </c>
      <c r="AG106" s="119">
        <v>3.7000000000000002E-3</v>
      </c>
      <c r="AH106" s="119">
        <v>3.5000000000000001E-3</v>
      </c>
      <c r="AI106" s="119">
        <v>0</v>
      </c>
      <c r="AJ106" s="119">
        <v>0</v>
      </c>
      <c r="AK106" s="119">
        <v>0</v>
      </c>
      <c r="AL106" s="119">
        <v>1.266</v>
      </c>
      <c r="AM106" s="119">
        <v>0.63300000000000001</v>
      </c>
      <c r="AN106" s="119">
        <v>0.72899999999999998</v>
      </c>
      <c r="AO106" s="12">
        <v>4</v>
      </c>
      <c r="AP106" s="118">
        <v>5.15</v>
      </c>
      <c r="AQ106" s="118">
        <v>15.95</v>
      </c>
      <c r="AR106" s="118">
        <v>8</v>
      </c>
      <c r="AS106" s="118">
        <v>0.5</v>
      </c>
      <c r="AT106" s="118">
        <v>4.75</v>
      </c>
      <c r="AU106" s="118">
        <v>0.4</v>
      </c>
      <c r="AV106" s="118">
        <v>0.2</v>
      </c>
      <c r="AW106" s="118">
        <v>100</v>
      </c>
      <c r="AX106" s="118">
        <v>2.2200000000000002</v>
      </c>
      <c r="AY106" s="118">
        <v>5.56</v>
      </c>
      <c r="AZ106" s="118">
        <v>0</v>
      </c>
      <c r="BA106" s="118">
        <v>0</v>
      </c>
      <c r="BB106" s="118">
        <v>0.01</v>
      </c>
      <c r="BC106" s="118">
        <v>0.1</v>
      </c>
      <c r="BD106" s="118">
        <v>0</v>
      </c>
      <c r="BE106" s="118">
        <v>0</v>
      </c>
      <c r="BF106" s="118">
        <v>0</v>
      </c>
      <c r="BG106" s="118">
        <v>0.3</v>
      </c>
      <c r="BH106" s="12">
        <v>0</v>
      </c>
      <c r="BI106" s="12">
        <v>0</v>
      </c>
      <c r="BJ106" s="12">
        <v>0</v>
      </c>
      <c r="BK106" s="12">
        <v>0</v>
      </c>
      <c r="BL106" s="12">
        <v>0</v>
      </c>
      <c r="BM106" s="12">
        <v>0</v>
      </c>
      <c r="BN106" s="12">
        <v>0</v>
      </c>
      <c r="BO106" s="12" t="s">
        <v>1579</v>
      </c>
    </row>
    <row r="107" spans="1:67" x14ac:dyDescent="0.3">
      <c r="A107" s="12">
        <v>102</v>
      </c>
      <c r="B107" s="12" t="s">
        <v>495</v>
      </c>
      <c r="C107" s="118">
        <v>37</v>
      </c>
      <c r="D107" s="118">
        <v>0.15</v>
      </c>
      <c r="E107" s="118">
        <v>25</v>
      </c>
      <c r="F107" s="118">
        <v>10</v>
      </c>
      <c r="G107" s="118">
        <v>3.5</v>
      </c>
      <c r="H107" s="118">
        <v>0.6</v>
      </c>
      <c r="I107" s="118">
        <v>15.05</v>
      </c>
      <c r="J107" s="118">
        <v>54.95</v>
      </c>
      <c r="K107" s="118">
        <v>1</v>
      </c>
      <c r="L107" s="118">
        <v>1</v>
      </c>
      <c r="M107" s="141">
        <v>3</v>
      </c>
      <c r="N107" s="118">
        <v>7.0000000000000001E-3</v>
      </c>
      <c r="O107" s="118">
        <v>0.85</v>
      </c>
      <c r="P107" s="118">
        <v>35</v>
      </c>
      <c r="Q107" s="118">
        <v>0.7</v>
      </c>
      <c r="R107" s="118">
        <v>2</v>
      </c>
      <c r="S107" s="119">
        <v>660.5</v>
      </c>
      <c r="T107" s="119">
        <v>1.4999999999999999E-2</v>
      </c>
      <c r="U107" s="119">
        <v>9.1000000000000004E-3</v>
      </c>
      <c r="V107" s="119">
        <v>0.01</v>
      </c>
      <c r="W107" s="119">
        <v>0.08</v>
      </c>
      <c r="X107" s="119">
        <v>0.6</v>
      </c>
      <c r="Y107" s="119">
        <v>2.2000000000000002</v>
      </c>
      <c r="Z107" s="119">
        <v>0</v>
      </c>
      <c r="AA107" s="119">
        <v>0</v>
      </c>
      <c r="AB107" s="119">
        <v>0.13</v>
      </c>
      <c r="AC107" s="119">
        <v>0.03</v>
      </c>
      <c r="AD107" s="119">
        <v>2.6499999999999999E-2</v>
      </c>
      <c r="AE107" s="119">
        <v>2.58E-2</v>
      </c>
      <c r="AF107" s="119">
        <v>7.4000000000000003E-3</v>
      </c>
      <c r="AG107" s="119">
        <v>3.7000000000000002E-3</v>
      </c>
      <c r="AH107" s="119">
        <v>3.5000000000000001E-3</v>
      </c>
      <c r="AI107" s="119">
        <v>2.3E-2</v>
      </c>
      <c r="AJ107" s="119">
        <v>1.09E-2</v>
      </c>
      <c r="AK107" s="119">
        <v>8.8999999999999999E-3</v>
      </c>
      <c r="AL107" s="119">
        <v>3.39</v>
      </c>
      <c r="AM107" s="119">
        <v>3.39</v>
      </c>
      <c r="AN107" s="119">
        <v>1.61</v>
      </c>
      <c r="AO107" s="12">
        <v>4</v>
      </c>
      <c r="AP107" s="118">
        <v>5.15</v>
      </c>
      <c r="AQ107" s="118">
        <v>15.95</v>
      </c>
      <c r="AR107" s="118">
        <v>8</v>
      </c>
      <c r="AS107" s="118">
        <v>0.5</v>
      </c>
      <c r="AT107" s="118">
        <v>4.75</v>
      </c>
      <c r="AU107" s="118">
        <v>0.4</v>
      </c>
      <c r="AV107" s="118">
        <v>0.2</v>
      </c>
      <c r="AW107" s="118">
        <v>100</v>
      </c>
      <c r="AX107" s="118">
        <v>30.3</v>
      </c>
      <c r="AY107" s="118">
        <v>70.75</v>
      </c>
      <c r="AZ107" s="118">
        <v>0</v>
      </c>
      <c r="BA107" s="118">
        <v>0</v>
      </c>
      <c r="BB107" s="118">
        <v>0.01</v>
      </c>
      <c r="BC107" s="118">
        <v>0.1</v>
      </c>
      <c r="BD107" s="118">
        <v>0</v>
      </c>
      <c r="BE107" s="118">
        <v>0</v>
      </c>
      <c r="BF107" s="118">
        <v>0</v>
      </c>
      <c r="BG107" s="118">
        <v>0.3</v>
      </c>
      <c r="BH107" s="12">
        <v>0</v>
      </c>
      <c r="BI107" s="12">
        <v>0</v>
      </c>
      <c r="BJ107" s="12">
        <v>0</v>
      </c>
      <c r="BK107" s="12">
        <v>0</v>
      </c>
      <c r="BL107" s="12">
        <v>0</v>
      </c>
      <c r="BM107" s="12">
        <v>0</v>
      </c>
      <c r="BN107" s="12">
        <v>0</v>
      </c>
      <c r="BO107" s="12" t="s">
        <v>1580</v>
      </c>
    </row>
    <row r="108" spans="1:67" x14ac:dyDescent="0.3">
      <c r="A108" s="12">
        <v>103</v>
      </c>
      <c r="B108" s="12" t="s">
        <v>496</v>
      </c>
      <c r="C108" s="118">
        <v>35</v>
      </c>
      <c r="D108" s="118">
        <v>0.1</v>
      </c>
      <c r="E108" s="118">
        <v>25</v>
      </c>
      <c r="F108" s="118">
        <v>6</v>
      </c>
      <c r="G108" s="118">
        <v>3</v>
      </c>
      <c r="H108" s="118">
        <v>0.85</v>
      </c>
      <c r="I108" s="118">
        <v>15.05</v>
      </c>
      <c r="J108" s="118">
        <v>54.95</v>
      </c>
      <c r="K108" s="118">
        <v>2</v>
      </c>
      <c r="L108" s="118">
        <v>1</v>
      </c>
      <c r="M108" s="141">
        <v>4</v>
      </c>
      <c r="N108" s="118">
        <v>7.0000000000000001E-3</v>
      </c>
      <c r="O108" s="118">
        <v>0.85</v>
      </c>
      <c r="P108" s="118">
        <v>5</v>
      </c>
      <c r="Q108" s="118">
        <v>0.8</v>
      </c>
      <c r="R108" s="118">
        <v>1.3</v>
      </c>
      <c r="S108" s="119">
        <v>660.47</v>
      </c>
      <c r="T108" s="119">
        <v>2.3E-2</v>
      </c>
      <c r="U108" s="119">
        <v>3.3E-3</v>
      </c>
      <c r="V108" s="119">
        <v>0</v>
      </c>
      <c r="W108" s="119">
        <v>0.05</v>
      </c>
      <c r="X108" s="119">
        <v>0.6</v>
      </c>
      <c r="Y108" s="119">
        <v>2.2000000000000002</v>
      </c>
      <c r="Z108" s="119">
        <v>0</v>
      </c>
      <c r="AA108" s="119">
        <v>0</v>
      </c>
      <c r="AB108" s="119">
        <v>0.13</v>
      </c>
      <c r="AC108" s="119">
        <v>0.03</v>
      </c>
      <c r="AD108" s="119">
        <v>2.6499999999999999E-2</v>
      </c>
      <c r="AE108" s="119">
        <v>2.58E-2</v>
      </c>
      <c r="AF108" s="119">
        <v>7.4000000000000003E-3</v>
      </c>
      <c r="AG108" s="119">
        <v>3.7000000000000002E-3</v>
      </c>
      <c r="AH108" s="119">
        <v>3.5000000000000001E-3</v>
      </c>
      <c r="AI108" s="119">
        <v>0</v>
      </c>
      <c r="AJ108" s="119">
        <v>0</v>
      </c>
      <c r="AK108" s="119">
        <v>0</v>
      </c>
      <c r="AL108" s="119">
        <v>3.39</v>
      </c>
      <c r="AM108" s="119">
        <v>3.39</v>
      </c>
      <c r="AN108" s="119">
        <v>1.61</v>
      </c>
      <c r="AO108" s="12">
        <v>6</v>
      </c>
      <c r="AP108" s="118">
        <v>5.15</v>
      </c>
      <c r="AQ108" s="118">
        <v>15.95</v>
      </c>
      <c r="AR108" s="118">
        <v>8</v>
      </c>
      <c r="AS108" s="118">
        <v>0.5</v>
      </c>
      <c r="AT108" s="118">
        <v>4.75</v>
      </c>
      <c r="AU108" s="118">
        <v>0.4</v>
      </c>
      <c r="AV108" s="118">
        <v>0.2</v>
      </c>
      <c r="AW108" s="118">
        <v>100</v>
      </c>
      <c r="AX108" s="118">
        <v>30.3</v>
      </c>
      <c r="AY108" s="118">
        <v>70.75</v>
      </c>
      <c r="AZ108" s="118">
        <v>0</v>
      </c>
      <c r="BA108" s="118">
        <v>0</v>
      </c>
      <c r="BB108" s="118">
        <v>0.01</v>
      </c>
      <c r="BC108" s="118">
        <v>0.1</v>
      </c>
      <c r="BD108" s="118">
        <v>0</v>
      </c>
      <c r="BE108" s="118">
        <v>0</v>
      </c>
      <c r="BF108" s="118">
        <v>0</v>
      </c>
      <c r="BG108" s="118">
        <v>0.3</v>
      </c>
      <c r="BH108" s="12">
        <v>0</v>
      </c>
      <c r="BI108" s="12">
        <v>0</v>
      </c>
      <c r="BJ108" s="12">
        <v>0</v>
      </c>
      <c r="BK108" s="12">
        <v>0</v>
      </c>
      <c r="BL108" s="12">
        <v>0</v>
      </c>
      <c r="BM108" s="12">
        <v>0</v>
      </c>
      <c r="BN108" s="12">
        <v>0</v>
      </c>
      <c r="BO108" s="12" t="s">
        <v>1581</v>
      </c>
    </row>
    <row r="109" spans="1:67" x14ac:dyDescent="0.3">
      <c r="A109" s="12">
        <v>104</v>
      </c>
      <c r="B109" s="12" t="s">
        <v>497</v>
      </c>
      <c r="C109" s="118">
        <v>25</v>
      </c>
      <c r="D109" s="118">
        <v>0.15</v>
      </c>
      <c r="E109" s="118">
        <v>25</v>
      </c>
      <c r="F109" s="118">
        <v>12</v>
      </c>
      <c r="G109" s="118">
        <v>3</v>
      </c>
      <c r="H109" s="118">
        <v>0.35</v>
      </c>
      <c r="I109" s="118">
        <v>5.0999999999999996</v>
      </c>
      <c r="J109" s="118">
        <v>25.7</v>
      </c>
      <c r="K109" s="118">
        <v>0.5</v>
      </c>
      <c r="L109" s="118">
        <v>10</v>
      </c>
      <c r="M109" s="141">
        <v>2</v>
      </c>
      <c r="N109" s="118">
        <v>7.4000000000000003E-3</v>
      </c>
      <c r="O109" s="118">
        <v>0.85</v>
      </c>
      <c r="P109" s="118">
        <v>6</v>
      </c>
      <c r="Q109" s="118">
        <v>1</v>
      </c>
      <c r="R109" s="118">
        <v>2</v>
      </c>
      <c r="S109" s="119">
        <v>660.29</v>
      </c>
      <c r="T109" s="119">
        <v>1.06E-2</v>
      </c>
      <c r="U109" s="119">
        <v>1E-3</v>
      </c>
      <c r="V109" s="119">
        <v>6.0000000000000001E-3</v>
      </c>
      <c r="W109" s="119">
        <v>0.08</v>
      </c>
      <c r="X109" s="119">
        <v>0.6</v>
      </c>
      <c r="Y109" s="119">
        <v>2.2000000000000002</v>
      </c>
      <c r="Z109" s="119">
        <v>0</v>
      </c>
      <c r="AA109" s="119">
        <v>0</v>
      </c>
      <c r="AB109" s="119">
        <v>0.1</v>
      </c>
      <c r="AC109" s="119">
        <v>0.03</v>
      </c>
      <c r="AD109" s="119">
        <v>1.06E-2</v>
      </c>
      <c r="AE109" s="119">
        <v>7.7999999999999996E-3</v>
      </c>
      <c r="AF109" s="119">
        <v>1.8E-3</v>
      </c>
      <c r="AG109" s="119">
        <v>1E-3</v>
      </c>
      <c r="AH109" s="119">
        <v>8.0000000000000004E-4</v>
      </c>
      <c r="AI109" s="119">
        <v>2.5000000000000001E-2</v>
      </c>
      <c r="AJ109" s="119">
        <v>1.4999999999999999E-2</v>
      </c>
      <c r="AK109" s="119">
        <v>0.01</v>
      </c>
      <c r="AL109" s="119">
        <v>3.39</v>
      </c>
      <c r="AM109" s="119">
        <v>3.39</v>
      </c>
      <c r="AN109" s="119">
        <v>3.39</v>
      </c>
      <c r="AO109" s="12">
        <v>6</v>
      </c>
      <c r="AP109" s="118">
        <v>1.01</v>
      </c>
      <c r="AQ109" s="118">
        <v>5.95</v>
      </c>
      <c r="AR109" s="118">
        <v>8</v>
      </c>
      <c r="AS109" s="118">
        <v>0.5</v>
      </c>
      <c r="AT109" s="118">
        <v>4.75</v>
      </c>
      <c r="AU109" s="118">
        <v>0.4</v>
      </c>
      <c r="AV109" s="118">
        <v>0.2</v>
      </c>
      <c r="AW109" s="118">
        <v>100</v>
      </c>
      <c r="AX109" s="118">
        <v>22.5</v>
      </c>
      <c r="AY109" s="118">
        <v>50.95</v>
      </c>
      <c r="AZ109" s="118">
        <v>0</v>
      </c>
      <c r="BA109" s="118">
        <v>0</v>
      </c>
      <c r="BB109" s="118">
        <v>0.01</v>
      </c>
      <c r="BC109" s="118">
        <v>0.1</v>
      </c>
      <c r="BD109" s="118">
        <v>0</v>
      </c>
      <c r="BE109" s="118">
        <v>0</v>
      </c>
      <c r="BF109" s="118">
        <v>0</v>
      </c>
      <c r="BG109" s="118">
        <v>0.3</v>
      </c>
      <c r="BH109" s="12">
        <v>1</v>
      </c>
      <c r="BI109" s="12">
        <v>0</v>
      </c>
      <c r="BJ109" s="12">
        <v>0</v>
      </c>
      <c r="BK109" s="12">
        <v>0</v>
      </c>
      <c r="BL109" s="12">
        <v>0</v>
      </c>
      <c r="BM109" s="12">
        <v>0</v>
      </c>
      <c r="BN109" s="12">
        <v>0</v>
      </c>
      <c r="BO109" s="12" t="s">
        <v>3841</v>
      </c>
    </row>
    <row r="110" spans="1:67" x14ac:dyDescent="0.3">
      <c r="A110" s="12">
        <v>105</v>
      </c>
      <c r="B110" s="12" t="s">
        <v>3806</v>
      </c>
      <c r="C110" s="118">
        <v>12</v>
      </c>
      <c r="D110" s="118">
        <v>0.15</v>
      </c>
      <c r="E110" s="118">
        <v>25</v>
      </c>
      <c r="F110" s="118">
        <v>12</v>
      </c>
      <c r="G110" s="118">
        <v>4</v>
      </c>
      <c r="H110" s="118">
        <v>0.35</v>
      </c>
      <c r="I110" s="118">
        <v>5.05</v>
      </c>
      <c r="J110" s="118">
        <v>30.7</v>
      </c>
      <c r="K110" s="118">
        <v>0.1</v>
      </c>
      <c r="L110" s="118">
        <v>10</v>
      </c>
      <c r="M110" s="141">
        <v>2</v>
      </c>
      <c r="N110" s="118">
        <v>7.4000000000000003E-3</v>
      </c>
      <c r="O110" s="118">
        <v>0.85</v>
      </c>
      <c r="P110" s="118">
        <v>6</v>
      </c>
      <c r="Q110" s="118">
        <v>0.4</v>
      </c>
      <c r="R110" s="118">
        <v>1.4</v>
      </c>
      <c r="S110" s="119">
        <v>660.14</v>
      </c>
      <c r="T110" s="119">
        <v>1.14E-2</v>
      </c>
      <c r="U110" s="119">
        <v>1E-3</v>
      </c>
      <c r="V110" s="119">
        <v>6.0000000000000001E-3</v>
      </c>
      <c r="W110" s="119">
        <v>0.08</v>
      </c>
      <c r="X110" s="119">
        <v>0.6</v>
      </c>
      <c r="Y110" s="119">
        <v>2.2000000000000002</v>
      </c>
      <c r="Z110" s="119">
        <v>0</v>
      </c>
      <c r="AA110" s="119">
        <v>0</v>
      </c>
      <c r="AB110" s="119">
        <v>0.1</v>
      </c>
      <c r="AC110" s="119">
        <v>0.03</v>
      </c>
      <c r="AD110" s="119">
        <v>1.14E-2</v>
      </c>
      <c r="AE110" s="119">
        <v>8.6E-3</v>
      </c>
      <c r="AF110" s="119">
        <v>1.8E-3</v>
      </c>
      <c r="AG110" s="119">
        <v>1E-3</v>
      </c>
      <c r="AH110" s="119">
        <v>8.0000000000000004E-4</v>
      </c>
      <c r="AI110" s="119">
        <v>2.5000000000000001E-2</v>
      </c>
      <c r="AJ110" s="119">
        <v>1.4999999999999999E-2</v>
      </c>
      <c r="AK110" s="119">
        <v>0.01</v>
      </c>
      <c r="AL110" s="119">
        <v>3.39</v>
      </c>
      <c r="AM110" s="119">
        <v>3.39</v>
      </c>
      <c r="AN110" s="119">
        <v>3.39</v>
      </c>
      <c r="AO110" s="12">
        <v>6</v>
      </c>
      <c r="AP110" s="118">
        <v>5.01</v>
      </c>
      <c r="AQ110" s="118">
        <v>15.95</v>
      </c>
      <c r="AR110" s="118">
        <v>8</v>
      </c>
      <c r="AS110" s="118">
        <v>0.5</v>
      </c>
      <c r="AT110" s="118">
        <v>4.75</v>
      </c>
      <c r="AU110" s="118">
        <v>0.4</v>
      </c>
      <c r="AV110" s="118">
        <v>0.2</v>
      </c>
      <c r="AW110" s="118">
        <v>100</v>
      </c>
      <c r="AX110" s="118">
        <v>22.5</v>
      </c>
      <c r="AY110" s="118">
        <v>40.71</v>
      </c>
      <c r="AZ110" s="118">
        <v>0</v>
      </c>
      <c r="BA110" s="118">
        <v>0</v>
      </c>
      <c r="BB110" s="118">
        <v>0.01</v>
      </c>
      <c r="BC110" s="118">
        <v>0.1</v>
      </c>
      <c r="BD110" s="118">
        <v>0</v>
      </c>
      <c r="BE110" s="118">
        <v>0</v>
      </c>
      <c r="BF110" s="118">
        <v>0</v>
      </c>
      <c r="BG110" s="118">
        <v>0.3</v>
      </c>
      <c r="BH110" s="12">
        <v>0</v>
      </c>
      <c r="BI110" s="12">
        <v>0</v>
      </c>
      <c r="BJ110" s="12">
        <v>0</v>
      </c>
      <c r="BK110" s="12">
        <v>0</v>
      </c>
      <c r="BL110" s="12">
        <v>0</v>
      </c>
      <c r="BM110" s="12">
        <v>0</v>
      </c>
      <c r="BN110" s="12">
        <v>0</v>
      </c>
    </row>
    <row r="111" spans="1:67" x14ac:dyDescent="0.3">
      <c r="A111" s="12">
        <v>106</v>
      </c>
      <c r="B111" s="12" t="s">
        <v>498</v>
      </c>
      <c r="C111" s="118">
        <v>18</v>
      </c>
      <c r="D111" s="118">
        <v>0.15</v>
      </c>
      <c r="E111" s="118">
        <v>25</v>
      </c>
      <c r="F111" s="118">
        <v>12</v>
      </c>
      <c r="G111" s="118">
        <v>2</v>
      </c>
      <c r="H111" s="118">
        <v>0.35</v>
      </c>
      <c r="I111" s="118">
        <v>5.05</v>
      </c>
      <c r="J111" s="118">
        <v>30.7</v>
      </c>
      <c r="K111" s="118">
        <v>0.1</v>
      </c>
      <c r="L111" s="118">
        <v>10</v>
      </c>
      <c r="M111" s="141">
        <v>2</v>
      </c>
      <c r="N111" s="118">
        <v>7.4000000000000003E-3</v>
      </c>
      <c r="O111" s="118">
        <v>0.85</v>
      </c>
      <c r="P111" s="118">
        <v>6</v>
      </c>
      <c r="Q111" s="118">
        <v>0.3</v>
      </c>
      <c r="R111" s="118">
        <v>1.4</v>
      </c>
      <c r="S111" s="119">
        <v>660.21</v>
      </c>
      <c r="T111" s="119">
        <v>1.3100000000000001E-2</v>
      </c>
      <c r="U111" s="119">
        <v>1E-3</v>
      </c>
      <c r="V111" s="119">
        <v>1.2E-2</v>
      </c>
      <c r="W111" s="119">
        <v>0.08</v>
      </c>
      <c r="X111" s="119">
        <v>0.6</v>
      </c>
      <c r="Y111" s="119">
        <v>2.2000000000000002</v>
      </c>
      <c r="Z111" s="119">
        <v>0</v>
      </c>
      <c r="AA111" s="119">
        <v>0</v>
      </c>
      <c r="AB111" s="119">
        <v>0.1</v>
      </c>
      <c r="AC111" s="119">
        <v>0.03</v>
      </c>
      <c r="AD111" s="119">
        <v>1.3100000000000001E-2</v>
      </c>
      <c r="AE111" s="119">
        <v>8.6E-3</v>
      </c>
      <c r="AF111" s="119">
        <v>1.8E-3</v>
      </c>
      <c r="AG111" s="119">
        <v>1E-3</v>
      </c>
      <c r="AH111" s="119">
        <v>8.0000000000000004E-4</v>
      </c>
      <c r="AI111" s="119">
        <v>2.5000000000000001E-2</v>
      </c>
      <c r="AJ111" s="119">
        <v>1.4999999999999999E-2</v>
      </c>
      <c r="AK111" s="119">
        <v>0.01</v>
      </c>
      <c r="AL111" s="119">
        <v>3.39</v>
      </c>
      <c r="AM111" s="119">
        <v>3.39</v>
      </c>
      <c r="AN111" s="119">
        <v>3.39</v>
      </c>
      <c r="AO111" s="12">
        <v>6</v>
      </c>
      <c r="AP111" s="118">
        <v>5.01</v>
      </c>
      <c r="AQ111" s="118">
        <v>15.95</v>
      </c>
      <c r="AR111" s="118">
        <v>8</v>
      </c>
      <c r="AS111" s="118">
        <v>0.5</v>
      </c>
      <c r="AT111" s="118">
        <v>4.75</v>
      </c>
      <c r="AU111" s="118">
        <v>0.4</v>
      </c>
      <c r="AV111" s="118">
        <v>0.2</v>
      </c>
      <c r="AW111" s="118">
        <v>100</v>
      </c>
      <c r="AX111" s="118">
        <v>22.5</v>
      </c>
      <c r="AY111" s="118">
        <v>40.71</v>
      </c>
      <c r="AZ111" s="118">
        <v>0</v>
      </c>
      <c r="BA111" s="118">
        <v>0</v>
      </c>
      <c r="BB111" s="118">
        <v>0.01</v>
      </c>
      <c r="BC111" s="118">
        <v>0.1</v>
      </c>
      <c r="BD111" s="118">
        <v>0</v>
      </c>
      <c r="BE111" s="118">
        <v>0</v>
      </c>
      <c r="BF111" s="118">
        <v>0</v>
      </c>
      <c r="BG111" s="118">
        <v>0.3</v>
      </c>
      <c r="BH111" s="12">
        <v>1</v>
      </c>
      <c r="BI111" s="12">
        <v>0</v>
      </c>
      <c r="BJ111" s="12">
        <v>0</v>
      </c>
      <c r="BK111" s="12">
        <v>0</v>
      </c>
      <c r="BL111" s="12">
        <v>0</v>
      </c>
      <c r="BM111" s="12">
        <v>0</v>
      </c>
      <c r="BN111" s="12">
        <v>0</v>
      </c>
      <c r="BO111" s="12" t="s">
        <v>1582</v>
      </c>
    </row>
    <row r="112" spans="1:67" x14ac:dyDescent="0.3">
      <c r="A112" s="12">
        <v>107</v>
      </c>
      <c r="B112" s="12" t="s">
        <v>499</v>
      </c>
      <c r="C112" s="118">
        <v>20</v>
      </c>
      <c r="D112" s="118">
        <v>0.15</v>
      </c>
      <c r="E112" s="118">
        <v>25</v>
      </c>
      <c r="F112" s="118">
        <v>12</v>
      </c>
      <c r="G112" s="118">
        <v>2</v>
      </c>
      <c r="H112" s="118">
        <v>0.5</v>
      </c>
      <c r="I112" s="118">
        <v>10.199999999999999</v>
      </c>
      <c r="J112" s="118">
        <v>20.95</v>
      </c>
      <c r="K112" s="118">
        <v>0.2</v>
      </c>
      <c r="L112" s="118">
        <v>10</v>
      </c>
      <c r="M112" s="141">
        <v>2</v>
      </c>
      <c r="N112" s="118">
        <v>7.4000000000000003E-3</v>
      </c>
      <c r="O112" s="118">
        <v>0.85</v>
      </c>
      <c r="P112" s="118">
        <v>6</v>
      </c>
      <c r="Q112" s="118">
        <v>0.2</v>
      </c>
      <c r="R112" s="118">
        <v>1.4</v>
      </c>
      <c r="S112" s="119">
        <v>660.23</v>
      </c>
      <c r="T112" s="119">
        <v>1.2200000000000001E-2</v>
      </c>
      <c r="U112" s="119">
        <v>1E-3</v>
      </c>
      <c r="V112" s="119">
        <v>6.0000000000000001E-3</v>
      </c>
      <c r="W112" s="119">
        <v>0.08</v>
      </c>
      <c r="X112" s="119">
        <v>0.6</v>
      </c>
      <c r="Y112" s="119">
        <v>2.2000000000000002</v>
      </c>
      <c r="Z112" s="119">
        <v>0</v>
      </c>
      <c r="AA112" s="119">
        <v>0</v>
      </c>
      <c r="AB112" s="119">
        <v>0.09</v>
      </c>
      <c r="AC112" s="119">
        <v>0.03</v>
      </c>
      <c r="AD112" s="119">
        <v>1.5699999999999999E-2</v>
      </c>
      <c r="AE112" s="119">
        <v>9.1000000000000004E-3</v>
      </c>
      <c r="AF112" s="119">
        <v>1.8E-3</v>
      </c>
      <c r="AG112" s="119">
        <v>1E-3</v>
      </c>
      <c r="AH112" s="119">
        <v>8.0000000000000004E-4</v>
      </c>
      <c r="AI112" s="119">
        <v>2.5000000000000001E-2</v>
      </c>
      <c r="AJ112" s="119">
        <v>1.4999999999999999E-2</v>
      </c>
      <c r="AK112" s="119">
        <v>0.01</v>
      </c>
      <c r="AL112" s="119">
        <v>3.39</v>
      </c>
      <c r="AM112" s="119">
        <v>3.39</v>
      </c>
      <c r="AN112" s="119">
        <v>3.39</v>
      </c>
      <c r="AO112" s="12">
        <v>6</v>
      </c>
      <c r="AP112" s="118">
        <v>5.01</v>
      </c>
      <c r="AQ112" s="118">
        <v>15.95</v>
      </c>
      <c r="AR112" s="118">
        <v>8</v>
      </c>
      <c r="AS112" s="118">
        <v>0.5</v>
      </c>
      <c r="AT112" s="118">
        <v>4.75</v>
      </c>
      <c r="AU112" s="118">
        <v>0.4</v>
      </c>
      <c r="AV112" s="118">
        <v>0.2</v>
      </c>
      <c r="AW112" s="118">
        <v>100</v>
      </c>
      <c r="AX112" s="118">
        <v>22.5</v>
      </c>
      <c r="AY112" s="118">
        <v>40.71</v>
      </c>
      <c r="AZ112" s="118">
        <v>0</v>
      </c>
      <c r="BA112" s="118">
        <v>0</v>
      </c>
      <c r="BB112" s="118">
        <v>0.01</v>
      </c>
      <c r="BC112" s="118">
        <v>0.1</v>
      </c>
      <c r="BD112" s="118">
        <v>0</v>
      </c>
      <c r="BE112" s="118">
        <v>0</v>
      </c>
      <c r="BF112" s="118">
        <v>0</v>
      </c>
      <c r="BG112" s="118">
        <v>0.3</v>
      </c>
      <c r="BH112" s="12">
        <v>1</v>
      </c>
      <c r="BI112" s="12">
        <v>0</v>
      </c>
      <c r="BJ112" s="12">
        <v>0</v>
      </c>
      <c r="BK112" s="12">
        <v>0</v>
      </c>
      <c r="BL112" s="12">
        <v>0</v>
      </c>
      <c r="BM112" s="12">
        <v>0</v>
      </c>
      <c r="BN112" s="12">
        <v>0</v>
      </c>
      <c r="BO112" s="12" t="s">
        <v>1583</v>
      </c>
    </row>
    <row r="113" spans="1:67" x14ac:dyDescent="0.3">
      <c r="A113" s="12">
        <v>108</v>
      </c>
      <c r="B113" s="12" t="s">
        <v>3807</v>
      </c>
      <c r="C113" s="118">
        <v>25</v>
      </c>
      <c r="D113" s="118">
        <v>0.6</v>
      </c>
      <c r="E113" s="118">
        <v>27.5</v>
      </c>
      <c r="F113" s="118">
        <v>12.5</v>
      </c>
      <c r="G113" s="118">
        <v>6</v>
      </c>
      <c r="H113" s="118">
        <v>0.95</v>
      </c>
      <c r="I113" s="118">
        <v>15.05</v>
      </c>
      <c r="J113" s="118">
        <v>50.95</v>
      </c>
      <c r="K113" s="118">
        <v>0.5</v>
      </c>
      <c r="L113" s="118">
        <v>0.5</v>
      </c>
      <c r="M113" s="141">
        <v>3</v>
      </c>
      <c r="N113" s="118">
        <v>0.02</v>
      </c>
      <c r="O113" s="118">
        <v>0.85</v>
      </c>
      <c r="P113" s="118">
        <v>25</v>
      </c>
      <c r="Q113" s="118">
        <v>1</v>
      </c>
      <c r="R113" s="118">
        <v>2.2000000000000002</v>
      </c>
      <c r="S113" s="119">
        <v>660.2</v>
      </c>
      <c r="T113" s="119">
        <v>1.4E-2</v>
      </c>
      <c r="U113" s="119">
        <v>2E-3</v>
      </c>
      <c r="V113" s="119">
        <v>1.4E-2</v>
      </c>
      <c r="W113" s="119">
        <v>0.3</v>
      </c>
      <c r="X113" s="119">
        <v>0.6</v>
      </c>
      <c r="Y113" s="119">
        <v>2.82</v>
      </c>
      <c r="Z113" s="119">
        <v>1212.75</v>
      </c>
      <c r="AA113" s="119">
        <v>116.87</v>
      </c>
      <c r="AB113" s="119">
        <v>0.01</v>
      </c>
      <c r="AC113" s="119">
        <v>5.8000000000000003E-2</v>
      </c>
      <c r="AD113" s="119">
        <v>1.9E-2</v>
      </c>
      <c r="AE113" s="119">
        <v>1.77E-2</v>
      </c>
      <c r="AF113" s="119">
        <v>8.0999999999999996E-3</v>
      </c>
      <c r="AG113" s="119">
        <v>2.7000000000000001E-3</v>
      </c>
      <c r="AH113" s="119">
        <v>2.5000000000000001E-3</v>
      </c>
      <c r="AI113" s="119">
        <v>0.03</v>
      </c>
      <c r="AJ113" s="119">
        <v>2.1999999999999999E-2</v>
      </c>
      <c r="AK113" s="119">
        <v>1.4999999999999999E-2</v>
      </c>
      <c r="AL113" s="119">
        <v>1.1379999999999999</v>
      </c>
      <c r="AM113" s="119">
        <v>0.60299999999999998</v>
      </c>
      <c r="AN113" s="119">
        <v>0.33200000000000002</v>
      </c>
      <c r="AO113" s="12">
        <v>9</v>
      </c>
      <c r="AP113" s="118">
        <v>5.15</v>
      </c>
      <c r="AQ113" s="118">
        <v>15.95</v>
      </c>
      <c r="AR113" s="118">
        <v>3</v>
      </c>
      <c r="AS113" s="118">
        <v>1</v>
      </c>
      <c r="AT113" s="118">
        <v>4.3</v>
      </c>
      <c r="AU113" s="118">
        <v>0.4</v>
      </c>
      <c r="AV113" s="118">
        <v>0.1</v>
      </c>
      <c r="AW113" s="118">
        <v>100</v>
      </c>
      <c r="AX113" s="118">
        <v>3.2</v>
      </c>
      <c r="AY113" s="118">
        <v>10.9</v>
      </c>
      <c r="AZ113" s="118">
        <v>0.05</v>
      </c>
      <c r="BA113" s="118">
        <v>7.7</v>
      </c>
      <c r="BB113" s="118">
        <v>0.01</v>
      </c>
      <c r="BC113" s="118">
        <v>0.1</v>
      </c>
      <c r="BD113" s="118">
        <v>0</v>
      </c>
      <c r="BE113" s="118">
        <v>0.27</v>
      </c>
      <c r="BF113" s="118">
        <v>0.38</v>
      </c>
      <c r="BG113" s="118">
        <v>0.3</v>
      </c>
      <c r="BH113" s="12">
        <v>0</v>
      </c>
      <c r="BI113" s="12">
        <v>0</v>
      </c>
      <c r="BJ113" s="12">
        <v>0</v>
      </c>
      <c r="BK113" s="12">
        <v>0</v>
      </c>
      <c r="BL113" s="12">
        <v>0</v>
      </c>
      <c r="BM113" s="12">
        <v>0</v>
      </c>
      <c r="BN113" s="12">
        <v>0</v>
      </c>
    </row>
    <row r="114" spans="1:67" x14ac:dyDescent="0.3">
      <c r="A114" s="12">
        <v>109</v>
      </c>
      <c r="B114" s="12" t="s">
        <v>3871</v>
      </c>
      <c r="C114" s="118">
        <v>35</v>
      </c>
      <c r="D114" s="118">
        <v>0.45</v>
      </c>
      <c r="E114" s="118">
        <v>15</v>
      </c>
      <c r="F114" s="118">
        <v>0</v>
      </c>
      <c r="G114" s="118">
        <v>6</v>
      </c>
      <c r="H114" s="118">
        <v>0.6</v>
      </c>
      <c r="I114" s="118">
        <v>15.01</v>
      </c>
      <c r="J114" s="118">
        <v>50.95</v>
      </c>
      <c r="K114" s="118">
        <v>1</v>
      </c>
      <c r="L114" s="118">
        <v>1</v>
      </c>
      <c r="M114" s="141">
        <v>2</v>
      </c>
      <c r="N114" s="118">
        <v>7.0000000000000001E-3</v>
      </c>
      <c r="O114" s="118">
        <v>0.85</v>
      </c>
      <c r="P114" s="118">
        <v>90</v>
      </c>
      <c r="Q114" s="118">
        <v>1</v>
      </c>
      <c r="R114" s="118">
        <v>2</v>
      </c>
      <c r="S114" s="119">
        <v>660.47</v>
      </c>
      <c r="T114" s="119">
        <v>2.4899999999999999E-2</v>
      </c>
      <c r="U114" s="119">
        <v>3.3E-3</v>
      </c>
      <c r="V114" s="119">
        <v>4.1999999999999997E-3</v>
      </c>
      <c r="W114" s="119">
        <v>0.21</v>
      </c>
      <c r="X114" s="119">
        <v>0.6</v>
      </c>
      <c r="Y114" s="119">
        <v>0.26</v>
      </c>
      <c r="Z114" s="119">
        <v>153.62</v>
      </c>
      <c r="AA114" s="119">
        <v>20</v>
      </c>
      <c r="AB114" s="119">
        <v>0.12</v>
      </c>
      <c r="AC114" s="119">
        <v>0.06</v>
      </c>
      <c r="AD114" s="119">
        <v>2.3E-2</v>
      </c>
      <c r="AE114" s="119">
        <v>1.34E-2</v>
      </c>
      <c r="AF114" s="119">
        <v>8.3999999999999995E-3</v>
      </c>
      <c r="AG114" s="119">
        <v>3.2000000000000002E-3</v>
      </c>
      <c r="AH114" s="119">
        <v>1.9E-3</v>
      </c>
      <c r="AI114" s="119">
        <v>2.3E-2</v>
      </c>
      <c r="AJ114" s="119">
        <v>0.02</v>
      </c>
      <c r="AK114" s="119">
        <v>1.7000000000000001E-2</v>
      </c>
      <c r="AL114" s="119">
        <v>3.39</v>
      </c>
      <c r="AM114" s="119">
        <v>3.39</v>
      </c>
      <c r="AN114" s="119">
        <v>1.61</v>
      </c>
      <c r="AO114" s="12">
        <v>5</v>
      </c>
      <c r="AP114" s="118">
        <v>5.01</v>
      </c>
      <c r="AQ114" s="118">
        <v>15.1</v>
      </c>
      <c r="AR114" s="118">
        <v>6</v>
      </c>
      <c r="AS114" s="118">
        <v>0.5</v>
      </c>
      <c r="AT114" s="118">
        <v>4.75</v>
      </c>
      <c r="AU114" s="118">
        <v>0.4</v>
      </c>
      <c r="AV114" s="118">
        <v>0.2</v>
      </c>
      <c r="AW114" s="118">
        <v>100</v>
      </c>
      <c r="AX114" s="118">
        <v>125.6</v>
      </c>
      <c r="AY114" s="118">
        <v>250.95</v>
      </c>
      <c r="AZ114" s="118">
        <v>7.0000000000000007E-2</v>
      </c>
      <c r="BA114" s="118">
        <v>6</v>
      </c>
      <c r="BB114" s="118">
        <v>0.01</v>
      </c>
      <c r="BC114" s="118">
        <v>0.1</v>
      </c>
      <c r="BD114" s="118">
        <v>0</v>
      </c>
      <c r="BE114" s="118">
        <v>0</v>
      </c>
      <c r="BF114" s="118">
        <v>0</v>
      </c>
      <c r="BG114" s="118">
        <v>0.3</v>
      </c>
      <c r="BH114" s="12">
        <v>0</v>
      </c>
      <c r="BI114" s="12">
        <v>0</v>
      </c>
      <c r="BJ114" s="12">
        <v>0</v>
      </c>
      <c r="BK114" s="12">
        <v>0</v>
      </c>
      <c r="BL114" s="12">
        <v>0</v>
      </c>
      <c r="BM114" s="12">
        <v>0</v>
      </c>
      <c r="BN114" s="12">
        <v>0</v>
      </c>
    </row>
    <row r="115" spans="1:67" x14ac:dyDescent="0.3">
      <c r="A115" s="12">
        <v>110</v>
      </c>
      <c r="B115" s="12" t="s">
        <v>3808</v>
      </c>
      <c r="C115" s="118">
        <v>25</v>
      </c>
      <c r="D115" s="118">
        <v>0.6</v>
      </c>
      <c r="E115" s="118">
        <v>27.5</v>
      </c>
      <c r="F115" s="118">
        <v>12.5</v>
      </c>
      <c r="G115" s="118">
        <v>6</v>
      </c>
      <c r="H115" s="118">
        <v>0.95</v>
      </c>
      <c r="I115" s="118">
        <v>15.05</v>
      </c>
      <c r="J115" s="118">
        <v>50.95</v>
      </c>
      <c r="K115" s="118">
        <v>0.5</v>
      </c>
      <c r="L115" s="118">
        <v>0.5</v>
      </c>
      <c r="M115" s="141">
        <v>3</v>
      </c>
      <c r="N115" s="118">
        <v>0.02</v>
      </c>
      <c r="O115" s="118">
        <v>0.85</v>
      </c>
      <c r="P115" s="118">
        <v>25</v>
      </c>
      <c r="Q115" s="118">
        <v>1</v>
      </c>
      <c r="R115" s="118">
        <v>2.2000000000000002</v>
      </c>
      <c r="S115" s="119">
        <v>660.2</v>
      </c>
      <c r="T115" s="119">
        <v>1.4E-2</v>
      </c>
      <c r="U115" s="119">
        <v>2E-3</v>
      </c>
      <c r="V115" s="119">
        <v>1.4E-2</v>
      </c>
      <c r="W115" s="119">
        <v>0.3</v>
      </c>
      <c r="X115" s="119">
        <v>0.6</v>
      </c>
      <c r="Y115" s="119">
        <v>2.82</v>
      </c>
      <c r="Z115" s="119">
        <v>1212.75</v>
      </c>
      <c r="AA115" s="119">
        <v>116.87</v>
      </c>
      <c r="AB115" s="119">
        <v>0.01</v>
      </c>
      <c r="AC115" s="119">
        <v>5.8000000000000003E-2</v>
      </c>
      <c r="AD115" s="119">
        <v>1.9E-2</v>
      </c>
      <c r="AE115" s="119">
        <v>1.77E-2</v>
      </c>
      <c r="AF115" s="119">
        <v>8.0999999999999996E-3</v>
      </c>
      <c r="AG115" s="119">
        <v>2.7000000000000001E-3</v>
      </c>
      <c r="AH115" s="119">
        <v>2.5000000000000001E-3</v>
      </c>
      <c r="AI115" s="119">
        <v>0.03</v>
      </c>
      <c r="AJ115" s="119">
        <v>2.1999999999999999E-2</v>
      </c>
      <c r="AK115" s="119">
        <v>1.4999999999999999E-2</v>
      </c>
      <c r="AL115" s="119">
        <v>1.1379999999999999</v>
      </c>
      <c r="AM115" s="119">
        <v>0.60299999999999998</v>
      </c>
      <c r="AN115" s="119">
        <v>0.33200000000000002</v>
      </c>
      <c r="AO115" s="12">
        <v>9</v>
      </c>
      <c r="AP115" s="118">
        <v>5.15</v>
      </c>
      <c r="AQ115" s="118">
        <v>15.95</v>
      </c>
      <c r="AR115" s="118">
        <v>3</v>
      </c>
      <c r="AS115" s="118">
        <v>1</v>
      </c>
      <c r="AT115" s="118">
        <v>4.3</v>
      </c>
      <c r="AU115" s="118">
        <v>0.4</v>
      </c>
      <c r="AV115" s="118">
        <v>0.1</v>
      </c>
      <c r="AW115" s="118">
        <v>100</v>
      </c>
      <c r="AX115" s="118">
        <v>3.2</v>
      </c>
      <c r="AY115" s="118">
        <v>10.9</v>
      </c>
      <c r="AZ115" s="118">
        <v>0.05</v>
      </c>
      <c r="BA115" s="118">
        <v>7.7</v>
      </c>
      <c r="BB115" s="118">
        <v>0.01</v>
      </c>
      <c r="BC115" s="118">
        <v>0.1</v>
      </c>
      <c r="BD115" s="118">
        <v>0</v>
      </c>
      <c r="BE115" s="118">
        <v>0.27</v>
      </c>
      <c r="BF115" s="118">
        <v>0.38</v>
      </c>
      <c r="BG115" s="118">
        <v>0.3</v>
      </c>
      <c r="BH115" s="12">
        <v>0</v>
      </c>
      <c r="BI115" s="12">
        <v>0</v>
      </c>
      <c r="BJ115" s="12">
        <v>0</v>
      </c>
      <c r="BK115" s="12">
        <v>0</v>
      </c>
      <c r="BL115" s="12">
        <v>0</v>
      </c>
      <c r="BM115" s="12">
        <v>0</v>
      </c>
      <c r="BN115" s="12">
        <v>0</v>
      </c>
    </row>
    <row r="116" spans="1:67" x14ac:dyDescent="0.3">
      <c r="A116" s="12">
        <v>111</v>
      </c>
      <c r="B116" s="12" t="s">
        <v>3809</v>
      </c>
      <c r="C116" s="118">
        <v>35</v>
      </c>
      <c r="D116" s="118">
        <v>0.45</v>
      </c>
      <c r="E116" s="118">
        <v>15</v>
      </c>
      <c r="F116" s="118">
        <v>0</v>
      </c>
      <c r="G116" s="118">
        <v>6</v>
      </c>
      <c r="H116" s="118">
        <v>0.6</v>
      </c>
      <c r="I116" s="118">
        <v>15.01</v>
      </c>
      <c r="J116" s="118">
        <v>50.95</v>
      </c>
      <c r="K116" s="118">
        <v>1</v>
      </c>
      <c r="L116" s="118">
        <v>1</v>
      </c>
      <c r="M116" s="141">
        <v>2</v>
      </c>
      <c r="N116" s="118">
        <v>7.0000000000000001E-3</v>
      </c>
      <c r="O116" s="118">
        <v>0.85</v>
      </c>
      <c r="P116" s="118">
        <v>90</v>
      </c>
      <c r="Q116" s="118">
        <v>1</v>
      </c>
      <c r="R116" s="118">
        <v>2</v>
      </c>
      <c r="S116" s="119">
        <v>660.47</v>
      </c>
      <c r="T116" s="119">
        <v>2.4899999999999999E-2</v>
      </c>
      <c r="U116" s="119">
        <v>3.3E-3</v>
      </c>
      <c r="V116" s="119">
        <v>4.1999999999999997E-3</v>
      </c>
      <c r="W116" s="119">
        <v>0.21</v>
      </c>
      <c r="X116" s="119">
        <v>0.6</v>
      </c>
      <c r="Y116" s="119">
        <v>0.26</v>
      </c>
      <c r="Z116" s="119">
        <v>153.62</v>
      </c>
      <c r="AA116" s="119">
        <v>20</v>
      </c>
      <c r="AB116" s="119">
        <v>0.12</v>
      </c>
      <c r="AC116" s="119">
        <v>0.06</v>
      </c>
      <c r="AD116" s="119">
        <v>2.3E-2</v>
      </c>
      <c r="AE116" s="119">
        <v>1.34E-2</v>
      </c>
      <c r="AF116" s="119">
        <v>8.3999999999999995E-3</v>
      </c>
      <c r="AG116" s="119">
        <v>3.2000000000000002E-3</v>
      </c>
      <c r="AH116" s="119">
        <v>1.9E-3</v>
      </c>
      <c r="AI116" s="119">
        <v>2.3E-2</v>
      </c>
      <c r="AJ116" s="119">
        <v>0.02</v>
      </c>
      <c r="AK116" s="119">
        <v>1.7000000000000001E-2</v>
      </c>
      <c r="AL116" s="119">
        <v>3.39</v>
      </c>
      <c r="AM116" s="119">
        <v>3.39</v>
      </c>
      <c r="AN116" s="119">
        <v>1.61</v>
      </c>
      <c r="AO116" s="12">
        <v>5</v>
      </c>
      <c r="AP116" s="118">
        <v>5.01</v>
      </c>
      <c r="AQ116" s="118">
        <v>15.1</v>
      </c>
      <c r="AR116" s="118">
        <v>6</v>
      </c>
      <c r="AS116" s="118">
        <v>0.5</v>
      </c>
      <c r="AT116" s="118">
        <v>4.75</v>
      </c>
      <c r="AU116" s="118">
        <v>0.4</v>
      </c>
      <c r="AV116" s="118">
        <v>0.2</v>
      </c>
      <c r="AW116" s="118">
        <v>100</v>
      </c>
      <c r="AX116" s="118">
        <v>125.6</v>
      </c>
      <c r="AY116" s="118">
        <v>250.95</v>
      </c>
      <c r="AZ116" s="118">
        <v>7.0000000000000007E-2</v>
      </c>
      <c r="BA116" s="118">
        <v>6</v>
      </c>
      <c r="BB116" s="118">
        <v>0.01</v>
      </c>
      <c r="BC116" s="118">
        <v>0.1</v>
      </c>
      <c r="BD116" s="118">
        <v>0</v>
      </c>
      <c r="BE116" s="118">
        <v>0</v>
      </c>
      <c r="BF116" s="118">
        <v>0</v>
      </c>
      <c r="BG116" s="118">
        <v>0.3</v>
      </c>
      <c r="BH116" s="12">
        <v>0</v>
      </c>
      <c r="BI116" s="12">
        <v>0</v>
      </c>
      <c r="BJ116" s="12">
        <v>0</v>
      </c>
      <c r="BK116" s="12">
        <v>0</v>
      </c>
      <c r="BL116" s="12">
        <v>0</v>
      </c>
      <c r="BM116" s="12">
        <v>0</v>
      </c>
      <c r="BN116" s="12">
        <v>0</v>
      </c>
    </row>
    <row r="117" spans="1:67" x14ac:dyDescent="0.3">
      <c r="A117" s="12">
        <v>112</v>
      </c>
      <c r="B117" s="12" t="s">
        <v>3810</v>
      </c>
      <c r="C117" s="118">
        <v>25</v>
      </c>
      <c r="D117" s="118">
        <v>0.6</v>
      </c>
      <c r="E117" s="118">
        <v>27.5</v>
      </c>
      <c r="F117" s="118">
        <v>12.5</v>
      </c>
      <c r="G117" s="118">
        <v>6</v>
      </c>
      <c r="H117" s="118">
        <v>0.95</v>
      </c>
      <c r="I117" s="118">
        <v>15.05</v>
      </c>
      <c r="J117" s="118">
        <v>50.95</v>
      </c>
      <c r="K117" s="118">
        <v>0.5</v>
      </c>
      <c r="L117" s="118">
        <v>0.5</v>
      </c>
      <c r="M117" s="141">
        <v>3</v>
      </c>
      <c r="N117" s="118">
        <v>0.02</v>
      </c>
      <c r="O117" s="118">
        <v>0.85</v>
      </c>
      <c r="P117" s="118">
        <v>25</v>
      </c>
      <c r="Q117" s="118">
        <v>1</v>
      </c>
      <c r="R117" s="118">
        <v>2.2000000000000002</v>
      </c>
      <c r="S117" s="119">
        <v>660.2</v>
      </c>
      <c r="T117" s="119">
        <v>1.4E-2</v>
      </c>
      <c r="U117" s="119">
        <v>2E-3</v>
      </c>
      <c r="V117" s="119">
        <v>1.4E-2</v>
      </c>
      <c r="W117" s="119">
        <v>0.3</v>
      </c>
      <c r="X117" s="119">
        <v>0.6</v>
      </c>
      <c r="Y117" s="119">
        <v>2.82</v>
      </c>
      <c r="Z117" s="119">
        <v>1212.75</v>
      </c>
      <c r="AA117" s="119">
        <v>116.87</v>
      </c>
      <c r="AB117" s="119">
        <v>0.01</v>
      </c>
      <c r="AC117" s="119">
        <v>5.8000000000000003E-2</v>
      </c>
      <c r="AD117" s="119">
        <v>1.9E-2</v>
      </c>
      <c r="AE117" s="119">
        <v>1.77E-2</v>
      </c>
      <c r="AF117" s="119">
        <v>8.0999999999999996E-3</v>
      </c>
      <c r="AG117" s="119">
        <v>2.7000000000000001E-3</v>
      </c>
      <c r="AH117" s="119">
        <v>2.5000000000000001E-3</v>
      </c>
      <c r="AI117" s="119">
        <v>0.03</v>
      </c>
      <c r="AJ117" s="119">
        <v>2.1999999999999999E-2</v>
      </c>
      <c r="AK117" s="119">
        <v>1.4999999999999999E-2</v>
      </c>
      <c r="AL117" s="119">
        <v>1.1379999999999999</v>
      </c>
      <c r="AM117" s="119">
        <v>0.60299999999999998</v>
      </c>
      <c r="AN117" s="119">
        <v>0.33200000000000002</v>
      </c>
      <c r="AO117" s="12">
        <v>9</v>
      </c>
      <c r="AP117" s="118">
        <v>5.15</v>
      </c>
      <c r="AQ117" s="118">
        <v>15.95</v>
      </c>
      <c r="AR117" s="118">
        <v>3</v>
      </c>
      <c r="AS117" s="118">
        <v>1</v>
      </c>
      <c r="AT117" s="118">
        <v>4.3</v>
      </c>
      <c r="AU117" s="118">
        <v>0.4</v>
      </c>
      <c r="AV117" s="118">
        <v>0.1</v>
      </c>
      <c r="AW117" s="118">
        <v>100</v>
      </c>
      <c r="AX117" s="118">
        <v>3.2</v>
      </c>
      <c r="AY117" s="118">
        <v>10.9</v>
      </c>
      <c r="AZ117" s="118">
        <v>0.05</v>
      </c>
      <c r="BA117" s="118">
        <v>7.7</v>
      </c>
      <c r="BB117" s="118">
        <v>0.01</v>
      </c>
      <c r="BC117" s="118">
        <v>0.1</v>
      </c>
      <c r="BD117" s="118">
        <v>0</v>
      </c>
      <c r="BE117" s="118">
        <v>0.32</v>
      </c>
      <c r="BF117" s="118">
        <v>0.38</v>
      </c>
      <c r="BG117" s="118">
        <v>0.3</v>
      </c>
      <c r="BH117" s="12">
        <v>0</v>
      </c>
      <c r="BI117" s="12">
        <v>0</v>
      </c>
      <c r="BJ117" s="12">
        <v>0</v>
      </c>
      <c r="BK117" s="12">
        <v>0</v>
      </c>
      <c r="BL117" s="12">
        <v>0</v>
      </c>
      <c r="BM117" s="12">
        <v>0</v>
      </c>
      <c r="BN117" s="12">
        <v>0</v>
      </c>
    </row>
    <row r="118" spans="1:67" x14ac:dyDescent="0.3">
      <c r="A118" s="12">
        <v>113</v>
      </c>
      <c r="B118" s="12" t="s">
        <v>1584</v>
      </c>
      <c r="C118" s="118">
        <v>16</v>
      </c>
      <c r="D118" s="118">
        <v>0.75</v>
      </c>
      <c r="E118" s="118">
        <v>25</v>
      </c>
      <c r="F118" s="118">
        <v>5</v>
      </c>
      <c r="G118" s="118">
        <v>5</v>
      </c>
      <c r="H118" s="118">
        <v>0.75</v>
      </c>
      <c r="I118" s="118">
        <v>15.4</v>
      </c>
      <c r="J118" s="118">
        <v>30.8</v>
      </c>
      <c r="K118" s="118">
        <v>0.5</v>
      </c>
      <c r="L118" s="118">
        <v>1</v>
      </c>
      <c r="M118" s="141">
        <v>1</v>
      </c>
      <c r="N118" s="118">
        <v>5.0000000000000001E-3</v>
      </c>
      <c r="O118" s="118">
        <v>0.85</v>
      </c>
      <c r="P118" s="118">
        <v>80</v>
      </c>
      <c r="Q118" s="118">
        <v>20</v>
      </c>
      <c r="R118" s="118">
        <v>2</v>
      </c>
      <c r="S118" s="119">
        <v>660.2</v>
      </c>
      <c r="T118" s="119">
        <v>1.5E-3</v>
      </c>
      <c r="U118" s="119">
        <v>2.9999999999999997E-4</v>
      </c>
      <c r="V118" s="119">
        <v>2E-3</v>
      </c>
      <c r="W118" s="119">
        <v>0.05</v>
      </c>
      <c r="X118" s="119">
        <v>0.6</v>
      </c>
      <c r="Y118" s="119">
        <v>3</v>
      </c>
      <c r="Z118" s="119">
        <v>0</v>
      </c>
      <c r="AA118" s="119">
        <v>100</v>
      </c>
      <c r="AB118" s="119">
        <v>0.01</v>
      </c>
      <c r="AC118" s="119">
        <v>6.0000000000000001E-3</v>
      </c>
      <c r="AD118" s="119">
        <v>2E-3</v>
      </c>
      <c r="AE118" s="119">
        <v>1.5E-3</v>
      </c>
      <c r="AF118" s="119">
        <v>6.9999999999999999E-4</v>
      </c>
      <c r="AG118" s="119">
        <v>4.0000000000000002E-4</v>
      </c>
      <c r="AH118" s="119">
        <v>2.9999999999999997E-4</v>
      </c>
      <c r="AI118" s="119">
        <v>6.0000000000000001E-3</v>
      </c>
      <c r="AJ118" s="119">
        <v>3.0000000000000001E-3</v>
      </c>
      <c r="AK118" s="119">
        <v>2E-3</v>
      </c>
      <c r="AL118" s="119">
        <v>3.39</v>
      </c>
      <c r="AM118" s="119">
        <v>3.39</v>
      </c>
      <c r="AN118" s="119">
        <v>3.39</v>
      </c>
      <c r="AO118" s="12">
        <v>8</v>
      </c>
      <c r="AP118" s="118">
        <v>5.0999999999999996</v>
      </c>
      <c r="AQ118" s="118">
        <v>15.5</v>
      </c>
      <c r="AR118" s="118">
        <v>8</v>
      </c>
      <c r="AS118" s="118">
        <v>1</v>
      </c>
      <c r="AT118" s="118">
        <v>4.75</v>
      </c>
      <c r="AU118" s="118">
        <v>0.4</v>
      </c>
      <c r="AV118" s="118">
        <v>0.2</v>
      </c>
      <c r="AW118" s="118">
        <v>100</v>
      </c>
      <c r="AX118" s="118">
        <v>1000.95</v>
      </c>
      <c r="AY118" s="118">
        <v>100.05</v>
      </c>
      <c r="AZ118" s="118">
        <v>0.05</v>
      </c>
      <c r="BA118" s="118">
        <v>1</v>
      </c>
      <c r="BB118" s="118">
        <v>0.01</v>
      </c>
      <c r="BC118" s="118">
        <v>0.1</v>
      </c>
      <c r="BD118" s="118">
        <v>0</v>
      </c>
      <c r="BE118" s="118">
        <v>0.01</v>
      </c>
      <c r="BF118" s="118">
        <v>0</v>
      </c>
      <c r="BG118" s="118">
        <v>0.3</v>
      </c>
      <c r="BH118" s="12">
        <v>0</v>
      </c>
      <c r="BI118" s="12">
        <v>0</v>
      </c>
      <c r="BJ118" s="12">
        <v>0</v>
      </c>
      <c r="BK118" s="12">
        <v>0</v>
      </c>
      <c r="BL118" s="12">
        <v>0</v>
      </c>
      <c r="BM118" s="12">
        <v>0</v>
      </c>
      <c r="BN118" s="12">
        <v>0</v>
      </c>
      <c r="BO118" s="12" t="s">
        <v>1585</v>
      </c>
    </row>
    <row r="119" spans="1:67" x14ac:dyDescent="0.3">
      <c r="A119" s="12">
        <v>114</v>
      </c>
      <c r="B119" s="12" t="s">
        <v>1586</v>
      </c>
      <c r="C119" s="118">
        <v>15</v>
      </c>
      <c r="D119" s="118">
        <v>0.95</v>
      </c>
      <c r="E119" s="118">
        <v>27.5</v>
      </c>
      <c r="F119" s="118">
        <v>12</v>
      </c>
      <c r="G119" s="118">
        <v>3</v>
      </c>
      <c r="H119" s="118">
        <v>0.8</v>
      </c>
      <c r="I119" s="118">
        <v>15.01</v>
      </c>
      <c r="J119" s="118">
        <v>50.95</v>
      </c>
      <c r="K119" s="118">
        <v>2</v>
      </c>
      <c r="L119" s="118">
        <v>10</v>
      </c>
      <c r="M119" s="141">
        <v>4</v>
      </c>
      <c r="N119" s="118">
        <v>7.0000000000000001E-3</v>
      </c>
      <c r="O119" s="118">
        <v>0.85</v>
      </c>
      <c r="P119" s="118">
        <v>200</v>
      </c>
      <c r="Q119" s="118">
        <v>2</v>
      </c>
      <c r="R119" s="118">
        <v>2</v>
      </c>
      <c r="S119" s="119">
        <v>660.2</v>
      </c>
      <c r="T119" s="119">
        <v>1.2999999999999999E-2</v>
      </c>
      <c r="U119" s="119">
        <v>3.0000000000000001E-3</v>
      </c>
      <c r="V119" s="119">
        <v>2.5999999999999999E-2</v>
      </c>
      <c r="W119" s="119">
        <v>0.01</v>
      </c>
      <c r="X119" s="119">
        <v>0.6</v>
      </c>
      <c r="Y119" s="119">
        <v>0.1</v>
      </c>
      <c r="Z119" s="119">
        <v>50</v>
      </c>
      <c r="AA119" s="119">
        <v>0.7</v>
      </c>
      <c r="AB119" s="119">
        <v>0.5</v>
      </c>
      <c r="AC119" s="119">
        <v>0.04</v>
      </c>
      <c r="AD119" s="119">
        <v>0.01</v>
      </c>
      <c r="AE119" s="119">
        <v>7.0000000000000001E-3</v>
      </c>
      <c r="AF119" s="119">
        <v>6.0000000000000001E-3</v>
      </c>
      <c r="AG119" s="119">
        <v>3.0000000000000001E-3</v>
      </c>
      <c r="AH119" s="119">
        <v>2E-3</v>
      </c>
      <c r="AI119" s="119">
        <v>0.03</v>
      </c>
      <c r="AJ119" s="119">
        <v>0.03</v>
      </c>
      <c r="AK119" s="119">
        <v>0.03</v>
      </c>
      <c r="AL119" s="119">
        <v>1.26</v>
      </c>
      <c r="AM119" s="119">
        <v>0.63300000000000001</v>
      </c>
      <c r="AN119" s="119">
        <v>0.32</v>
      </c>
      <c r="AO119" s="12">
        <v>4</v>
      </c>
      <c r="AP119" s="118">
        <v>5.01</v>
      </c>
      <c r="AQ119" s="118">
        <v>15.95</v>
      </c>
      <c r="AR119" s="118">
        <v>10</v>
      </c>
      <c r="AS119" s="118">
        <v>1</v>
      </c>
      <c r="AT119" s="118">
        <v>4.3</v>
      </c>
      <c r="AU119" s="118">
        <v>0.4</v>
      </c>
      <c r="AV119" s="118">
        <v>0.6</v>
      </c>
      <c r="AW119" s="118">
        <v>100</v>
      </c>
      <c r="AX119" s="118">
        <v>5.2</v>
      </c>
      <c r="AY119" s="118">
        <v>20.9</v>
      </c>
      <c r="AZ119" s="118">
        <v>0.12</v>
      </c>
      <c r="BA119" s="118">
        <v>1.7</v>
      </c>
      <c r="BB119" s="118">
        <v>0.01</v>
      </c>
      <c r="BC119" s="118">
        <v>0.1</v>
      </c>
      <c r="BD119" s="118">
        <v>0</v>
      </c>
      <c r="BE119" s="118">
        <v>0</v>
      </c>
      <c r="BF119" s="118">
        <v>0</v>
      </c>
      <c r="BG119" s="118">
        <v>0.3</v>
      </c>
      <c r="BH119" s="12">
        <v>0</v>
      </c>
      <c r="BI119" s="12">
        <v>0</v>
      </c>
      <c r="BJ119" s="12">
        <v>0</v>
      </c>
      <c r="BK119" s="12">
        <v>0</v>
      </c>
      <c r="BL119" s="12">
        <v>0</v>
      </c>
      <c r="BM119" s="12">
        <v>0</v>
      </c>
      <c r="BN119" s="12">
        <v>0</v>
      </c>
      <c r="BO119" s="12" t="s">
        <v>1587</v>
      </c>
    </row>
    <row r="120" spans="1:67" x14ac:dyDescent="0.3">
      <c r="A120" s="12">
        <v>115</v>
      </c>
      <c r="B120" s="12" t="s">
        <v>1588</v>
      </c>
      <c r="C120" s="118">
        <v>25</v>
      </c>
      <c r="D120" s="118">
        <v>0.45</v>
      </c>
      <c r="E120" s="118">
        <v>25</v>
      </c>
      <c r="F120" s="118">
        <v>12</v>
      </c>
      <c r="G120" s="118">
        <v>5</v>
      </c>
      <c r="H120" s="118">
        <v>0.75</v>
      </c>
      <c r="I120" s="118">
        <v>15.1</v>
      </c>
      <c r="J120" s="118">
        <v>80.95</v>
      </c>
      <c r="K120" s="118">
        <v>1</v>
      </c>
      <c r="L120" s="118">
        <v>1</v>
      </c>
      <c r="M120" s="141">
        <v>4.5</v>
      </c>
      <c r="N120" s="118">
        <v>0.01</v>
      </c>
      <c r="O120" s="118">
        <v>0.85</v>
      </c>
      <c r="P120" s="118">
        <v>25</v>
      </c>
      <c r="Q120" s="118">
        <v>1.2</v>
      </c>
      <c r="R120" s="118">
        <v>1</v>
      </c>
      <c r="S120" s="119">
        <v>660.34</v>
      </c>
      <c r="T120" s="119">
        <v>0.04</v>
      </c>
      <c r="U120" s="119">
        <v>5.0000000000000001E-3</v>
      </c>
      <c r="V120" s="119">
        <v>1.7999999999999999E-2</v>
      </c>
      <c r="W120" s="119">
        <v>0.4</v>
      </c>
      <c r="X120" s="119">
        <v>0.6</v>
      </c>
      <c r="Y120" s="119">
        <v>0.33</v>
      </c>
      <c r="Z120" s="119">
        <v>24</v>
      </c>
      <c r="AA120" s="119">
        <v>10</v>
      </c>
      <c r="AB120" s="119">
        <v>0.12</v>
      </c>
      <c r="AC120" s="119">
        <v>5.1499999999999997E-2</v>
      </c>
      <c r="AD120" s="119">
        <v>3.3500000000000002E-2</v>
      </c>
      <c r="AE120" s="119">
        <v>2.9600000000000001E-2</v>
      </c>
      <c r="AF120" s="119">
        <v>7.4000000000000003E-3</v>
      </c>
      <c r="AG120" s="119">
        <v>3.7000000000000002E-3</v>
      </c>
      <c r="AH120" s="119">
        <v>3.5000000000000001E-3</v>
      </c>
      <c r="AI120" s="119">
        <v>1.4E-2</v>
      </c>
      <c r="AJ120" s="119">
        <v>1.2999999999999999E-2</v>
      </c>
      <c r="AK120" s="119">
        <v>1.2E-2</v>
      </c>
      <c r="AL120" s="119">
        <v>1.26</v>
      </c>
      <c r="AM120" s="119">
        <v>0.63</v>
      </c>
      <c r="AN120" s="119">
        <v>0.32</v>
      </c>
      <c r="AO120" s="12">
        <v>1</v>
      </c>
      <c r="AP120" s="118">
        <v>5.01</v>
      </c>
      <c r="AQ120" s="118">
        <v>15.1</v>
      </c>
      <c r="AR120" s="118">
        <v>7</v>
      </c>
      <c r="AS120" s="118">
        <v>1</v>
      </c>
      <c r="AT120" s="118">
        <v>4.75</v>
      </c>
      <c r="AU120" s="118">
        <v>0.4</v>
      </c>
      <c r="AV120" s="118">
        <v>0.2</v>
      </c>
      <c r="AW120" s="118">
        <v>100</v>
      </c>
      <c r="AX120" s="118">
        <v>1.1000000000000001</v>
      </c>
      <c r="AY120" s="118">
        <v>10.9</v>
      </c>
      <c r="AZ120" s="118">
        <v>0.12</v>
      </c>
      <c r="BA120" s="118">
        <v>4.9000000000000004</v>
      </c>
      <c r="BB120" s="118">
        <v>0.01</v>
      </c>
      <c r="BC120" s="118">
        <v>0.1</v>
      </c>
      <c r="BD120" s="118">
        <v>0</v>
      </c>
      <c r="BE120" s="118">
        <v>0</v>
      </c>
      <c r="BF120" s="118">
        <v>0</v>
      </c>
      <c r="BG120" s="118">
        <v>0.3</v>
      </c>
      <c r="BH120" s="12">
        <v>0</v>
      </c>
      <c r="BI120" s="12">
        <v>0</v>
      </c>
      <c r="BJ120" s="12">
        <v>0</v>
      </c>
      <c r="BK120" s="12">
        <v>0</v>
      </c>
      <c r="BL120" s="12">
        <v>0</v>
      </c>
      <c r="BM120" s="12">
        <v>0</v>
      </c>
      <c r="BN120" s="12">
        <v>0</v>
      </c>
      <c r="BO120" s="12" t="s">
        <v>1589</v>
      </c>
    </row>
    <row r="121" spans="1:67" x14ac:dyDescent="0.3">
      <c r="A121" s="12">
        <v>116</v>
      </c>
      <c r="B121" s="12" t="s">
        <v>1590</v>
      </c>
      <c r="C121" s="118">
        <v>20</v>
      </c>
      <c r="D121" s="118">
        <v>0.52</v>
      </c>
      <c r="E121" s="118">
        <v>22.5</v>
      </c>
      <c r="F121" s="118">
        <v>10</v>
      </c>
      <c r="G121" s="118">
        <v>2</v>
      </c>
      <c r="H121" s="118">
        <v>0.5</v>
      </c>
      <c r="I121" s="118">
        <v>15.01</v>
      </c>
      <c r="J121" s="118">
        <v>50.95</v>
      </c>
      <c r="K121" s="118">
        <v>1</v>
      </c>
      <c r="L121" s="118">
        <v>0.5</v>
      </c>
      <c r="M121" s="141">
        <v>3</v>
      </c>
      <c r="N121" s="118">
        <v>7.7999999999999996E-3</v>
      </c>
      <c r="O121" s="118">
        <v>0.85</v>
      </c>
      <c r="P121" s="118">
        <v>100</v>
      </c>
      <c r="Q121" s="118">
        <v>0.5</v>
      </c>
      <c r="R121" s="118">
        <v>1.7</v>
      </c>
      <c r="S121" s="119">
        <v>660.25</v>
      </c>
      <c r="T121" s="119">
        <v>0.04</v>
      </c>
      <c r="U121" s="119">
        <v>5.0000000000000001E-3</v>
      </c>
      <c r="V121" s="119">
        <v>1.7999999999999999E-2</v>
      </c>
      <c r="W121" s="119">
        <v>0.4</v>
      </c>
      <c r="X121" s="119">
        <v>0.6</v>
      </c>
      <c r="Y121" s="119">
        <v>10</v>
      </c>
      <c r="Z121" s="119">
        <v>100</v>
      </c>
      <c r="AA121" s="119">
        <v>10</v>
      </c>
      <c r="AB121" s="119">
        <v>0.13</v>
      </c>
      <c r="AC121" s="119">
        <v>5.5E-2</v>
      </c>
      <c r="AD121" s="119">
        <v>0.03</v>
      </c>
      <c r="AE121" s="119">
        <v>2.3E-2</v>
      </c>
      <c r="AF121" s="119">
        <v>7.4000000000000003E-3</v>
      </c>
      <c r="AG121" s="119">
        <v>3.7000000000000002E-3</v>
      </c>
      <c r="AH121" s="119">
        <v>3.5000000000000001E-3</v>
      </c>
      <c r="AI121" s="119">
        <v>1.4E-2</v>
      </c>
      <c r="AJ121" s="119">
        <v>1.2999999999999999E-2</v>
      </c>
      <c r="AK121" s="119">
        <v>1.2E-2</v>
      </c>
      <c r="AL121" s="119">
        <v>1.266</v>
      </c>
      <c r="AM121" s="119">
        <v>0.63300000000000001</v>
      </c>
      <c r="AN121" s="119">
        <v>0.32</v>
      </c>
      <c r="AO121" s="12">
        <v>1</v>
      </c>
      <c r="AP121" s="118">
        <v>5.0199999999999996</v>
      </c>
      <c r="AQ121" s="118">
        <v>15.95</v>
      </c>
      <c r="AR121" s="118">
        <v>10</v>
      </c>
      <c r="AS121" s="118">
        <v>1</v>
      </c>
      <c r="AT121" s="118">
        <v>4.75</v>
      </c>
      <c r="AU121" s="118">
        <v>0.4</v>
      </c>
      <c r="AV121" s="118">
        <v>0.2</v>
      </c>
      <c r="AW121" s="118">
        <v>100</v>
      </c>
      <c r="AX121" s="118">
        <v>1.1000000000000001</v>
      </c>
      <c r="AY121" s="118">
        <v>10.9</v>
      </c>
      <c r="AZ121" s="118">
        <v>0.12</v>
      </c>
      <c r="BA121" s="118">
        <v>4.9000000000000004</v>
      </c>
      <c r="BB121" s="118">
        <v>0.01</v>
      </c>
      <c r="BC121" s="118">
        <v>0.1</v>
      </c>
      <c r="BD121" s="118">
        <v>0</v>
      </c>
      <c r="BE121" s="118">
        <v>0</v>
      </c>
      <c r="BF121" s="118">
        <v>0</v>
      </c>
      <c r="BG121" s="118">
        <v>0.3</v>
      </c>
      <c r="BH121" s="12">
        <v>0</v>
      </c>
      <c r="BI121" s="12">
        <v>0</v>
      </c>
      <c r="BJ121" s="12">
        <v>0</v>
      </c>
      <c r="BK121" s="12">
        <v>0</v>
      </c>
      <c r="BL121" s="12">
        <v>0</v>
      </c>
      <c r="BM121" s="12">
        <v>0</v>
      </c>
      <c r="BN121" s="12">
        <v>0</v>
      </c>
      <c r="BO121" s="12" t="s">
        <v>1591</v>
      </c>
    </row>
    <row r="122" spans="1:67" x14ac:dyDescent="0.3">
      <c r="A122" s="12">
        <v>117</v>
      </c>
      <c r="B122" s="12" t="s">
        <v>1592</v>
      </c>
      <c r="C122" s="118">
        <v>30</v>
      </c>
      <c r="D122" s="118">
        <v>0.01</v>
      </c>
      <c r="E122" s="118">
        <v>25</v>
      </c>
      <c r="F122" s="118">
        <v>8</v>
      </c>
      <c r="G122" s="118">
        <v>5</v>
      </c>
      <c r="H122" s="118">
        <v>0.99</v>
      </c>
      <c r="I122" s="118">
        <v>15.01</v>
      </c>
      <c r="J122" s="118">
        <v>50.95</v>
      </c>
      <c r="K122" s="118">
        <v>1</v>
      </c>
      <c r="L122" s="118">
        <v>1</v>
      </c>
      <c r="M122" s="141">
        <v>2</v>
      </c>
      <c r="N122" s="118">
        <v>7.0000000000000001E-3</v>
      </c>
      <c r="O122" s="118">
        <v>0.85</v>
      </c>
      <c r="P122" s="118">
        <v>5</v>
      </c>
      <c r="Q122" s="118">
        <v>1</v>
      </c>
      <c r="R122" s="118">
        <v>2</v>
      </c>
      <c r="S122" s="119">
        <v>660.38</v>
      </c>
      <c r="T122" s="119">
        <v>3.0000000000000001E-3</v>
      </c>
      <c r="U122" s="119">
        <v>2.3400000000000001E-2</v>
      </c>
      <c r="V122" s="119">
        <v>3.3E-3</v>
      </c>
      <c r="W122" s="119">
        <v>0.01</v>
      </c>
      <c r="X122" s="119">
        <v>0.6</v>
      </c>
      <c r="Y122" s="119">
        <v>4.41</v>
      </c>
      <c r="Z122" s="119">
        <v>20</v>
      </c>
      <c r="AA122" s="119">
        <v>5</v>
      </c>
      <c r="AB122" s="119">
        <v>0.1</v>
      </c>
      <c r="AC122" s="119">
        <v>0.06</v>
      </c>
      <c r="AD122" s="119">
        <v>2.3099999999999999E-2</v>
      </c>
      <c r="AE122" s="119">
        <v>1.34E-2</v>
      </c>
      <c r="AF122" s="119">
        <v>8.3999999999999995E-3</v>
      </c>
      <c r="AG122" s="119">
        <v>3.2000000000000002E-3</v>
      </c>
      <c r="AH122" s="119">
        <v>1.9E-3</v>
      </c>
      <c r="AI122" s="119">
        <v>2.5000000000000001E-2</v>
      </c>
      <c r="AJ122" s="119">
        <v>1.4999999999999999E-2</v>
      </c>
      <c r="AK122" s="119">
        <v>0.01</v>
      </c>
      <c r="AL122" s="119">
        <v>3.39</v>
      </c>
      <c r="AM122" s="119">
        <v>3.39</v>
      </c>
      <c r="AN122" s="119">
        <v>3.39</v>
      </c>
      <c r="AO122" s="12">
        <v>6</v>
      </c>
      <c r="AP122" s="118">
        <v>5.5</v>
      </c>
      <c r="AQ122" s="118">
        <v>15.95</v>
      </c>
      <c r="AR122" s="118">
        <v>7</v>
      </c>
      <c r="AS122" s="118">
        <v>0.5</v>
      </c>
      <c r="AT122" s="118">
        <v>4.75</v>
      </c>
      <c r="AU122" s="118">
        <v>0.4</v>
      </c>
      <c r="AV122" s="118">
        <v>0.2</v>
      </c>
      <c r="AW122" s="118">
        <v>100</v>
      </c>
      <c r="AX122" s="118">
        <v>10.1</v>
      </c>
      <c r="AY122" s="118">
        <v>100.9</v>
      </c>
      <c r="AZ122" s="118">
        <v>0</v>
      </c>
      <c r="BA122" s="118">
        <v>0</v>
      </c>
      <c r="BB122" s="118">
        <v>0.01</v>
      </c>
      <c r="BC122" s="118">
        <v>0.1</v>
      </c>
      <c r="BD122" s="118">
        <v>0</v>
      </c>
      <c r="BE122" s="118">
        <v>0</v>
      </c>
      <c r="BF122" s="118">
        <v>0</v>
      </c>
      <c r="BG122" s="118">
        <v>0.3</v>
      </c>
      <c r="BH122" s="12">
        <v>1</v>
      </c>
      <c r="BI122" s="12">
        <v>0</v>
      </c>
      <c r="BJ122" s="12">
        <v>0</v>
      </c>
      <c r="BK122" s="12">
        <v>0</v>
      </c>
      <c r="BL122" s="12">
        <v>0</v>
      </c>
      <c r="BM122" s="12">
        <v>0</v>
      </c>
      <c r="BN122" s="12">
        <v>0</v>
      </c>
      <c r="BO122" s="12" t="s">
        <v>1593</v>
      </c>
    </row>
    <row r="123" spans="1:67" x14ac:dyDescent="0.3">
      <c r="A123" s="12">
        <v>118</v>
      </c>
      <c r="B123" s="12" t="s">
        <v>1594</v>
      </c>
      <c r="C123" s="118">
        <v>25</v>
      </c>
      <c r="D123" s="118">
        <v>0.23</v>
      </c>
      <c r="E123" s="118">
        <v>25</v>
      </c>
      <c r="F123" s="118">
        <v>5</v>
      </c>
      <c r="G123" s="118">
        <v>3</v>
      </c>
      <c r="H123" s="118">
        <v>0.49</v>
      </c>
      <c r="I123" s="118">
        <v>15.02</v>
      </c>
      <c r="J123" s="118">
        <v>45.95</v>
      </c>
      <c r="K123" s="118">
        <v>0.3</v>
      </c>
      <c r="L123" s="118">
        <v>0.3</v>
      </c>
      <c r="M123" s="141">
        <v>3</v>
      </c>
      <c r="N123" s="118">
        <v>7.7999999999999996E-3</v>
      </c>
      <c r="O123" s="118">
        <v>0.9</v>
      </c>
      <c r="P123" s="118">
        <v>100</v>
      </c>
      <c r="Q123" s="118">
        <v>1</v>
      </c>
      <c r="R123" s="118">
        <v>1</v>
      </c>
      <c r="S123" s="119">
        <v>660.39</v>
      </c>
      <c r="T123" s="119">
        <v>0.2</v>
      </c>
      <c r="U123" s="119">
        <v>3.7999999999999999E-2</v>
      </c>
      <c r="V123" s="119">
        <v>7.9000000000000008E-3</v>
      </c>
      <c r="W123" s="119">
        <v>0</v>
      </c>
      <c r="X123" s="119">
        <v>0.9</v>
      </c>
      <c r="Y123" s="119">
        <v>4.8</v>
      </c>
      <c r="Z123" s="119">
        <v>100</v>
      </c>
      <c r="AA123" s="119">
        <v>5</v>
      </c>
      <c r="AB123" s="119">
        <v>0.12</v>
      </c>
      <c r="AC123" s="119">
        <v>4.3999999999999997E-2</v>
      </c>
      <c r="AD123" s="119">
        <v>1.8200000000000001E-2</v>
      </c>
      <c r="AE123" s="119">
        <v>1.6400000000000001E-2</v>
      </c>
      <c r="AF123" s="119">
        <v>7.3000000000000001E-3</v>
      </c>
      <c r="AG123" s="119">
        <v>3.7000000000000002E-3</v>
      </c>
      <c r="AH123" s="119">
        <v>2.3E-3</v>
      </c>
      <c r="AI123" s="119">
        <v>0</v>
      </c>
      <c r="AJ123" s="119">
        <v>0</v>
      </c>
      <c r="AK123" s="119">
        <v>0</v>
      </c>
      <c r="AL123" s="119">
        <v>1.27</v>
      </c>
      <c r="AM123" s="119">
        <v>0.6</v>
      </c>
      <c r="AN123" s="119">
        <v>0.73</v>
      </c>
      <c r="AO123" s="12">
        <v>1</v>
      </c>
      <c r="AP123" s="118">
        <v>5.05</v>
      </c>
      <c r="AQ123" s="118">
        <v>15.1</v>
      </c>
      <c r="AR123" s="118">
        <v>10</v>
      </c>
      <c r="AS123" s="118">
        <v>0.5</v>
      </c>
      <c r="AT123" s="118">
        <v>4.75</v>
      </c>
      <c r="AU123" s="118">
        <v>0.4</v>
      </c>
      <c r="AV123" s="118">
        <v>0.2</v>
      </c>
      <c r="AW123" s="118">
        <v>100</v>
      </c>
      <c r="AX123" s="118">
        <v>1.1000000000000001</v>
      </c>
      <c r="AY123" s="118">
        <v>10.9</v>
      </c>
      <c r="AZ123" s="118">
        <v>0</v>
      </c>
      <c r="BA123" s="118">
        <v>0</v>
      </c>
      <c r="BB123" s="118">
        <v>0.01</v>
      </c>
      <c r="BC123" s="118">
        <v>0.1</v>
      </c>
      <c r="BD123" s="118">
        <v>0</v>
      </c>
      <c r="BE123" s="118">
        <v>0</v>
      </c>
      <c r="BF123" s="118">
        <v>0</v>
      </c>
      <c r="BG123" s="118">
        <v>0.3</v>
      </c>
      <c r="BH123" s="12">
        <v>1</v>
      </c>
      <c r="BI123" s="12">
        <v>0</v>
      </c>
      <c r="BJ123" s="12">
        <v>0</v>
      </c>
      <c r="BK123" s="12">
        <v>0</v>
      </c>
      <c r="BL123" s="12">
        <v>0</v>
      </c>
      <c r="BM123" s="12">
        <v>0</v>
      </c>
      <c r="BN123" s="12">
        <v>0</v>
      </c>
      <c r="BO123" s="12" t="s">
        <v>1595</v>
      </c>
    </row>
    <row r="124" spans="1:67" x14ac:dyDescent="0.3">
      <c r="A124" s="12">
        <v>119</v>
      </c>
      <c r="B124" s="12" t="s">
        <v>1596</v>
      </c>
      <c r="C124" s="118">
        <v>35</v>
      </c>
      <c r="D124" s="118">
        <v>0.25</v>
      </c>
      <c r="E124" s="118">
        <v>30</v>
      </c>
      <c r="F124" s="118">
        <v>10</v>
      </c>
      <c r="G124" s="118">
        <v>2.5</v>
      </c>
      <c r="H124" s="118">
        <v>0.85</v>
      </c>
      <c r="I124" s="118">
        <v>15.01</v>
      </c>
      <c r="J124" s="118">
        <v>50.95</v>
      </c>
      <c r="K124" s="118">
        <v>1</v>
      </c>
      <c r="L124" s="118">
        <v>1</v>
      </c>
      <c r="M124" s="141">
        <v>4</v>
      </c>
      <c r="N124" s="118">
        <v>1.2E-2</v>
      </c>
      <c r="O124" s="118">
        <v>0.85</v>
      </c>
      <c r="P124" s="118">
        <v>5</v>
      </c>
      <c r="Q124" s="118">
        <v>1</v>
      </c>
      <c r="R124" s="118">
        <v>1</v>
      </c>
      <c r="S124" s="119">
        <v>660.4</v>
      </c>
      <c r="T124" s="119">
        <v>0.05</v>
      </c>
      <c r="U124" s="119">
        <v>1.9E-2</v>
      </c>
      <c r="V124" s="119">
        <v>3.0000000000000001E-3</v>
      </c>
      <c r="W124" s="119">
        <v>0.1</v>
      </c>
      <c r="X124" s="119">
        <v>0.6</v>
      </c>
      <c r="Y124" s="119">
        <v>0.2</v>
      </c>
      <c r="Z124" s="119">
        <v>140</v>
      </c>
      <c r="AA124" s="119">
        <v>5</v>
      </c>
      <c r="AB124" s="119">
        <v>0.05</v>
      </c>
      <c r="AC124" s="119">
        <v>4.3999999999999997E-2</v>
      </c>
      <c r="AD124" s="119">
        <v>0.02</v>
      </c>
      <c r="AE124" s="119">
        <v>0.01</v>
      </c>
      <c r="AF124" s="119">
        <v>6.0000000000000001E-3</v>
      </c>
      <c r="AG124" s="119">
        <v>2.2000000000000001E-3</v>
      </c>
      <c r="AH124" s="119">
        <v>1.1999999999999999E-3</v>
      </c>
      <c r="AI124" s="119">
        <v>0</v>
      </c>
      <c r="AJ124" s="119">
        <v>0</v>
      </c>
      <c r="AK124" s="119">
        <v>0</v>
      </c>
      <c r="AL124" s="119">
        <v>0.65700000000000003</v>
      </c>
      <c r="AM124" s="119">
        <v>0.65700000000000003</v>
      </c>
      <c r="AN124" s="119">
        <v>0.32</v>
      </c>
      <c r="AO124" s="12">
        <v>4</v>
      </c>
      <c r="AP124" s="118">
        <v>5.01</v>
      </c>
      <c r="AQ124" s="118">
        <v>15.05</v>
      </c>
      <c r="AR124" s="118">
        <v>8</v>
      </c>
      <c r="AS124" s="118">
        <v>0.5</v>
      </c>
      <c r="AT124" s="118">
        <v>4.75</v>
      </c>
      <c r="AU124" s="118">
        <v>0.4</v>
      </c>
      <c r="AV124" s="118">
        <v>0.2</v>
      </c>
      <c r="AW124" s="118">
        <v>100</v>
      </c>
      <c r="AX124" s="118">
        <v>1.1000000000000001</v>
      </c>
      <c r="AY124" s="118">
        <v>10.9</v>
      </c>
      <c r="AZ124" s="118">
        <v>0</v>
      </c>
      <c r="BA124" s="118">
        <v>0</v>
      </c>
      <c r="BB124" s="118">
        <v>0.01</v>
      </c>
      <c r="BC124" s="118">
        <v>0.1</v>
      </c>
      <c r="BD124" s="118">
        <v>0</v>
      </c>
      <c r="BE124" s="118">
        <v>0</v>
      </c>
      <c r="BF124" s="118">
        <v>0</v>
      </c>
      <c r="BG124" s="118">
        <v>0.3</v>
      </c>
      <c r="BH124" s="12">
        <v>1</v>
      </c>
      <c r="BI124" s="12">
        <v>0</v>
      </c>
      <c r="BJ124" s="12">
        <v>0</v>
      </c>
      <c r="BK124" s="12">
        <v>0</v>
      </c>
      <c r="BL124" s="12">
        <v>0</v>
      </c>
      <c r="BM124" s="12">
        <v>0</v>
      </c>
      <c r="BN124" s="12">
        <v>0</v>
      </c>
      <c r="BO124" s="12" t="s">
        <v>1597</v>
      </c>
    </row>
    <row r="125" spans="1:67" x14ac:dyDescent="0.3">
      <c r="A125" s="12">
        <v>120</v>
      </c>
      <c r="B125" s="12" t="s">
        <v>1598</v>
      </c>
      <c r="C125" s="118">
        <v>30</v>
      </c>
      <c r="D125" s="118">
        <v>0.75</v>
      </c>
      <c r="E125" s="118">
        <v>25</v>
      </c>
      <c r="F125" s="118">
        <v>5</v>
      </c>
      <c r="G125" s="118">
        <v>4</v>
      </c>
      <c r="H125" s="118">
        <v>0.99</v>
      </c>
      <c r="I125" s="118">
        <v>5.05</v>
      </c>
      <c r="J125" s="118">
        <v>40.950000000000003</v>
      </c>
      <c r="K125" s="118">
        <v>1</v>
      </c>
      <c r="L125" s="118">
        <v>1</v>
      </c>
      <c r="M125" s="141">
        <v>5</v>
      </c>
      <c r="N125" s="118">
        <v>5.0000000000000001E-3</v>
      </c>
      <c r="O125" s="118">
        <v>0.85</v>
      </c>
      <c r="P125" s="118">
        <v>80</v>
      </c>
      <c r="Q125" s="118">
        <v>3</v>
      </c>
      <c r="R125" s="118">
        <v>3.5</v>
      </c>
      <c r="S125" s="119">
        <v>660.35</v>
      </c>
      <c r="T125" s="119">
        <v>0.05</v>
      </c>
      <c r="U125" s="119">
        <v>1.5E-3</v>
      </c>
      <c r="V125" s="119">
        <v>2.9999999999999997E-4</v>
      </c>
      <c r="W125" s="119">
        <v>0.74</v>
      </c>
      <c r="X125" s="119">
        <v>0.95</v>
      </c>
      <c r="Y125" s="119">
        <v>3</v>
      </c>
      <c r="Z125" s="119">
        <v>1000</v>
      </c>
      <c r="AA125" s="119">
        <v>5</v>
      </c>
      <c r="AB125" s="119">
        <v>0.01</v>
      </c>
      <c r="AC125" s="119">
        <v>0.02</v>
      </c>
      <c r="AD125" s="119">
        <v>0.01</v>
      </c>
      <c r="AE125" s="119">
        <v>8.0000000000000002E-3</v>
      </c>
      <c r="AF125" s="119">
        <v>6.9999999999999999E-4</v>
      </c>
      <c r="AG125" s="119">
        <v>4.0000000000000002E-4</v>
      </c>
      <c r="AH125" s="119">
        <v>2.9999999999999997E-4</v>
      </c>
      <c r="AI125" s="119">
        <v>0</v>
      </c>
      <c r="AJ125" s="119">
        <v>0</v>
      </c>
      <c r="AK125" s="119">
        <v>0</v>
      </c>
      <c r="AL125" s="119">
        <v>3.39</v>
      </c>
      <c r="AM125" s="119">
        <v>3.39</v>
      </c>
      <c r="AN125" s="119">
        <v>3.39</v>
      </c>
      <c r="AO125" s="12">
        <v>3</v>
      </c>
      <c r="AP125" s="118">
        <v>20.010000000000002</v>
      </c>
      <c r="AQ125" s="118">
        <v>40.9</v>
      </c>
      <c r="AR125" s="118">
        <v>8</v>
      </c>
      <c r="AS125" s="118">
        <v>0.5</v>
      </c>
      <c r="AT125" s="118">
        <v>4.75</v>
      </c>
      <c r="AU125" s="118">
        <v>0.4</v>
      </c>
      <c r="AV125" s="118">
        <v>0.2</v>
      </c>
      <c r="AW125" s="118">
        <v>100</v>
      </c>
      <c r="AX125" s="118">
        <v>1000.95</v>
      </c>
      <c r="AY125" s="118">
        <v>100.1</v>
      </c>
      <c r="AZ125" s="118">
        <v>0</v>
      </c>
      <c r="BA125" s="118">
        <v>0</v>
      </c>
      <c r="BB125" s="118">
        <v>0.01</v>
      </c>
      <c r="BC125" s="118">
        <v>0.1</v>
      </c>
      <c r="BD125" s="118">
        <v>0</v>
      </c>
      <c r="BE125" s="118">
        <v>0</v>
      </c>
      <c r="BF125" s="118">
        <v>0</v>
      </c>
      <c r="BG125" s="118">
        <v>0.3</v>
      </c>
      <c r="BH125" s="12">
        <v>0</v>
      </c>
      <c r="BI125" s="12">
        <v>0</v>
      </c>
      <c r="BJ125" s="12">
        <v>0</v>
      </c>
      <c r="BK125" s="12">
        <v>0</v>
      </c>
      <c r="BL125" s="12">
        <v>0</v>
      </c>
      <c r="BM125" s="12">
        <v>0</v>
      </c>
      <c r="BN125" s="12">
        <v>0</v>
      </c>
      <c r="BO125" s="12" t="s">
        <v>1599</v>
      </c>
    </row>
    <row r="126" spans="1:67" x14ac:dyDescent="0.3">
      <c r="A126" s="12">
        <v>121</v>
      </c>
      <c r="B126" s="12" t="s">
        <v>1600</v>
      </c>
      <c r="C126" s="118">
        <v>30</v>
      </c>
      <c r="D126" s="118">
        <v>0.02</v>
      </c>
      <c r="E126" s="118">
        <v>18</v>
      </c>
      <c r="F126" s="118">
        <v>0</v>
      </c>
      <c r="G126" s="118">
        <v>5</v>
      </c>
      <c r="H126" s="118">
        <v>0.5</v>
      </c>
      <c r="I126" s="118">
        <v>5.5</v>
      </c>
      <c r="J126" s="118">
        <v>50.99</v>
      </c>
      <c r="K126" s="118">
        <v>0.5</v>
      </c>
      <c r="L126" s="118">
        <v>1</v>
      </c>
      <c r="M126" s="141">
        <v>2</v>
      </c>
      <c r="N126" s="118">
        <v>7.0000000000000001E-3</v>
      </c>
      <c r="O126" s="118">
        <v>0.85</v>
      </c>
      <c r="P126" s="118">
        <v>90</v>
      </c>
      <c r="Q126" s="118">
        <v>0.8</v>
      </c>
      <c r="R126" s="118">
        <v>1.3</v>
      </c>
      <c r="S126" s="119">
        <v>660.41</v>
      </c>
      <c r="T126" s="119">
        <v>2.1999999999999999E-2</v>
      </c>
      <c r="U126" s="119">
        <v>2.8E-3</v>
      </c>
      <c r="V126" s="119">
        <v>6.0000000000000001E-3</v>
      </c>
      <c r="W126" s="119">
        <v>0.01</v>
      </c>
      <c r="X126" s="119">
        <v>0.6</v>
      </c>
      <c r="Y126" s="119">
        <v>1.33</v>
      </c>
      <c r="Z126" s="119">
        <v>120</v>
      </c>
      <c r="AA126" s="119">
        <v>5</v>
      </c>
      <c r="AB126" s="119">
        <v>0.1</v>
      </c>
      <c r="AC126" s="119">
        <v>6.6000000000000003E-2</v>
      </c>
      <c r="AD126" s="119">
        <v>2.5000000000000001E-2</v>
      </c>
      <c r="AE126" s="119">
        <v>1.47E-2</v>
      </c>
      <c r="AF126" s="119">
        <v>1.0500000000000001E-2</v>
      </c>
      <c r="AG126" s="119">
        <v>4.0000000000000001E-3</v>
      </c>
      <c r="AH126" s="119">
        <v>2.3999999999999998E-3</v>
      </c>
      <c r="AI126" s="119">
        <v>2.3E-2</v>
      </c>
      <c r="AJ126" s="119">
        <v>1.4999999999999999E-2</v>
      </c>
      <c r="AK126" s="119">
        <v>1.0999999999999999E-2</v>
      </c>
      <c r="AL126" s="119">
        <v>3.39</v>
      </c>
      <c r="AM126" s="119">
        <v>3.39</v>
      </c>
      <c r="AN126" s="119">
        <v>1.61</v>
      </c>
      <c r="AO126" s="12">
        <v>5</v>
      </c>
      <c r="AP126" s="118">
        <v>5.01</v>
      </c>
      <c r="AQ126" s="118">
        <v>15.1</v>
      </c>
      <c r="AR126" s="118">
        <v>6</v>
      </c>
      <c r="AS126" s="118">
        <v>0.5</v>
      </c>
      <c r="AT126" s="118">
        <v>4.75</v>
      </c>
      <c r="AU126" s="118">
        <v>0.4</v>
      </c>
      <c r="AV126" s="118">
        <v>0.2</v>
      </c>
      <c r="AW126" s="118">
        <v>100</v>
      </c>
      <c r="AX126" s="118">
        <v>10.1</v>
      </c>
      <c r="AY126" s="118">
        <v>100.9</v>
      </c>
      <c r="AZ126" s="118">
        <v>7.0000000000000007E-2</v>
      </c>
      <c r="BA126" s="118">
        <v>6</v>
      </c>
      <c r="BB126" s="118">
        <v>0.01</v>
      </c>
      <c r="BC126" s="118">
        <v>0.1</v>
      </c>
      <c r="BD126" s="118">
        <v>0</v>
      </c>
      <c r="BE126" s="118">
        <v>0</v>
      </c>
      <c r="BF126" s="118">
        <v>0</v>
      </c>
      <c r="BG126" s="118">
        <v>0.3</v>
      </c>
      <c r="BH126" s="12">
        <v>0</v>
      </c>
      <c r="BI126" s="12">
        <v>0</v>
      </c>
      <c r="BJ126" s="12">
        <v>0</v>
      </c>
      <c r="BK126" s="12">
        <v>0</v>
      </c>
      <c r="BL126" s="12">
        <v>0</v>
      </c>
      <c r="BM126" s="12">
        <v>0</v>
      </c>
      <c r="BN126" s="12">
        <v>0</v>
      </c>
      <c r="BO126" s="12" t="s">
        <v>3842</v>
      </c>
    </row>
    <row r="127" spans="1:67" x14ac:dyDescent="0.3">
      <c r="A127" s="12">
        <v>122</v>
      </c>
      <c r="B127" s="12" t="s">
        <v>3811</v>
      </c>
      <c r="C127" s="118">
        <v>25</v>
      </c>
      <c r="D127" s="118">
        <v>0.25</v>
      </c>
      <c r="E127" s="118">
        <v>13.5</v>
      </c>
      <c r="F127" s="118">
        <v>0</v>
      </c>
      <c r="G127" s="118">
        <v>4</v>
      </c>
      <c r="H127" s="118">
        <v>0.65</v>
      </c>
      <c r="I127" s="118">
        <v>15.01</v>
      </c>
      <c r="J127" s="118">
        <v>50.95</v>
      </c>
      <c r="K127" s="118">
        <v>1</v>
      </c>
      <c r="L127" s="118">
        <v>0.5</v>
      </c>
      <c r="M127" s="141">
        <v>2</v>
      </c>
      <c r="N127" s="118">
        <v>7.0000000000000001E-3</v>
      </c>
      <c r="O127" s="118">
        <v>0.85</v>
      </c>
      <c r="P127" s="118">
        <v>2.5</v>
      </c>
      <c r="Q127" s="118">
        <v>1.3</v>
      </c>
      <c r="R127" s="118">
        <v>2</v>
      </c>
      <c r="S127" s="119">
        <v>660.3</v>
      </c>
      <c r="T127" s="119">
        <v>3.5000000000000003E-2</v>
      </c>
      <c r="U127" s="119">
        <v>6.7000000000000002E-3</v>
      </c>
      <c r="V127" s="119">
        <v>0.02</v>
      </c>
      <c r="W127" s="119">
        <v>0.01</v>
      </c>
      <c r="X127" s="119">
        <v>0.6</v>
      </c>
      <c r="Y127" s="119">
        <v>0.18</v>
      </c>
      <c r="Z127" s="119">
        <v>120</v>
      </c>
      <c r="AA127" s="119">
        <v>0</v>
      </c>
      <c r="AB127" s="119">
        <v>0</v>
      </c>
      <c r="AC127" s="119">
        <v>0.05</v>
      </c>
      <c r="AD127" s="119">
        <v>0.02</v>
      </c>
      <c r="AE127" s="119">
        <v>1.0999999999999999E-2</v>
      </c>
      <c r="AF127" s="119">
        <v>7.0000000000000001E-3</v>
      </c>
      <c r="AG127" s="119">
        <v>2.5000000000000001E-3</v>
      </c>
      <c r="AH127" s="119">
        <v>1.5E-3</v>
      </c>
      <c r="AI127" s="119">
        <v>0</v>
      </c>
      <c r="AJ127" s="119">
        <v>0</v>
      </c>
      <c r="AK127" s="119">
        <v>0</v>
      </c>
      <c r="AL127" s="119">
        <v>1.1379999999999999</v>
      </c>
      <c r="AM127" s="119">
        <v>0.60299999999999998</v>
      </c>
      <c r="AN127" s="119">
        <v>0.32200000000000001</v>
      </c>
      <c r="AO127" s="12">
        <v>5</v>
      </c>
      <c r="AP127" s="118">
        <v>5.01</v>
      </c>
      <c r="AQ127" s="118">
        <v>15.1</v>
      </c>
      <c r="AR127" s="118">
        <v>10</v>
      </c>
      <c r="AS127" s="118">
        <v>1</v>
      </c>
      <c r="AT127" s="118">
        <v>4.75</v>
      </c>
      <c r="AU127" s="118">
        <v>0.4</v>
      </c>
      <c r="AV127" s="118">
        <v>0.2</v>
      </c>
      <c r="AW127" s="118">
        <v>100</v>
      </c>
      <c r="AX127" s="118">
        <v>10.199999999999999</v>
      </c>
      <c r="AY127" s="118">
        <v>100.9</v>
      </c>
      <c r="AZ127" s="118">
        <v>0</v>
      </c>
      <c r="BA127" s="118">
        <v>0</v>
      </c>
      <c r="BB127" s="118">
        <v>0.01</v>
      </c>
      <c r="BC127" s="118">
        <v>0.1</v>
      </c>
      <c r="BD127" s="118">
        <v>0</v>
      </c>
      <c r="BE127" s="118">
        <v>0</v>
      </c>
      <c r="BF127" s="118">
        <v>0</v>
      </c>
      <c r="BG127" s="118">
        <v>0.3</v>
      </c>
      <c r="BH127" s="12">
        <v>0</v>
      </c>
      <c r="BI127" s="12">
        <v>0</v>
      </c>
      <c r="BJ127" s="12">
        <v>0</v>
      </c>
      <c r="BK127" s="12">
        <v>0</v>
      </c>
      <c r="BL127" s="12">
        <v>0</v>
      </c>
      <c r="BM127" s="12">
        <v>0</v>
      </c>
      <c r="BN127" s="12">
        <v>0</v>
      </c>
      <c r="BO127" s="12" t="s">
        <v>3843</v>
      </c>
    </row>
    <row r="128" spans="1:67" x14ac:dyDescent="0.3">
      <c r="A128" s="12">
        <v>123</v>
      </c>
      <c r="B128" s="12" t="s">
        <v>500</v>
      </c>
      <c r="C128" s="118">
        <v>30</v>
      </c>
      <c r="D128" s="118">
        <v>0.02</v>
      </c>
      <c r="E128" s="118">
        <v>30</v>
      </c>
      <c r="F128" s="118">
        <v>10</v>
      </c>
      <c r="G128" s="118">
        <v>2</v>
      </c>
      <c r="H128" s="118">
        <v>0.9</v>
      </c>
      <c r="I128" s="118">
        <v>5.01</v>
      </c>
      <c r="J128" s="118">
        <v>50.95</v>
      </c>
      <c r="K128" s="118">
        <v>1</v>
      </c>
      <c r="L128" s="118">
        <v>1</v>
      </c>
      <c r="M128" s="141">
        <v>3</v>
      </c>
      <c r="N128" s="118">
        <v>7.0000000000000001E-3</v>
      </c>
      <c r="O128" s="118">
        <v>0.85</v>
      </c>
      <c r="P128" s="118">
        <v>100</v>
      </c>
      <c r="Q128" s="118">
        <v>2</v>
      </c>
      <c r="R128" s="118">
        <v>2</v>
      </c>
      <c r="S128" s="119">
        <v>660.35</v>
      </c>
      <c r="T128" s="119">
        <v>0.02</v>
      </c>
      <c r="U128" s="119">
        <v>2.5000000000000001E-3</v>
      </c>
      <c r="V128" s="119">
        <v>0</v>
      </c>
      <c r="W128" s="119">
        <v>0.01</v>
      </c>
      <c r="X128" s="119">
        <v>0.6</v>
      </c>
      <c r="Y128" s="119">
        <v>1</v>
      </c>
      <c r="Z128" s="119">
        <v>1000</v>
      </c>
      <c r="AA128" s="119">
        <v>0</v>
      </c>
      <c r="AB128" s="119">
        <v>0.9</v>
      </c>
      <c r="AC128" s="119">
        <v>0.01</v>
      </c>
      <c r="AD128" s="119">
        <v>4.0000000000000001E-3</v>
      </c>
      <c r="AE128" s="119">
        <v>3.0000000000000001E-3</v>
      </c>
      <c r="AF128" s="119">
        <v>1.4E-3</v>
      </c>
      <c r="AG128" s="119">
        <v>8.0000000000000004E-4</v>
      </c>
      <c r="AH128" s="119">
        <v>5.9999999999999995E-4</v>
      </c>
      <c r="AI128" s="119">
        <v>0</v>
      </c>
      <c r="AJ128" s="119">
        <v>0</v>
      </c>
      <c r="AK128" s="119">
        <v>0</v>
      </c>
      <c r="AL128" s="119">
        <v>3.39</v>
      </c>
      <c r="AM128" s="119">
        <v>3.39</v>
      </c>
      <c r="AN128" s="119">
        <v>3.39</v>
      </c>
      <c r="AO128" s="12">
        <v>6</v>
      </c>
      <c r="AP128" s="118">
        <v>15.01</v>
      </c>
      <c r="AQ128" s="118">
        <v>23.5</v>
      </c>
      <c r="AR128" s="118">
        <v>10</v>
      </c>
      <c r="AS128" s="118">
        <v>1</v>
      </c>
      <c r="AT128" s="118">
        <v>4.75</v>
      </c>
      <c r="AU128" s="118">
        <v>0.4</v>
      </c>
      <c r="AV128" s="118">
        <v>0.2</v>
      </c>
      <c r="AW128" s="118">
        <v>0</v>
      </c>
      <c r="AX128" s="118">
        <v>1.25</v>
      </c>
      <c r="AY128" s="118">
        <v>5.9</v>
      </c>
      <c r="AZ128" s="118">
        <v>0</v>
      </c>
      <c r="BA128" s="118">
        <v>0</v>
      </c>
      <c r="BB128" s="118">
        <v>0.01</v>
      </c>
      <c r="BC128" s="118">
        <v>0.1</v>
      </c>
      <c r="BD128" s="118">
        <v>0</v>
      </c>
      <c r="BE128" s="118">
        <v>0</v>
      </c>
      <c r="BF128" s="118">
        <v>0</v>
      </c>
      <c r="BG128" s="118">
        <v>0.3</v>
      </c>
      <c r="BH128" s="12">
        <v>0</v>
      </c>
      <c r="BI128" s="12">
        <v>0</v>
      </c>
      <c r="BJ128" s="12">
        <v>0</v>
      </c>
      <c r="BK128" s="12">
        <v>0</v>
      </c>
      <c r="BL128" s="12">
        <v>0</v>
      </c>
      <c r="BM128" s="12">
        <v>0</v>
      </c>
      <c r="BN128" s="12">
        <v>0</v>
      </c>
      <c r="BO128" s="12" t="s">
        <v>3844</v>
      </c>
    </row>
    <row r="129" spans="1:67" x14ac:dyDescent="0.3">
      <c r="A129" s="12">
        <v>124</v>
      </c>
      <c r="B129" s="12" t="s">
        <v>1601</v>
      </c>
      <c r="C129" s="118">
        <v>40</v>
      </c>
      <c r="D129" s="118">
        <v>0.6</v>
      </c>
      <c r="E129" s="118">
        <v>27</v>
      </c>
      <c r="F129" s="118">
        <v>10</v>
      </c>
      <c r="G129" s="118">
        <v>6</v>
      </c>
      <c r="H129" s="118">
        <v>0.95</v>
      </c>
      <c r="I129" s="118">
        <v>15.05</v>
      </c>
      <c r="J129" s="118">
        <v>50.95</v>
      </c>
      <c r="K129" s="118">
        <v>0.5</v>
      </c>
      <c r="L129" s="118">
        <v>0.5</v>
      </c>
      <c r="M129" s="141">
        <v>2</v>
      </c>
      <c r="N129" s="118">
        <v>1.2999999999999999E-2</v>
      </c>
      <c r="O129" s="118">
        <v>0.85</v>
      </c>
      <c r="P129" s="118">
        <v>0.5</v>
      </c>
      <c r="Q129" s="118">
        <v>1</v>
      </c>
      <c r="R129" s="118">
        <v>1.5</v>
      </c>
      <c r="S129" s="119">
        <v>660.41</v>
      </c>
      <c r="T129" s="119">
        <v>0.03</v>
      </c>
      <c r="U129" s="119">
        <v>4.4999999999999997E-3</v>
      </c>
      <c r="V129" s="119">
        <v>3.4200000000000001E-2</v>
      </c>
      <c r="W129" s="119">
        <v>0.17</v>
      </c>
      <c r="X129" s="119">
        <v>0.6</v>
      </c>
      <c r="Y129" s="119">
        <v>1136.1600000000001</v>
      </c>
      <c r="Z129" s="119">
        <v>120</v>
      </c>
      <c r="AA129" s="119">
        <v>5</v>
      </c>
      <c r="AB129" s="119">
        <v>0.94</v>
      </c>
      <c r="AC129" s="119">
        <v>0.05</v>
      </c>
      <c r="AD129" s="119">
        <v>2.7E-2</v>
      </c>
      <c r="AE129" s="119">
        <v>2.1999999999999999E-2</v>
      </c>
      <c r="AF129" s="119">
        <v>6.0000000000000001E-3</v>
      </c>
      <c r="AG129" s="119">
        <v>3.5000000000000001E-3</v>
      </c>
      <c r="AH129" s="119">
        <v>3.0000000000000001E-3</v>
      </c>
      <c r="AI129" s="119">
        <v>5.2999999999999999E-2</v>
      </c>
      <c r="AJ129" s="119">
        <v>4.4999999999999998E-2</v>
      </c>
      <c r="AK129" s="119">
        <v>0.04</v>
      </c>
      <c r="AL129" s="119">
        <v>1.1379999999999999</v>
      </c>
      <c r="AM129" s="119">
        <v>0.60299999999999998</v>
      </c>
      <c r="AN129" s="119">
        <v>0.33200000000000002</v>
      </c>
      <c r="AO129" s="12">
        <v>4</v>
      </c>
      <c r="AP129" s="118">
        <v>5.15</v>
      </c>
      <c r="AQ129" s="118">
        <v>15.95</v>
      </c>
      <c r="AR129" s="118">
        <v>8</v>
      </c>
      <c r="AS129" s="118">
        <v>1</v>
      </c>
      <c r="AT129" s="118">
        <v>3.75</v>
      </c>
      <c r="AU129" s="118">
        <v>0.2</v>
      </c>
      <c r="AV129" s="118">
        <v>0.1</v>
      </c>
      <c r="AW129" s="118">
        <v>100</v>
      </c>
      <c r="AX129" s="118">
        <v>4.4000000000000004</v>
      </c>
      <c r="AY129" s="118">
        <v>7.9</v>
      </c>
      <c r="AZ129" s="118">
        <v>0.19</v>
      </c>
      <c r="BA129" s="118">
        <v>1</v>
      </c>
      <c r="BB129" s="118">
        <v>0.01</v>
      </c>
      <c r="BC129" s="118">
        <v>0.1</v>
      </c>
      <c r="BD129" s="118">
        <v>0</v>
      </c>
      <c r="BE129" s="118">
        <v>0</v>
      </c>
      <c r="BF129" s="118">
        <v>0</v>
      </c>
      <c r="BG129" s="118">
        <v>0.3</v>
      </c>
      <c r="BH129" s="12">
        <v>0</v>
      </c>
      <c r="BI129" s="12">
        <v>0</v>
      </c>
      <c r="BJ129" s="12">
        <v>0</v>
      </c>
      <c r="BK129" s="12">
        <v>0</v>
      </c>
      <c r="BL129" s="12">
        <v>0</v>
      </c>
      <c r="BM129" s="12">
        <v>0</v>
      </c>
      <c r="BN129" s="12">
        <v>0</v>
      </c>
      <c r="BO129" s="12" t="s">
        <v>1602</v>
      </c>
    </row>
    <row r="130" spans="1:67" x14ac:dyDescent="0.3">
      <c r="A130" s="12">
        <v>125</v>
      </c>
      <c r="B130" s="12" t="s">
        <v>1603</v>
      </c>
      <c r="C130" s="118">
        <v>10</v>
      </c>
      <c r="D130" s="118">
        <v>0.05</v>
      </c>
      <c r="E130" s="118">
        <v>30</v>
      </c>
      <c r="F130" s="118">
        <v>10</v>
      </c>
      <c r="G130" s="118">
        <v>1.35</v>
      </c>
      <c r="H130" s="118">
        <v>0.99</v>
      </c>
      <c r="I130" s="118">
        <v>5.05</v>
      </c>
      <c r="J130" s="118">
        <v>40.950000000000003</v>
      </c>
      <c r="K130" s="118">
        <v>1</v>
      </c>
      <c r="L130" s="118">
        <v>1</v>
      </c>
      <c r="M130" s="141">
        <v>5</v>
      </c>
      <c r="N130" s="118">
        <v>5.0000000000000001E-3</v>
      </c>
      <c r="O130" s="118">
        <v>0.85</v>
      </c>
      <c r="P130" s="118">
        <v>80</v>
      </c>
      <c r="Q130" s="118">
        <v>6</v>
      </c>
      <c r="R130" s="118">
        <v>3.5</v>
      </c>
      <c r="S130" s="119">
        <v>660.15</v>
      </c>
      <c r="T130" s="119">
        <v>1.5E-3</v>
      </c>
      <c r="U130" s="119">
        <v>2.9999999999999997E-4</v>
      </c>
      <c r="V130" s="119">
        <v>2E-3</v>
      </c>
      <c r="W130" s="119">
        <v>0.05</v>
      </c>
      <c r="X130" s="119">
        <v>0.6</v>
      </c>
      <c r="Y130" s="119">
        <v>6.72</v>
      </c>
      <c r="Z130" s="119">
        <v>1000</v>
      </c>
      <c r="AA130" s="119">
        <v>5</v>
      </c>
      <c r="AB130" s="119">
        <v>0.01</v>
      </c>
      <c r="AC130" s="119">
        <v>0.02</v>
      </c>
      <c r="AD130" s="119">
        <v>0.01</v>
      </c>
      <c r="AE130" s="119">
        <v>8.0000000000000002E-3</v>
      </c>
      <c r="AF130" s="119">
        <v>6.9999999999999999E-4</v>
      </c>
      <c r="AG130" s="119">
        <v>4.0000000000000002E-4</v>
      </c>
      <c r="AH130" s="119">
        <v>2.9999999999999997E-4</v>
      </c>
      <c r="AI130" s="119">
        <v>6.0000000000000001E-3</v>
      </c>
      <c r="AJ130" s="119">
        <v>3.0000000000000001E-3</v>
      </c>
      <c r="AK130" s="119">
        <v>2E-3</v>
      </c>
      <c r="AL130" s="119">
        <v>3.39</v>
      </c>
      <c r="AM130" s="119">
        <v>3.39</v>
      </c>
      <c r="AN130" s="119">
        <v>3.39</v>
      </c>
      <c r="AO130" s="12">
        <v>8</v>
      </c>
      <c r="AP130" s="118">
        <v>5.0999999999999996</v>
      </c>
      <c r="AQ130" s="118">
        <v>15.5</v>
      </c>
      <c r="AR130" s="118">
        <v>8</v>
      </c>
      <c r="AS130" s="118">
        <v>1</v>
      </c>
      <c r="AT130" s="118">
        <v>4.75</v>
      </c>
      <c r="AU130" s="118">
        <v>0.4</v>
      </c>
      <c r="AV130" s="118">
        <v>0.2</v>
      </c>
      <c r="AW130" s="118">
        <v>100</v>
      </c>
      <c r="AX130" s="118">
        <v>120.88</v>
      </c>
      <c r="AY130" s="118">
        <v>20.13</v>
      </c>
      <c r="AZ130" s="118">
        <v>0.05</v>
      </c>
      <c r="BA130" s="118">
        <v>1</v>
      </c>
      <c r="BB130" s="118">
        <v>0.01</v>
      </c>
      <c r="BC130" s="118">
        <v>0.1</v>
      </c>
      <c r="BD130" s="118">
        <v>0</v>
      </c>
      <c r="BE130" s="118">
        <v>0</v>
      </c>
      <c r="BF130" s="118">
        <v>0</v>
      </c>
      <c r="BG130" s="118">
        <v>0.3</v>
      </c>
      <c r="BH130" s="12">
        <v>3</v>
      </c>
      <c r="BI130" s="12">
        <v>0</v>
      </c>
      <c r="BJ130" s="12">
        <v>0</v>
      </c>
      <c r="BK130" s="12">
        <v>0</v>
      </c>
      <c r="BL130" s="12">
        <v>0</v>
      </c>
      <c r="BM130" s="12">
        <v>0</v>
      </c>
      <c r="BN130" s="12">
        <v>0</v>
      </c>
      <c r="BO130" s="12" t="s">
        <v>1604</v>
      </c>
    </row>
    <row r="131" spans="1:67" x14ac:dyDescent="0.3">
      <c r="A131" s="12">
        <v>126</v>
      </c>
      <c r="B131" s="12" t="s">
        <v>1605</v>
      </c>
      <c r="C131" s="118">
        <v>15</v>
      </c>
      <c r="D131" s="118">
        <v>0.02</v>
      </c>
      <c r="E131" s="118">
        <v>25</v>
      </c>
      <c r="F131" s="118">
        <v>10</v>
      </c>
      <c r="G131" s="118">
        <v>5</v>
      </c>
      <c r="H131" s="118">
        <v>0.6</v>
      </c>
      <c r="I131" s="118">
        <v>15.01</v>
      </c>
      <c r="J131" s="118">
        <v>50.95</v>
      </c>
      <c r="K131" s="118">
        <v>0.5</v>
      </c>
      <c r="L131" s="118">
        <v>0.5</v>
      </c>
      <c r="M131" s="141">
        <v>3</v>
      </c>
      <c r="N131" s="118">
        <v>0.01</v>
      </c>
      <c r="O131" s="118">
        <v>0.85</v>
      </c>
      <c r="P131" s="118">
        <v>15</v>
      </c>
      <c r="Q131" s="118">
        <v>1.25</v>
      </c>
      <c r="R131" s="118">
        <v>2</v>
      </c>
      <c r="S131" s="119">
        <v>660.27</v>
      </c>
      <c r="T131" s="119">
        <v>6.0100000000000001E-2</v>
      </c>
      <c r="U131" s="119">
        <v>6.6E-3</v>
      </c>
      <c r="V131" s="119">
        <v>7.4000000000000003E-3</v>
      </c>
      <c r="W131" s="119">
        <v>0.01</v>
      </c>
      <c r="X131" s="119">
        <v>0.6</v>
      </c>
      <c r="Y131" s="119">
        <v>3.64</v>
      </c>
      <c r="Z131" s="119">
        <v>77</v>
      </c>
      <c r="AA131" s="119">
        <v>172.86</v>
      </c>
      <c r="AB131" s="119">
        <v>0.12</v>
      </c>
      <c r="AC131" s="119">
        <v>5.1499999999999997E-2</v>
      </c>
      <c r="AD131" s="119">
        <v>2.9100000000000001E-2</v>
      </c>
      <c r="AE131" s="119">
        <v>2.47E-2</v>
      </c>
      <c r="AF131" s="119">
        <v>8.2000000000000007E-3</v>
      </c>
      <c r="AG131" s="119">
        <v>2.8E-3</v>
      </c>
      <c r="AH131" s="119">
        <v>2.2000000000000001E-3</v>
      </c>
      <c r="AI131" s="119">
        <v>2.3099999999999999E-2</v>
      </c>
      <c r="AJ131" s="119">
        <v>1.89E-2</v>
      </c>
      <c r="AK131" s="119">
        <v>1.78E-2</v>
      </c>
      <c r="AL131" s="119">
        <v>3.39</v>
      </c>
      <c r="AM131" s="119">
        <v>3.39</v>
      </c>
      <c r="AN131" s="119">
        <v>3.39</v>
      </c>
      <c r="AO131" s="12">
        <v>3</v>
      </c>
      <c r="AP131" s="118">
        <v>5.01</v>
      </c>
      <c r="AQ131" s="118">
        <v>15.1</v>
      </c>
      <c r="AR131" s="118">
        <v>4</v>
      </c>
      <c r="AS131" s="118">
        <v>0.5</v>
      </c>
      <c r="AT131" s="118">
        <v>4.75</v>
      </c>
      <c r="AU131" s="118">
        <v>0.4</v>
      </c>
      <c r="AV131" s="118">
        <v>0.2</v>
      </c>
      <c r="AW131" s="118">
        <v>100</v>
      </c>
      <c r="AX131" s="118">
        <v>22.5</v>
      </c>
      <c r="AY131" s="118">
        <v>40.71</v>
      </c>
      <c r="AZ131" s="118">
        <v>7.0000000000000007E-2</v>
      </c>
      <c r="BA131" s="118">
        <v>2</v>
      </c>
      <c r="BB131" s="118">
        <v>0.01</v>
      </c>
      <c r="BC131" s="118">
        <v>0.1</v>
      </c>
      <c r="BD131" s="118">
        <v>0</v>
      </c>
      <c r="BE131" s="118">
        <v>0</v>
      </c>
      <c r="BF131" s="118">
        <v>0</v>
      </c>
      <c r="BG131" s="118">
        <v>0.3</v>
      </c>
      <c r="BH131" s="12">
        <v>0</v>
      </c>
      <c r="BI131" s="12">
        <v>0</v>
      </c>
      <c r="BJ131" s="12">
        <v>0</v>
      </c>
      <c r="BK131" s="12">
        <v>0</v>
      </c>
      <c r="BL131" s="12">
        <v>0</v>
      </c>
      <c r="BM131" s="12">
        <v>0</v>
      </c>
      <c r="BN131" s="12">
        <v>0</v>
      </c>
      <c r="BO131" s="12" t="s">
        <v>1605</v>
      </c>
    </row>
    <row r="132" spans="1:67" x14ac:dyDescent="0.3">
      <c r="A132" s="12">
        <v>127</v>
      </c>
      <c r="B132" s="12" t="s">
        <v>1606</v>
      </c>
      <c r="C132" s="118">
        <v>30</v>
      </c>
      <c r="D132" s="118">
        <v>0.02</v>
      </c>
      <c r="E132" s="118">
        <v>15</v>
      </c>
      <c r="F132" s="118">
        <v>0</v>
      </c>
      <c r="G132" s="118">
        <v>5</v>
      </c>
      <c r="H132" s="118">
        <v>0.8</v>
      </c>
      <c r="I132" s="118">
        <v>15.01</v>
      </c>
      <c r="J132" s="118">
        <v>50.95</v>
      </c>
      <c r="K132" s="118">
        <v>1</v>
      </c>
      <c r="L132" s="118">
        <v>1</v>
      </c>
      <c r="M132" s="141">
        <v>2</v>
      </c>
      <c r="N132" s="118">
        <v>7.0000000000000001E-3</v>
      </c>
      <c r="O132" s="118">
        <v>0.85</v>
      </c>
      <c r="P132" s="118">
        <v>90</v>
      </c>
      <c r="Q132" s="118">
        <v>1.2</v>
      </c>
      <c r="R132" s="118">
        <v>2</v>
      </c>
      <c r="S132" s="119">
        <v>660.41</v>
      </c>
      <c r="T132" s="119">
        <v>1.4999999999999999E-2</v>
      </c>
      <c r="U132" s="119">
        <v>2E-3</v>
      </c>
      <c r="V132" s="119">
        <v>1.6E-2</v>
      </c>
      <c r="W132" s="119">
        <v>0.01</v>
      </c>
      <c r="X132" s="119">
        <v>0.6</v>
      </c>
      <c r="Y132" s="119">
        <v>2.0099999999999998</v>
      </c>
      <c r="Z132" s="119">
        <v>120</v>
      </c>
      <c r="AA132" s="119">
        <v>5</v>
      </c>
      <c r="AB132" s="119">
        <v>0.1</v>
      </c>
      <c r="AC132" s="119">
        <v>4.4400000000000002E-2</v>
      </c>
      <c r="AD132" s="119">
        <v>2.3300000000000001E-2</v>
      </c>
      <c r="AE132" s="119">
        <v>1.3299999999999999E-2</v>
      </c>
      <c r="AF132" s="119">
        <v>8.5000000000000006E-3</v>
      </c>
      <c r="AG132" s="119">
        <v>3.3999999999999998E-3</v>
      </c>
      <c r="AH132" s="119">
        <v>1.9E-3</v>
      </c>
      <c r="AI132" s="119">
        <v>2.3E-2</v>
      </c>
      <c r="AJ132" s="119">
        <v>1.9E-2</v>
      </c>
      <c r="AK132" s="119">
        <v>1.6E-2</v>
      </c>
      <c r="AL132" s="119">
        <v>3.39</v>
      </c>
      <c r="AM132" s="119">
        <v>3.39</v>
      </c>
      <c r="AN132" s="119">
        <v>3.39</v>
      </c>
      <c r="AO132" s="12">
        <v>6</v>
      </c>
      <c r="AP132" s="118">
        <v>5.01</v>
      </c>
      <c r="AQ132" s="118">
        <v>15.1</v>
      </c>
      <c r="AR132" s="118">
        <v>8</v>
      </c>
      <c r="AS132" s="118">
        <v>0.5</v>
      </c>
      <c r="AT132" s="118">
        <v>4.75</v>
      </c>
      <c r="AU132" s="118">
        <v>0.4</v>
      </c>
      <c r="AV132" s="118">
        <v>0.2</v>
      </c>
      <c r="AW132" s="118">
        <v>100</v>
      </c>
      <c r="AX132" s="118">
        <v>22.5</v>
      </c>
      <c r="AY132" s="118">
        <v>40.71</v>
      </c>
      <c r="AZ132" s="118">
        <v>0.05</v>
      </c>
      <c r="BA132" s="118">
        <v>3.9</v>
      </c>
      <c r="BB132" s="118">
        <v>0.01</v>
      </c>
      <c r="BC132" s="118">
        <v>0.1</v>
      </c>
      <c r="BD132" s="118">
        <v>0</v>
      </c>
      <c r="BE132" s="118">
        <v>0</v>
      </c>
      <c r="BF132" s="118">
        <v>0</v>
      </c>
      <c r="BG132" s="118">
        <v>0.3</v>
      </c>
      <c r="BH132" s="12">
        <v>1</v>
      </c>
      <c r="BI132" s="12">
        <v>0</v>
      </c>
      <c r="BJ132" s="12">
        <v>0</v>
      </c>
      <c r="BK132" s="12">
        <v>0</v>
      </c>
      <c r="BL132" s="12">
        <v>0</v>
      </c>
      <c r="BM132" s="12">
        <v>0</v>
      </c>
      <c r="BN132" s="12">
        <v>0</v>
      </c>
      <c r="BO132" s="12" t="s">
        <v>1607</v>
      </c>
    </row>
    <row r="133" spans="1:67" x14ac:dyDescent="0.3">
      <c r="A133" s="12">
        <v>128</v>
      </c>
      <c r="B133" s="12" t="s">
        <v>1608</v>
      </c>
      <c r="C133" s="118">
        <v>30</v>
      </c>
      <c r="D133" s="118">
        <v>0.02</v>
      </c>
      <c r="E133" s="118">
        <v>15</v>
      </c>
      <c r="F133" s="118">
        <v>0</v>
      </c>
      <c r="G133" s="118">
        <v>5</v>
      </c>
      <c r="H133" s="118">
        <v>0.8</v>
      </c>
      <c r="I133" s="118">
        <v>15.01</v>
      </c>
      <c r="J133" s="118">
        <v>50.95</v>
      </c>
      <c r="K133" s="118">
        <v>1</v>
      </c>
      <c r="L133" s="118">
        <v>1</v>
      </c>
      <c r="M133" s="141">
        <v>2</v>
      </c>
      <c r="N133" s="118">
        <v>7.0000000000000001E-3</v>
      </c>
      <c r="O133" s="118">
        <v>0.85</v>
      </c>
      <c r="P133" s="118">
        <v>90</v>
      </c>
      <c r="Q133" s="118">
        <v>1.2</v>
      </c>
      <c r="R133" s="118">
        <v>2</v>
      </c>
      <c r="S133" s="119">
        <v>660.41</v>
      </c>
      <c r="T133" s="119">
        <v>1.4999999999999999E-2</v>
      </c>
      <c r="U133" s="119">
        <v>2E-3</v>
      </c>
      <c r="V133" s="119">
        <v>1.6E-2</v>
      </c>
      <c r="W133" s="119">
        <v>0.01</v>
      </c>
      <c r="X133" s="119">
        <v>0.6</v>
      </c>
      <c r="Y133" s="119">
        <v>2.0099999999999998</v>
      </c>
      <c r="Z133" s="119">
        <v>120</v>
      </c>
      <c r="AA133" s="119">
        <v>5</v>
      </c>
      <c r="AB133" s="119">
        <v>0.1</v>
      </c>
      <c r="AC133" s="119">
        <v>0.04</v>
      </c>
      <c r="AD133" s="119">
        <v>2.1000000000000001E-2</v>
      </c>
      <c r="AE133" s="119">
        <v>1.2E-2</v>
      </c>
      <c r="AF133" s="119">
        <v>9.9000000000000008E-3</v>
      </c>
      <c r="AG133" s="119">
        <v>3.8999999999999998E-3</v>
      </c>
      <c r="AH133" s="119">
        <v>2.2000000000000001E-3</v>
      </c>
      <c r="AI133" s="119">
        <v>2.3E-2</v>
      </c>
      <c r="AJ133" s="119">
        <v>1.9E-2</v>
      </c>
      <c r="AK133" s="119">
        <v>1.6E-2</v>
      </c>
      <c r="AL133" s="119">
        <v>3.39</v>
      </c>
      <c r="AM133" s="119">
        <v>3.39</v>
      </c>
      <c r="AN133" s="119">
        <v>3.39</v>
      </c>
      <c r="AO133" s="12">
        <v>6</v>
      </c>
      <c r="AP133" s="118">
        <v>5.01</v>
      </c>
      <c r="AQ133" s="118">
        <v>15.1</v>
      </c>
      <c r="AR133" s="118">
        <v>8</v>
      </c>
      <c r="AS133" s="118">
        <v>0.5</v>
      </c>
      <c r="AT133" s="118">
        <v>4.75</v>
      </c>
      <c r="AU133" s="118">
        <v>0.4</v>
      </c>
      <c r="AV133" s="118">
        <v>0.2</v>
      </c>
      <c r="AW133" s="118">
        <v>100</v>
      </c>
      <c r="AX133" s="118">
        <v>22.5</v>
      </c>
      <c r="AY133" s="118">
        <v>40.71</v>
      </c>
      <c r="AZ133" s="118">
        <v>0.05</v>
      </c>
      <c r="BA133" s="118">
        <v>3.9</v>
      </c>
      <c r="BB133" s="118">
        <v>0.01</v>
      </c>
      <c r="BC133" s="118">
        <v>0.1</v>
      </c>
      <c r="BD133" s="118">
        <v>0</v>
      </c>
      <c r="BE133" s="118">
        <v>0</v>
      </c>
      <c r="BF133" s="118">
        <v>0</v>
      </c>
      <c r="BG133" s="118">
        <v>0.3</v>
      </c>
      <c r="BH133" s="12">
        <v>1</v>
      </c>
      <c r="BI133" s="12">
        <v>0</v>
      </c>
      <c r="BJ133" s="12">
        <v>0</v>
      </c>
      <c r="BK133" s="12">
        <v>0</v>
      </c>
      <c r="BL133" s="12">
        <v>0</v>
      </c>
      <c r="BM133" s="12">
        <v>0</v>
      </c>
      <c r="BN133" s="12">
        <v>0</v>
      </c>
      <c r="BO133" s="12" t="s">
        <v>1609</v>
      </c>
    </row>
    <row r="134" spans="1:67" x14ac:dyDescent="0.3">
      <c r="A134" s="12">
        <v>129</v>
      </c>
      <c r="B134" s="12" t="s">
        <v>1610</v>
      </c>
      <c r="C134" s="118">
        <v>25</v>
      </c>
      <c r="D134" s="118">
        <v>0.05</v>
      </c>
      <c r="E134" s="118">
        <v>30</v>
      </c>
      <c r="F134" s="118">
        <v>10</v>
      </c>
      <c r="G134" s="118">
        <v>7</v>
      </c>
      <c r="H134" s="118">
        <v>0.99</v>
      </c>
      <c r="I134" s="118">
        <v>5.05</v>
      </c>
      <c r="J134" s="118">
        <v>40.950000000000003</v>
      </c>
      <c r="K134" s="118">
        <v>1</v>
      </c>
      <c r="L134" s="118">
        <v>1</v>
      </c>
      <c r="M134" s="141">
        <v>4</v>
      </c>
      <c r="N134" s="118">
        <v>1.2E-2</v>
      </c>
      <c r="O134" s="118">
        <v>0.85</v>
      </c>
      <c r="P134" s="118">
        <v>80</v>
      </c>
      <c r="Q134" s="118">
        <v>6</v>
      </c>
      <c r="R134" s="118">
        <v>3.5</v>
      </c>
      <c r="S134" s="119">
        <v>660.34</v>
      </c>
      <c r="T134" s="119">
        <v>1.5E-3</v>
      </c>
      <c r="U134" s="119">
        <v>2.9999999999999997E-4</v>
      </c>
      <c r="V134" s="119">
        <v>2E-3</v>
      </c>
      <c r="W134" s="119">
        <v>0.05</v>
      </c>
      <c r="X134" s="119">
        <v>0.6</v>
      </c>
      <c r="Y134" s="119">
        <v>6.72</v>
      </c>
      <c r="Z134" s="119">
        <v>1000</v>
      </c>
      <c r="AA134" s="119">
        <v>5</v>
      </c>
      <c r="AB134" s="119">
        <v>0.01</v>
      </c>
      <c r="AC134" s="119">
        <v>6.0000000000000001E-3</v>
      </c>
      <c r="AD134" s="119">
        <v>2E-3</v>
      </c>
      <c r="AE134" s="119">
        <v>1.5E-3</v>
      </c>
      <c r="AF134" s="119">
        <v>6.9999999999999999E-4</v>
      </c>
      <c r="AG134" s="119">
        <v>4.0000000000000002E-4</v>
      </c>
      <c r="AH134" s="119">
        <v>2.9999999999999997E-4</v>
      </c>
      <c r="AI134" s="119">
        <v>6.0000000000000001E-3</v>
      </c>
      <c r="AJ134" s="119">
        <v>3.0000000000000001E-3</v>
      </c>
      <c r="AK134" s="119">
        <v>2E-3</v>
      </c>
      <c r="AL134" s="119">
        <v>3.39</v>
      </c>
      <c r="AM134" s="119">
        <v>3.39</v>
      </c>
      <c r="AN134" s="119">
        <v>3.39</v>
      </c>
      <c r="AO134" s="12">
        <v>8</v>
      </c>
      <c r="AP134" s="118">
        <v>5.0999999999999996</v>
      </c>
      <c r="AQ134" s="118">
        <v>15.5</v>
      </c>
      <c r="AR134" s="118">
        <v>8</v>
      </c>
      <c r="AS134" s="118">
        <v>1</v>
      </c>
      <c r="AT134" s="118">
        <v>4.75</v>
      </c>
      <c r="AU134" s="118">
        <v>0.4</v>
      </c>
      <c r="AV134" s="118">
        <v>0.2</v>
      </c>
      <c r="AW134" s="118">
        <v>100</v>
      </c>
      <c r="AX134" s="118">
        <v>68.989999999999995</v>
      </c>
      <c r="AY134" s="118">
        <v>20.350000000000001</v>
      </c>
      <c r="AZ134" s="118">
        <v>0.05</v>
      </c>
      <c r="BA134" s="118">
        <v>1</v>
      </c>
      <c r="BB134" s="118">
        <v>0.01</v>
      </c>
      <c r="BC134" s="118">
        <v>0.1</v>
      </c>
      <c r="BD134" s="118">
        <v>0</v>
      </c>
      <c r="BE134" s="118">
        <v>0.01</v>
      </c>
      <c r="BF134" s="118">
        <v>0</v>
      </c>
      <c r="BG134" s="118">
        <v>0.3</v>
      </c>
      <c r="BH134" s="12">
        <v>0</v>
      </c>
      <c r="BI134" s="12">
        <v>0</v>
      </c>
      <c r="BJ134" s="12">
        <v>0</v>
      </c>
      <c r="BK134" s="12">
        <v>0</v>
      </c>
      <c r="BL134" s="12">
        <v>0</v>
      </c>
      <c r="BM134" s="12">
        <v>0</v>
      </c>
      <c r="BN134" s="12">
        <v>0</v>
      </c>
      <c r="BO134" s="12" t="s">
        <v>1611</v>
      </c>
    </row>
    <row r="135" spans="1:67" x14ac:dyDescent="0.3">
      <c r="A135" s="12">
        <v>130</v>
      </c>
      <c r="B135" s="12" t="s">
        <v>1612</v>
      </c>
      <c r="C135" s="118">
        <v>15</v>
      </c>
      <c r="D135" s="118">
        <v>0.75</v>
      </c>
      <c r="E135" s="118">
        <v>30</v>
      </c>
      <c r="F135" s="118">
        <v>10</v>
      </c>
      <c r="G135" s="118">
        <v>5</v>
      </c>
      <c r="H135" s="118">
        <v>0.99</v>
      </c>
      <c r="I135" s="118">
        <v>5.05</v>
      </c>
      <c r="J135" s="118">
        <v>40.950000000000003</v>
      </c>
      <c r="K135" s="118">
        <v>1</v>
      </c>
      <c r="L135" s="118">
        <v>1</v>
      </c>
      <c r="M135" s="141">
        <v>5</v>
      </c>
      <c r="N135" s="118">
        <v>5.0000000000000001E-3</v>
      </c>
      <c r="O135" s="118">
        <v>0.85</v>
      </c>
      <c r="P135" s="118">
        <v>80</v>
      </c>
      <c r="Q135" s="118">
        <v>6</v>
      </c>
      <c r="R135" s="118">
        <v>3.5</v>
      </c>
      <c r="S135" s="119">
        <v>660.15</v>
      </c>
      <c r="T135" s="119">
        <v>1.5E-3</v>
      </c>
      <c r="U135" s="119">
        <v>2.9999999999999997E-4</v>
      </c>
      <c r="V135" s="119">
        <v>2E-3</v>
      </c>
      <c r="W135" s="119">
        <v>0.05</v>
      </c>
      <c r="X135" s="119">
        <v>0.6</v>
      </c>
      <c r="Y135" s="119">
        <v>3</v>
      </c>
      <c r="Z135" s="119">
        <v>0</v>
      </c>
      <c r="AA135" s="119">
        <v>100</v>
      </c>
      <c r="AB135" s="119">
        <v>0.01</v>
      </c>
      <c r="AC135" s="119">
        <v>6.0000000000000001E-3</v>
      </c>
      <c r="AD135" s="119">
        <v>2E-3</v>
      </c>
      <c r="AE135" s="119">
        <v>1.5E-3</v>
      </c>
      <c r="AF135" s="119">
        <v>6.9999999999999999E-4</v>
      </c>
      <c r="AG135" s="119">
        <v>4.0000000000000002E-4</v>
      </c>
      <c r="AH135" s="119">
        <v>2.9999999999999997E-4</v>
      </c>
      <c r="AI135" s="119">
        <v>6.0000000000000001E-3</v>
      </c>
      <c r="AJ135" s="119">
        <v>3.0000000000000001E-3</v>
      </c>
      <c r="AK135" s="119">
        <v>2E-3</v>
      </c>
      <c r="AL135" s="119">
        <v>3.39</v>
      </c>
      <c r="AM135" s="119">
        <v>3.39</v>
      </c>
      <c r="AN135" s="119">
        <v>3.39</v>
      </c>
      <c r="AO135" s="12">
        <v>8</v>
      </c>
      <c r="AP135" s="118">
        <v>5.0999999999999996</v>
      </c>
      <c r="AQ135" s="118">
        <v>15.5</v>
      </c>
      <c r="AR135" s="118">
        <v>8</v>
      </c>
      <c r="AS135" s="118">
        <v>1</v>
      </c>
      <c r="AT135" s="118">
        <v>4.75</v>
      </c>
      <c r="AU135" s="118">
        <v>0.4</v>
      </c>
      <c r="AV135" s="118">
        <v>0.2</v>
      </c>
      <c r="AW135" s="118">
        <v>100</v>
      </c>
      <c r="AX135" s="118">
        <v>1000.95</v>
      </c>
      <c r="AY135" s="118">
        <v>100.05</v>
      </c>
      <c r="AZ135" s="118">
        <v>0.05</v>
      </c>
      <c r="BA135" s="118">
        <v>1</v>
      </c>
      <c r="BB135" s="118">
        <v>0.01</v>
      </c>
      <c r="BC135" s="118">
        <v>0.1</v>
      </c>
      <c r="BD135" s="118">
        <v>0</v>
      </c>
      <c r="BE135" s="118">
        <v>0.01</v>
      </c>
      <c r="BF135" s="118">
        <v>0</v>
      </c>
      <c r="BG135" s="118">
        <v>0.3</v>
      </c>
      <c r="BH135" s="12">
        <v>0</v>
      </c>
      <c r="BI135" s="12">
        <v>0</v>
      </c>
      <c r="BJ135" s="12">
        <v>0</v>
      </c>
      <c r="BK135" s="12">
        <v>0</v>
      </c>
      <c r="BL135" s="12">
        <v>0</v>
      </c>
      <c r="BM135" s="12">
        <v>0</v>
      </c>
      <c r="BN135" s="12">
        <v>0</v>
      </c>
      <c r="BO135" s="12" t="s">
        <v>1613</v>
      </c>
    </row>
    <row r="136" spans="1:67" x14ac:dyDescent="0.3">
      <c r="A136" s="12">
        <v>131</v>
      </c>
      <c r="B136" s="12" t="s">
        <v>1614</v>
      </c>
      <c r="C136" s="118">
        <v>30</v>
      </c>
      <c r="D136" s="118">
        <v>0.02</v>
      </c>
      <c r="E136" s="118">
        <v>24</v>
      </c>
      <c r="F136" s="118">
        <v>4</v>
      </c>
      <c r="G136" s="118">
        <v>1.5</v>
      </c>
      <c r="H136" s="118">
        <v>0.8</v>
      </c>
      <c r="I136" s="118">
        <v>15.01</v>
      </c>
      <c r="J136" s="118">
        <v>50.95</v>
      </c>
      <c r="K136" s="118">
        <v>1</v>
      </c>
      <c r="L136" s="118">
        <v>1</v>
      </c>
      <c r="M136" s="141">
        <v>2</v>
      </c>
      <c r="N136" s="118">
        <v>7.4000000000000003E-3</v>
      </c>
      <c r="O136" s="118">
        <v>0.85</v>
      </c>
      <c r="P136" s="118">
        <v>90</v>
      </c>
      <c r="Q136" s="118">
        <v>1</v>
      </c>
      <c r="R136" s="118">
        <v>2</v>
      </c>
      <c r="S136" s="119">
        <v>660.41</v>
      </c>
      <c r="T136" s="119">
        <v>1.4999999999999999E-2</v>
      </c>
      <c r="U136" s="119">
        <v>2E-3</v>
      </c>
      <c r="V136" s="119">
        <v>1.6E-2</v>
      </c>
      <c r="W136" s="119">
        <v>0.01</v>
      </c>
      <c r="X136" s="119">
        <v>0.6</v>
      </c>
      <c r="Y136" s="119">
        <v>2.2000000000000002</v>
      </c>
      <c r="Z136" s="119">
        <v>0</v>
      </c>
      <c r="AA136" s="119">
        <v>0</v>
      </c>
      <c r="AB136" s="119">
        <v>0.1</v>
      </c>
      <c r="AC136" s="119">
        <v>4.6800000000000001E-2</v>
      </c>
      <c r="AD136" s="119">
        <v>2.46E-2</v>
      </c>
      <c r="AE136" s="119">
        <v>1.4E-2</v>
      </c>
      <c r="AF136" s="119">
        <v>1.09E-2</v>
      </c>
      <c r="AG136" s="119">
        <v>4.3E-3</v>
      </c>
      <c r="AH136" s="119">
        <v>2.3999999999999998E-3</v>
      </c>
      <c r="AI136" s="119">
        <v>2.5000000000000001E-2</v>
      </c>
      <c r="AJ136" s="119">
        <v>1.4999999999999999E-2</v>
      </c>
      <c r="AK136" s="119">
        <v>0.01</v>
      </c>
      <c r="AL136" s="119">
        <v>3.39</v>
      </c>
      <c r="AM136" s="119">
        <v>3.39</v>
      </c>
      <c r="AN136" s="119">
        <v>3.39</v>
      </c>
      <c r="AO136" s="12">
        <v>6</v>
      </c>
      <c r="AP136" s="118">
        <v>5.01</v>
      </c>
      <c r="AQ136" s="118">
        <v>15.95</v>
      </c>
      <c r="AR136" s="118">
        <v>8</v>
      </c>
      <c r="AS136" s="118">
        <v>0.5</v>
      </c>
      <c r="AT136" s="118">
        <v>4.75</v>
      </c>
      <c r="AU136" s="118">
        <v>0.4</v>
      </c>
      <c r="AV136" s="118">
        <v>0.2</v>
      </c>
      <c r="AW136" s="118">
        <v>100</v>
      </c>
      <c r="AX136" s="118">
        <v>22.5</v>
      </c>
      <c r="AY136" s="118">
        <v>40.71</v>
      </c>
      <c r="AZ136" s="118">
        <v>0</v>
      </c>
      <c r="BA136" s="118">
        <v>0</v>
      </c>
      <c r="BB136" s="118">
        <v>0.01</v>
      </c>
      <c r="BC136" s="118">
        <v>0.1</v>
      </c>
      <c r="BD136" s="118">
        <v>0</v>
      </c>
      <c r="BE136" s="118">
        <v>0</v>
      </c>
      <c r="BF136" s="118">
        <v>0</v>
      </c>
      <c r="BG136" s="118">
        <v>0.3</v>
      </c>
      <c r="BH136" s="12">
        <v>1</v>
      </c>
      <c r="BI136" s="12">
        <v>0</v>
      </c>
      <c r="BJ136" s="12">
        <v>0</v>
      </c>
      <c r="BK136" s="12">
        <v>0</v>
      </c>
      <c r="BL136" s="12">
        <v>0</v>
      </c>
      <c r="BM136" s="12">
        <v>0</v>
      </c>
      <c r="BN136" s="12">
        <v>0</v>
      </c>
      <c r="BO136" s="12" t="s">
        <v>1615</v>
      </c>
    </row>
    <row r="137" spans="1:67" x14ac:dyDescent="0.3">
      <c r="A137" s="12">
        <v>132</v>
      </c>
      <c r="B137" s="12" t="s">
        <v>1616</v>
      </c>
      <c r="C137" s="118">
        <v>60</v>
      </c>
      <c r="D137" s="118">
        <v>0.4</v>
      </c>
      <c r="E137" s="118">
        <v>27.5</v>
      </c>
      <c r="F137" s="118">
        <v>12.5</v>
      </c>
      <c r="G137" s="118">
        <v>6</v>
      </c>
      <c r="H137" s="118">
        <v>0.95</v>
      </c>
      <c r="I137" s="118">
        <v>15.05</v>
      </c>
      <c r="J137" s="118">
        <v>50.95</v>
      </c>
      <c r="K137" s="118">
        <v>0.5</v>
      </c>
      <c r="L137" s="118">
        <v>0.5</v>
      </c>
      <c r="M137" s="141">
        <v>3</v>
      </c>
      <c r="N137" s="118">
        <v>0.02</v>
      </c>
      <c r="O137" s="118">
        <v>0.85</v>
      </c>
      <c r="P137" s="118">
        <v>25</v>
      </c>
      <c r="Q137" s="118">
        <v>6</v>
      </c>
      <c r="R137" s="118">
        <v>2.2000000000000002</v>
      </c>
      <c r="S137" s="119">
        <v>660.45</v>
      </c>
      <c r="T137" s="119">
        <v>1.9E-2</v>
      </c>
      <c r="U137" s="119">
        <v>2.8999999999999998E-3</v>
      </c>
      <c r="V137" s="119">
        <v>1.4E-2</v>
      </c>
      <c r="W137" s="119">
        <v>0.3</v>
      </c>
      <c r="X137" s="119">
        <v>0.6</v>
      </c>
      <c r="Y137" s="119">
        <v>2.82</v>
      </c>
      <c r="Z137" s="119">
        <v>1212.75</v>
      </c>
      <c r="AA137" s="119">
        <v>116.87</v>
      </c>
      <c r="AB137" s="119">
        <v>0.01</v>
      </c>
      <c r="AC137" s="119">
        <v>5.8000000000000003E-2</v>
      </c>
      <c r="AD137" s="119">
        <v>1.9E-2</v>
      </c>
      <c r="AE137" s="119">
        <v>1.77E-2</v>
      </c>
      <c r="AF137" s="119">
        <v>8.0999999999999996E-3</v>
      </c>
      <c r="AG137" s="119">
        <v>2.7000000000000001E-3</v>
      </c>
      <c r="AH137" s="119">
        <v>2.5000000000000001E-3</v>
      </c>
      <c r="AI137" s="119">
        <v>0.03</v>
      </c>
      <c r="AJ137" s="119">
        <v>2.1999999999999999E-2</v>
      </c>
      <c r="AK137" s="119">
        <v>1.4999999999999999E-2</v>
      </c>
      <c r="AL137" s="119">
        <v>1.1379999999999999</v>
      </c>
      <c r="AM137" s="119">
        <v>0.60299999999999998</v>
      </c>
      <c r="AN137" s="119">
        <v>0.33200000000000002</v>
      </c>
      <c r="AO137" s="12">
        <v>4</v>
      </c>
      <c r="AP137" s="118">
        <v>1.1499999999999999</v>
      </c>
      <c r="AQ137" s="118">
        <v>5.95</v>
      </c>
      <c r="AR137" s="118">
        <v>3</v>
      </c>
      <c r="AS137" s="118">
        <v>1</v>
      </c>
      <c r="AT137" s="118">
        <v>4.3</v>
      </c>
      <c r="AU137" s="118">
        <v>0.4</v>
      </c>
      <c r="AV137" s="118">
        <v>0.2</v>
      </c>
      <c r="AW137" s="118">
        <v>100</v>
      </c>
      <c r="AX137" s="118">
        <v>3.2</v>
      </c>
      <c r="AY137" s="118">
        <v>10.9</v>
      </c>
      <c r="AZ137" s="118">
        <v>0.05</v>
      </c>
      <c r="BA137" s="118">
        <v>7.7</v>
      </c>
      <c r="BB137" s="118">
        <v>0.01</v>
      </c>
      <c r="BC137" s="118">
        <v>0.1</v>
      </c>
      <c r="BD137" s="118">
        <v>0</v>
      </c>
      <c r="BE137" s="118">
        <v>0</v>
      </c>
      <c r="BF137" s="118">
        <v>0</v>
      </c>
      <c r="BG137" s="118">
        <v>0.3</v>
      </c>
      <c r="BH137" s="12">
        <v>0</v>
      </c>
      <c r="BI137" s="12">
        <v>0</v>
      </c>
      <c r="BJ137" s="12">
        <v>0</v>
      </c>
      <c r="BK137" s="12">
        <v>0</v>
      </c>
      <c r="BL137" s="12">
        <v>0</v>
      </c>
      <c r="BM137" s="12">
        <v>0</v>
      </c>
      <c r="BN137" s="12">
        <v>0</v>
      </c>
      <c r="BO137" s="12" t="s">
        <v>1617</v>
      </c>
    </row>
    <row r="138" spans="1:67" x14ac:dyDescent="0.3">
      <c r="A138" s="12">
        <v>133</v>
      </c>
      <c r="B138" s="12" t="s">
        <v>1618</v>
      </c>
      <c r="C138" s="118">
        <v>25</v>
      </c>
      <c r="D138" s="118">
        <v>0.15</v>
      </c>
      <c r="E138" s="118">
        <v>25</v>
      </c>
      <c r="F138" s="118">
        <v>12</v>
      </c>
      <c r="G138" s="118">
        <v>5</v>
      </c>
      <c r="H138" s="118">
        <v>0.35</v>
      </c>
      <c r="I138" s="118">
        <v>5.0999999999999996</v>
      </c>
      <c r="J138" s="118">
        <v>25.7</v>
      </c>
      <c r="K138" s="118">
        <v>0.5</v>
      </c>
      <c r="L138" s="118">
        <v>10</v>
      </c>
      <c r="M138" s="141">
        <v>2</v>
      </c>
      <c r="N138" s="118">
        <v>7.4000000000000003E-3</v>
      </c>
      <c r="O138" s="118">
        <v>0.85</v>
      </c>
      <c r="P138" s="118">
        <v>6</v>
      </c>
      <c r="Q138" s="118">
        <v>1</v>
      </c>
      <c r="R138" s="118">
        <v>2</v>
      </c>
      <c r="S138" s="119">
        <v>660.29</v>
      </c>
      <c r="T138" s="119">
        <v>1.06E-2</v>
      </c>
      <c r="U138" s="119">
        <v>1E-3</v>
      </c>
      <c r="V138" s="119">
        <v>6.0000000000000001E-3</v>
      </c>
      <c r="W138" s="119">
        <v>0.08</v>
      </c>
      <c r="X138" s="119">
        <v>0.6</v>
      </c>
      <c r="Y138" s="119">
        <v>2.2000000000000002</v>
      </c>
      <c r="Z138" s="119">
        <v>0</v>
      </c>
      <c r="AA138" s="119">
        <v>0</v>
      </c>
      <c r="AB138" s="119">
        <v>0.1</v>
      </c>
      <c r="AC138" s="119">
        <v>0.03</v>
      </c>
      <c r="AD138" s="119">
        <v>1.06E-2</v>
      </c>
      <c r="AE138" s="119">
        <v>7.7999999999999996E-3</v>
      </c>
      <c r="AF138" s="119">
        <v>1.8E-3</v>
      </c>
      <c r="AG138" s="119">
        <v>1E-3</v>
      </c>
      <c r="AH138" s="119">
        <v>8.0000000000000004E-4</v>
      </c>
      <c r="AI138" s="119">
        <v>2.5000000000000001E-2</v>
      </c>
      <c r="AJ138" s="119">
        <v>1.4999999999999999E-2</v>
      </c>
      <c r="AK138" s="119">
        <v>0.01</v>
      </c>
      <c r="AL138" s="119">
        <v>3.39</v>
      </c>
      <c r="AM138" s="119">
        <v>3.39</v>
      </c>
      <c r="AN138" s="119">
        <v>3.39</v>
      </c>
      <c r="AO138" s="12">
        <v>6</v>
      </c>
      <c r="AP138" s="118">
        <v>1.01</v>
      </c>
      <c r="AQ138" s="118">
        <v>5.95</v>
      </c>
      <c r="AR138" s="118">
        <v>8</v>
      </c>
      <c r="AS138" s="118">
        <v>0.5</v>
      </c>
      <c r="AT138" s="118">
        <v>4.75</v>
      </c>
      <c r="AU138" s="118">
        <v>0.4</v>
      </c>
      <c r="AV138" s="118">
        <v>0.2</v>
      </c>
      <c r="AW138" s="118">
        <v>100</v>
      </c>
      <c r="AX138" s="118">
        <v>22.5</v>
      </c>
      <c r="AY138" s="118">
        <v>50.95</v>
      </c>
      <c r="AZ138" s="118">
        <v>0</v>
      </c>
      <c r="BA138" s="118">
        <v>0</v>
      </c>
      <c r="BB138" s="118">
        <v>0.01</v>
      </c>
      <c r="BC138" s="118">
        <v>0.1</v>
      </c>
      <c r="BD138" s="118">
        <v>0</v>
      </c>
      <c r="BE138" s="118">
        <v>0</v>
      </c>
      <c r="BF138" s="118">
        <v>0</v>
      </c>
      <c r="BG138" s="118">
        <v>0.3</v>
      </c>
      <c r="BH138" s="12">
        <v>1</v>
      </c>
      <c r="BI138" s="12">
        <v>0</v>
      </c>
      <c r="BJ138" s="12">
        <v>0</v>
      </c>
      <c r="BK138" s="12">
        <v>0</v>
      </c>
      <c r="BL138" s="12">
        <v>0</v>
      </c>
      <c r="BM138" s="12">
        <v>0</v>
      </c>
      <c r="BN138" s="12">
        <v>0</v>
      </c>
      <c r="BO138" s="12" t="s">
        <v>1619</v>
      </c>
    </row>
    <row r="139" spans="1:67" x14ac:dyDescent="0.3">
      <c r="A139" s="12">
        <v>134</v>
      </c>
      <c r="B139" s="12" t="s">
        <v>1620</v>
      </c>
      <c r="C139" s="118">
        <v>10</v>
      </c>
      <c r="D139" s="118">
        <v>0.15</v>
      </c>
      <c r="E139" s="118">
        <v>30</v>
      </c>
      <c r="F139" s="118">
        <v>10</v>
      </c>
      <c r="G139" s="118">
        <v>1.35</v>
      </c>
      <c r="H139" s="118">
        <v>0.99</v>
      </c>
      <c r="I139" s="118">
        <v>5.05</v>
      </c>
      <c r="J139" s="118">
        <v>40.950000000000003</v>
      </c>
      <c r="K139" s="118">
        <v>1</v>
      </c>
      <c r="L139" s="118">
        <v>1</v>
      </c>
      <c r="M139" s="141">
        <v>5</v>
      </c>
      <c r="N139" s="118">
        <v>7.0000000000000001E-3</v>
      </c>
      <c r="O139" s="118">
        <v>0.85</v>
      </c>
      <c r="P139" s="118">
        <v>80</v>
      </c>
      <c r="Q139" s="118">
        <v>6</v>
      </c>
      <c r="R139" s="118">
        <v>3.5</v>
      </c>
      <c r="S139" s="119">
        <v>660.14</v>
      </c>
      <c r="T139" s="119">
        <v>1.5E-3</v>
      </c>
      <c r="U139" s="119">
        <v>2.9999999999999997E-4</v>
      </c>
      <c r="V139" s="119">
        <v>2E-3</v>
      </c>
      <c r="W139" s="119">
        <v>0.05</v>
      </c>
      <c r="X139" s="119">
        <v>0.6</v>
      </c>
      <c r="Y139" s="119">
        <v>6.72</v>
      </c>
      <c r="Z139" s="119">
        <v>1000</v>
      </c>
      <c r="AA139" s="119">
        <v>5</v>
      </c>
      <c r="AB139" s="119">
        <v>0.01</v>
      </c>
      <c r="AC139" s="119">
        <v>0.02</v>
      </c>
      <c r="AD139" s="119">
        <v>0.01</v>
      </c>
      <c r="AE139" s="119">
        <v>8.0000000000000002E-3</v>
      </c>
      <c r="AF139" s="119">
        <v>6.9999999999999999E-4</v>
      </c>
      <c r="AG139" s="119">
        <v>4.0000000000000002E-4</v>
      </c>
      <c r="AH139" s="119">
        <v>2.9999999999999997E-4</v>
      </c>
      <c r="AI139" s="119">
        <v>6.0000000000000001E-3</v>
      </c>
      <c r="AJ139" s="119">
        <v>3.0000000000000001E-3</v>
      </c>
      <c r="AK139" s="119">
        <v>2E-3</v>
      </c>
      <c r="AL139" s="119">
        <v>3.39</v>
      </c>
      <c r="AM139" s="119">
        <v>3.39</v>
      </c>
      <c r="AN139" s="119">
        <v>3.39</v>
      </c>
      <c r="AO139" s="12">
        <v>7</v>
      </c>
      <c r="AP139" s="118">
        <v>5.0999999999999996</v>
      </c>
      <c r="AQ139" s="118">
        <v>15.5</v>
      </c>
      <c r="AR139" s="118">
        <v>8</v>
      </c>
      <c r="AS139" s="118">
        <v>1</v>
      </c>
      <c r="AT139" s="118">
        <v>4.75</v>
      </c>
      <c r="AU139" s="118">
        <v>0.4</v>
      </c>
      <c r="AV139" s="118">
        <v>0.2</v>
      </c>
      <c r="AW139" s="118">
        <v>100</v>
      </c>
      <c r="AX139" s="118">
        <v>120.88</v>
      </c>
      <c r="AY139" s="118">
        <v>20.13</v>
      </c>
      <c r="AZ139" s="118">
        <v>0.05</v>
      </c>
      <c r="BA139" s="118">
        <v>1</v>
      </c>
      <c r="BB139" s="118">
        <v>0.01</v>
      </c>
      <c r="BC139" s="118">
        <v>0.1</v>
      </c>
      <c r="BD139" s="118">
        <v>0</v>
      </c>
      <c r="BE139" s="118">
        <v>0</v>
      </c>
      <c r="BF139" s="118">
        <v>0</v>
      </c>
      <c r="BG139" s="118">
        <v>0.3</v>
      </c>
      <c r="BH139" s="12">
        <v>0</v>
      </c>
      <c r="BI139" s="12">
        <v>0</v>
      </c>
      <c r="BJ139" s="12">
        <v>0</v>
      </c>
      <c r="BK139" s="12">
        <v>0</v>
      </c>
      <c r="BL139" s="12">
        <v>0</v>
      </c>
      <c r="BM139" s="12">
        <v>0</v>
      </c>
      <c r="BN139" s="12">
        <v>0</v>
      </c>
      <c r="BO139" s="12" t="s">
        <v>1621</v>
      </c>
    </row>
    <row r="140" spans="1:67" x14ac:dyDescent="0.3">
      <c r="A140" s="12">
        <v>135</v>
      </c>
      <c r="B140" s="12" t="s">
        <v>1622</v>
      </c>
      <c r="C140" s="118">
        <v>45</v>
      </c>
      <c r="D140" s="118">
        <v>0.02</v>
      </c>
      <c r="E140" s="118">
        <v>25</v>
      </c>
      <c r="F140" s="118">
        <v>8</v>
      </c>
      <c r="G140" s="118">
        <v>10</v>
      </c>
      <c r="H140" s="118">
        <v>0.9</v>
      </c>
      <c r="I140" s="118">
        <v>15.25</v>
      </c>
      <c r="J140" s="118">
        <v>50.99</v>
      </c>
      <c r="K140" s="118">
        <v>0.1</v>
      </c>
      <c r="L140" s="118">
        <v>10</v>
      </c>
      <c r="M140" s="141">
        <v>3</v>
      </c>
      <c r="N140" s="118">
        <v>7.4000000000000003E-3</v>
      </c>
      <c r="O140" s="118">
        <v>0.85</v>
      </c>
      <c r="P140" s="118">
        <v>80</v>
      </c>
      <c r="Q140" s="118">
        <v>4</v>
      </c>
      <c r="R140" s="118">
        <v>2.2000000000000002</v>
      </c>
      <c r="S140" s="119">
        <v>660.52</v>
      </c>
      <c r="T140" s="119">
        <v>7.0000000000000001E-3</v>
      </c>
      <c r="U140" s="119">
        <v>8.9999999999999998E-4</v>
      </c>
      <c r="V140" s="119">
        <v>6.0000000000000001E-3</v>
      </c>
      <c r="W140" s="119">
        <v>0.01</v>
      </c>
      <c r="X140" s="119">
        <v>0.6</v>
      </c>
      <c r="Y140" s="119">
        <v>2.2000000000000002</v>
      </c>
      <c r="Z140" s="119">
        <v>0</v>
      </c>
      <c r="AA140" s="119">
        <v>0</v>
      </c>
      <c r="AB140" s="119">
        <v>0.55000000000000004</v>
      </c>
      <c r="AC140" s="119">
        <v>0.03</v>
      </c>
      <c r="AD140" s="119">
        <v>8.0000000000000002E-3</v>
      </c>
      <c r="AE140" s="119">
        <v>2E-3</v>
      </c>
      <c r="AF140" s="119">
        <v>1.9E-3</v>
      </c>
      <c r="AG140" s="119">
        <v>1.1999999999999999E-3</v>
      </c>
      <c r="AH140" s="119">
        <v>8.9999999999999998E-4</v>
      </c>
      <c r="AI140" s="119">
        <v>2.5000000000000001E-2</v>
      </c>
      <c r="AJ140" s="119">
        <v>1.4999999999999999E-2</v>
      </c>
      <c r="AK140" s="119">
        <v>0.01</v>
      </c>
      <c r="AL140" s="119">
        <v>3.39</v>
      </c>
      <c r="AM140" s="119">
        <v>3.39</v>
      </c>
      <c r="AN140" s="119">
        <v>3.39</v>
      </c>
      <c r="AO140" s="12">
        <v>6</v>
      </c>
      <c r="AP140" s="118">
        <v>5.15</v>
      </c>
      <c r="AQ140" s="118">
        <v>15.95</v>
      </c>
      <c r="AR140" s="118">
        <v>10</v>
      </c>
      <c r="AS140" s="118">
        <v>0.8</v>
      </c>
      <c r="AT140" s="118">
        <v>4.75</v>
      </c>
      <c r="AU140" s="118">
        <v>0.7</v>
      </c>
      <c r="AV140" s="118">
        <v>0.3</v>
      </c>
      <c r="AW140" s="118">
        <v>100</v>
      </c>
      <c r="AX140" s="118">
        <v>5.5</v>
      </c>
      <c r="AY140" s="118">
        <v>10.9</v>
      </c>
      <c r="AZ140" s="118">
        <v>0.06</v>
      </c>
      <c r="BA140" s="118">
        <v>1.7</v>
      </c>
      <c r="BB140" s="118">
        <v>0.01</v>
      </c>
      <c r="BC140" s="118">
        <v>0.11</v>
      </c>
      <c r="BD140" s="118">
        <v>0</v>
      </c>
      <c r="BE140" s="118">
        <v>0</v>
      </c>
      <c r="BF140" s="118">
        <v>0</v>
      </c>
      <c r="BG140" s="118">
        <v>0.3</v>
      </c>
      <c r="BH140" s="12">
        <v>1</v>
      </c>
      <c r="BI140" s="12">
        <v>0</v>
      </c>
      <c r="BJ140" s="12">
        <v>0</v>
      </c>
      <c r="BK140" s="12">
        <v>0</v>
      </c>
      <c r="BL140" s="12">
        <v>0</v>
      </c>
      <c r="BM140" s="12">
        <v>0</v>
      </c>
      <c r="BN140" s="12">
        <v>0</v>
      </c>
      <c r="BO140" s="12" t="s">
        <v>1623</v>
      </c>
    </row>
    <row r="141" spans="1:67" x14ac:dyDescent="0.3">
      <c r="A141" s="12">
        <v>136</v>
      </c>
      <c r="B141" s="12" t="s">
        <v>3812</v>
      </c>
      <c r="C141" s="118">
        <v>15</v>
      </c>
      <c r="D141" s="118">
        <v>0.1</v>
      </c>
      <c r="E141" s="118">
        <v>22</v>
      </c>
      <c r="F141" s="118">
        <v>6</v>
      </c>
      <c r="G141" s="118">
        <v>3.2</v>
      </c>
      <c r="H141" s="118">
        <v>0.99</v>
      </c>
      <c r="I141" s="118">
        <v>10.15</v>
      </c>
      <c r="J141" s="118">
        <v>50.75</v>
      </c>
      <c r="K141" s="118">
        <v>1</v>
      </c>
      <c r="L141" s="118">
        <v>1</v>
      </c>
      <c r="M141" s="141">
        <v>5</v>
      </c>
      <c r="N141" s="118">
        <v>7.0000000000000001E-3</v>
      </c>
      <c r="O141" s="118">
        <v>0.85</v>
      </c>
      <c r="P141" s="118">
        <v>80</v>
      </c>
      <c r="Q141" s="118">
        <v>3.5</v>
      </c>
      <c r="R141" s="118">
        <v>1.1000000000000001</v>
      </c>
      <c r="S141" s="119">
        <v>660.2</v>
      </c>
      <c r="T141" s="119">
        <v>1.9E-3</v>
      </c>
      <c r="U141" s="119">
        <v>4.0000000000000002E-4</v>
      </c>
      <c r="V141" s="119">
        <v>7.1999999999999998E-3</v>
      </c>
      <c r="W141" s="119">
        <v>0.05</v>
      </c>
      <c r="X141" s="119">
        <v>0.6</v>
      </c>
      <c r="Y141" s="119">
        <v>6.72</v>
      </c>
      <c r="Z141" s="119">
        <v>1000</v>
      </c>
      <c r="AA141" s="119">
        <v>5</v>
      </c>
      <c r="AB141" s="119">
        <v>0.84</v>
      </c>
      <c r="AC141" s="119">
        <v>6.0000000000000001E-3</v>
      </c>
      <c r="AD141" s="119">
        <v>2E-3</v>
      </c>
      <c r="AE141" s="119">
        <v>1.5E-3</v>
      </c>
      <c r="AF141" s="119">
        <v>6.9999999999999999E-4</v>
      </c>
      <c r="AG141" s="119">
        <v>4.0000000000000002E-4</v>
      </c>
      <c r="AH141" s="119">
        <v>2.9999999999999997E-4</v>
      </c>
      <c r="AI141" s="119">
        <v>8.0000000000000002E-3</v>
      </c>
      <c r="AJ141" s="119">
        <v>8.0000000000000002E-3</v>
      </c>
      <c r="AK141" s="119">
        <v>8.0000000000000002E-3</v>
      </c>
      <c r="AL141" s="119">
        <v>3.39</v>
      </c>
      <c r="AM141" s="119">
        <v>3.39</v>
      </c>
      <c r="AN141" s="119">
        <v>3.39</v>
      </c>
      <c r="AO141" s="12">
        <v>8</v>
      </c>
      <c r="AP141" s="118">
        <v>5.01</v>
      </c>
      <c r="AQ141" s="118">
        <v>15.1</v>
      </c>
      <c r="AR141" s="118">
        <v>3</v>
      </c>
      <c r="AS141" s="118">
        <v>0.5</v>
      </c>
      <c r="AT141" s="118">
        <v>4.75</v>
      </c>
      <c r="AU141" s="118">
        <v>0.4</v>
      </c>
      <c r="AV141" s="118">
        <v>0.2</v>
      </c>
      <c r="AW141" s="118">
        <v>100</v>
      </c>
      <c r="AX141" s="118">
        <v>120.88</v>
      </c>
      <c r="AY141" s="118">
        <v>20.13</v>
      </c>
      <c r="AZ141" s="118">
        <v>0.05</v>
      </c>
      <c r="BA141" s="118">
        <v>1</v>
      </c>
      <c r="BB141" s="118">
        <v>0.01</v>
      </c>
      <c r="BC141" s="118">
        <v>0.1</v>
      </c>
      <c r="BD141" s="118">
        <v>0</v>
      </c>
      <c r="BE141" s="118">
        <v>0</v>
      </c>
      <c r="BF141" s="118">
        <v>0</v>
      </c>
      <c r="BG141" s="118">
        <v>0.3</v>
      </c>
      <c r="BH141" s="12">
        <v>0</v>
      </c>
      <c r="BI141" s="12">
        <v>0</v>
      </c>
      <c r="BJ141" s="12">
        <v>0</v>
      </c>
      <c r="BK141" s="12">
        <v>0</v>
      </c>
      <c r="BL141" s="12">
        <v>0</v>
      </c>
      <c r="BM141" s="12">
        <v>0</v>
      </c>
      <c r="BN141" s="12">
        <v>0</v>
      </c>
      <c r="BO141" s="12" t="s">
        <v>3845</v>
      </c>
    </row>
    <row r="142" spans="1:67" x14ac:dyDescent="0.3">
      <c r="A142" s="12">
        <v>137</v>
      </c>
      <c r="B142" s="12" t="s">
        <v>3813</v>
      </c>
      <c r="C142" s="118">
        <v>15</v>
      </c>
      <c r="D142" s="118">
        <v>0.1</v>
      </c>
      <c r="E142" s="118">
        <v>22</v>
      </c>
      <c r="F142" s="118">
        <v>6</v>
      </c>
      <c r="G142" s="118">
        <v>4</v>
      </c>
      <c r="H142" s="118">
        <v>0.99</v>
      </c>
      <c r="I142" s="118">
        <v>10.15</v>
      </c>
      <c r="J142" s="118">
        <v>50.75</v>
      </c>
      <c r="K142" s="118">
        <v>1</v>
      </c>
      <c r="L142" s="118">
        <v>1</v>
      </c>
      <c r="M142" s="141">
        <v>5</v>
      </c>
      <c r="N142" s="118">
        <v>7.0000000000000001E-3</v>
      </c>
      <c r="O142" s="118">
        <v>0.85</v>
      </c>
      <c r="P142" s="118">
        <v>80</v>
      </c>
      <c r="Q142" s="118">
        <v>3.5</v>
      </c>
      <c r="R142" s="118">
        <v>1.1000000000000001</v>
      </c>
      <c r="S142" s="119">
        <v>660.2</v>
      </c>
      <c r="T142" s="119">
        <v>1.9E-3</v>
      </c>
      <c r="U142" s="119">
        <v>4.0000000000000002E-4</v>
      </c>
      <c r="V142" s="119">
        <v>7.1999999999999998E-3</v>
      </c>
      <c r="W142" s="119">
        <v>0.05</v>
      </c>
      <c r="X142" s="119">
        <v>0.6</v>
      </c>
      <c r="Y142" s="119">
        <v>6.72</v>
      </c>
      <c r="Z142" s="119">
        <v>1000</v>
      </c>
      <c r="AA142" s="119">
        <v>5</v>
      </c>
      <c r="AB142" s="119">
        <v>0.84</v>
      </c>
      <c r="AC142" s="119">
        <v>6.0000000000000001E-3</v>
      </c>
      <c r="AD142" s="119">
        <v>2E-3</v>
      </c>
      <c r="AE142" s="119">
        <v>1.5E-3</v>
      </c>
      <c r="AF142" s="119">
        <v>6.9999999999999999E-4</v>
      </c>
      <c r="AG142" s="119">
        <v>4.0000000000000002E-4</v>
      </c>
      <c r="AH142" s="119">
        <v>2.9999999999999997E-4</v>
      </c>
      <c r="AI142" s="119">
        <v>8.0000000000000002E-3</v>
      </c>
      <c r="AJ142" s="119">
        <v>8.0000000000000002E-3</v>
      </c>
      <c r="AK142" s="119">
        <v>8.0000000000000002E-3</v>
      </c>
      <c r="AL142" s="119">
        <v>3.39</v>
      </c>
      <c r="AM142" s="119">
        <v>3.39</v>
      </c>
      <c r="AN142" s="119">
        <v>3.39</v>
      </c>
      <c r="AO142" s="12">
        <v>8</v>
      </c>
      <c r="AP142" s="118">
        <v>5.01</v>
      </c>
      <c r="AQ142" s="118">
        <v>15.1</v>
      </c>
      <c r="AR142" s="118">
        <v>3</v>
      </c>
      <c r="AS142" s="118">
        <v>0.5</v>
      </c>
      <c r="AT142" s="118">
        <v>4.75</v>
      </c>
      <c r="AU142" s="118">
        <v>0.4</v>
      </c>
      <c r="AV142" s="118">
        <v>0.2</v>
      </c>
      <c r="AW142" s="118">
        <v>100</v>
      </c>
      <c r="AX142" s="118">
        <v>120.88</v>
      </c>
      <c r="AY142" s="118">
        <v>20.13</v>
      </c>
      <c r="AZ142" s="118">
        <v>0.05</v>
      </c>
      <c r="BA142" s="118">
        <v>1</v>
      </c>
      <c r="BB142" s="118">
        <v>0.01</v>
      </c>
      <c r="BC142" s="118">
        <v>0.1</v>
      </c>
      <c r="BD142" s="118">
        <v>0</v>
      </c>
      <c r="BE142" s="118">
        <v>0</v>
      </c>
      <c r="BF142" s="118">
        <v>0</v>
      </c>
      <c r="BG142" s="118">
        <v>0.3</v>
      </c>
      <c r="BH142" s="12">
        <v>0</v>
      </c>
      <c r="BI142" s="12">
        <v>0</v>
      </c>
      <c r="BJ142" s="12">
        <v>0</v>
      </c>
      <c r="BK142" s="12">
        <v>0</v>
      </c>
      <c r="BL142" s="12">
        <v>0</v>
      </c>
      <c r="BM142" s="12">
        <v>0</v>
      </c>
      <c r="BN142" s="12">
        <v>0</v>
      </c>
      <c r="BO142" s="12" t="s">
        <v>3846</v>
      </c>
    </row>
    <row r="143" spans="1:67" x14ac:dyDescent="0.3">
      <c r="A143" s="12">
        <v>138</v>
      </c>
      <c r="B143" s="12" t="s">
        <v>3814</v>
      </c>
      <c r="C143" s="118">
        <v>45</v>
      </c>
      <c r="D143" s="118">
        <v>0.8</v>
      </c>
      <c r="E143" s="118">
        <v>20</v>
      </c>
      <c r="F143" s="118">
        <v>0</v>
      </c>
      <c r="G143" s="118">
        <v>3</v>
      </c>
      <c r="H143" s="118">
        <v>0.9</v>
      </c>
      <c r="I143" s="118">
        <v>15.01</v>
      </c>
      <c r="J143" s="118">
        <v>50.95</v>
      </c>
      <c r="K143" s="118">
        <v>1</v>
      </c>
      <c r="L143" s="118">
        <v>1</v>
      </c>
      <c r="M143" s="141">
        <v>2</v>
      </c>
      <c r="N143" s="118">
        <v>7.0000000000000001E-3</v>
      </c>
      <c r="O143" s="118">
        <v>0.85</v>
      </c>
      <c r="P143" s="118">
        <v>100</v>
      </c>
      <c r="Q143" s="118">
        <v>0.9</v>
      </c>
      <c r="R143" s="118">
        <v>2</v>
      </c>
      <c r="S143" s="119">
        <v>660.41</v>
      </c>
      <c r="T143" s="119">
        <v>1.2999999999999999E-2</v>
      </c>
      <c r="U143" s="119">
        <v>3.3E-3</v>
      </c>
      <c r="V143" s="119">
        <v>1.6E-2</v>
      </c>
      <c r="W143" s="119">
        <v>0.3</v>
      </c>
      <c r="X143" s="119">
        <v>0.4</v>
      </c>
      <c r="Y143" s="119">
        <v>2.0099999999999998</v>
      </c>
      <c r="Z143" s="119">
        <v>120</v>
      </c>
      <c r="AA143" s="119">
        <v>5</v>
      </c>
      <c r="AB143" s="119">
        <v>0.1</v>
      </c>
      <c r="AC143" s="119">
        <v>0.02</v>
      </c>
      <c r="AD143" s="119">
        <v>1.2E-2</v>
      </c>
      <c r="AE143" s="119">
        <v>7.7999999999999996E-3</v>
      </c>
      <c r="AF143" s="119">
        <v>8.3999999999999995E-3</v>
      </c>
      <c r="AG143" s="119">
        <v>3.2000000000000002E-3</v>
      </c>
      <c r="AH143" s="119">
        <v>1.9E-3</v>
      </c>
      <c r="AI143" s="119">
        <v>6.0000000000000001E-3</v>
      </c>
      <c r="AJ143" s="119">
        <v>3.0000000000000001E-3</v>
      </c>
      <c r="AK143" s="119">
        <v>2E-3</v>
      </c>
      <c r="AL143" s="119">
        <v>3.39</v>
      </c>
      <c r="AM143" s="119">
        <v>3.39</v>
      </c>
      <c r="AN143" s="119">
        <v>3.39</v>
      </c>
      <c r="AO143" s="12">
        <v>4</v>
      </c>
      <c r="AP143" s="118">
        <v>5.01</v>
      </c>
      <c r="AQ143" s="118">
        <v>15.1</v>
      </c>
      <c r="AR143" s="118">
        <v>8</v>
      </c>
      <c r="AS143" s="118">
        <v>0.5</v>
      </c>
      <c r="AT143" s="118">
        <v>4.75</v>
      </c>
      <c r="AU143" s="118">
        <v>0.4</v>
      </c>
      <c r="AV143" s="118">
        <v>0.2</v>
      </c>
      <c r="AW143" s="118">
        <v>25</v>
      </c>
      <c r="AX143" s="118">
        <v>125.05</v>
      </c>
      <c r="AY143" s="118">
        <v>200.95</v>
      </c>
      <c r="AZ143" s="118">
        <v>0.05</v>
      </c>
      <c r="BA143" s="118">
        <v>3.9</v>
      </c>
      <c r="BB143" s="118">
        <v>0.01</v>
      </c>
      <c r="BC143" s="118">
        <v>0.1</v>
      </c>
      <c r="BD143" s="118">
        <v>0</v>
      </c>
      <c r="BE143" s="118">
        <v>0</v>
      </c>
      <c r="BF143" s="118">
        <v>0</v>
      </c>
      <c r="BG143" s="118">
        <v>0.3</v>
      </c>
      <c r="BH143" s="12">
        <v>0</v>
      </c>
      <c r="BI143" s="12">
        <v>0</v>
      </c>
      <c r="BJ143" s="12">
        <v>0</v>
      </c>
      <c r="BK143" s="12">
        <v>0</v>
      </c>
      <c r="BL143" s="12">
        <v>0</v>
      </c>
      <c r="BM143" s="12">
        <v>0</v>
      </c>
      <c r="BN143" s="12">
        <v>0</v>
      </c>
      <c r="BO143" s="12" t="s">
        <v>3847</v>
      </c>
    </row>
    <row r="144" spans="1:67" x14ac:dyDescent="0.3">
      <c r="A144" s="12">
        <v>139</v>
      </c>
      <c r="B144" s="12" t="s">
        <v>405</v>
      </c>
      <c r="C144" s="118">
        <v>40</v>
      </c>
      <c r="D144" s="118">
        <v>0.5</v>
      </c>
      <c r="E144" s="118">
        <v>25</v>
      </c>
      <c r="F144" s="118">
        <v>8</v>
      </c>
      <c r="G144" s="118">
        <v>6</v>
      </c>
      <c r="H144" s="118">
        <v>0.8</v>
      </c>
      <c r="I144" s="118">
        <v>15.05</v>
      </c>
      <c r="J144" s="118">
        <v>50.95</v>
      </c>
      <c r="K144" s="118">
        <v>1</v>
      </c>
      <c r="L144" s="118">
        <v>1</v>
      </c>
      <c r="M144" s="141">
        <v>3</v>
      </c>
      <c r="N144" s="118">
        <v>7.0000000000000001E-3</v>
      </c>
      <c r="O144" s="118">
        <v>0.85</v>
      </c>
      <c r="P144" s="118">
        <v>25</v>
      </c>
      <c r="Q144" s="118">
        <v>2</v>
      </c>
      <c r="R144" s="118">
        <v>2</v>
      </c>
      <c r="S144" s="119">
        <v>660.45</v>
      </c>
      <c r="T144" s="119">
        <v>1.2999999999999999E-2</v>
      </c>
      <c r="U144" s="119">
        <v>2.5000000000000001E-3</v>
      </c>
      <c r="V144" s="119">
        <v>3.2000000000000002E-3</v>
      </c>
      <c r="W144" s="119">
        <v>0.2</v>
      </c>
      <c r="X144" s="119">
        <v>0.6</v>
      </c>
      <c r="Y144" s="119">
        <v>3.45</v>
      </c>
      <c r="Z144" s="119">
        <v>103.16</v>
      </c>
      <c r="AA144" s="119">
        <v>80.22</v>
      </c>
      <c r="AB144" s="119">
        <v>0.15</v>
      </c>
      <c r="AC144" s="119">
        <v>4.3999999999999997E-2</v>
      </c>
      <c r="AD144" s="119">
        <v>1.4999999999999999E-2</v>
      </c>
      <c r="AE144" s="119">
        <v>0.01</v>
      </c>
      <c r="AF144" s="119">
        <v>6.1999999999999998E-3</v>
      </c>
      <c r="AG144" s="119">
        <v>2.3E-3</v>
      </c>
      <c r="AH144" s="119">
        <v>1.8E-3</v>
      </c>
      <c r="AI144" s="119">
        <v>6.0000000000000001E-3</v>
      </c>
      <c r="AJ144" s="119">
        <v>3.0000000000000001E-3</v>
      </c>
      <c r="AK144" s="119">
        <v>2E-3</v>
      </c>
      <c r="AL144" s="119">
        <v>0.433</v>
      </c>
      <c r="AM144" s="119">
        <v>0.433</v>
      </c>
      <c r="AN144" s="119">
        <v>0.21299999999999999</v>
      </c>
      <c r="AO144" s="12">
        <v>4</v>
      </c>
      <c r="AP144" s="118">
        <v>5.15</v>
      </c>
      <c r="AQ144" s="118">
        <v>15.95</v>
      </c>
      <c r="AR144" s="118">
        <v>8</v>
      </c>
      <c r="AS144" s="118">
        <v>0.5</v>
      </c>
      <c r="AT144" s="118">
        <v>4.75</v>
      </c>
      <c r="AU144" s="118">
        <v>0.4</v>
      </c>
      <c r="AV144" s="118">
        <v>0.2</v>
      </c>
      <c r="AW144" s="118">
        <v>25</v>
      </c>
      <c r="AX144" s="118">
        <v>4.47</v>
      </c>
      <c r="AY144" s="118">
        <v>7.77</v>
      </c>
      <c r="AZ144" s="118">
        <v>0.12</v>
      </c>
      <c r="BA144" s="118">
        <v>1.7</v>
      </c>
      <c r="BB144" s="118">
        <v>0.01</v>
      </c>
      <c r="BC144" s="118">
        <v>0.1</v>
      </c>
      <c r="BD144" s="118">
        <v>0.06</v>
      </c>
      <c r="BE144" s="118">
        <v>0</v>
      </c>
      <c r="BF144" s="118">
        <v>0</v>
      </c>
      <c r="BG144" s="118">
        <v>0.3</v>
      </c>
      <c r="BH144" s="12">
        <v>0</v>
      </c>
      <c r="BI144" s="12">
        <v>0</v>
      </c>
      <c r="BJ144" s="12">
        <v>0</v>
      </c>
      <c r="BK144" s="12">
        <v>0</v>
      </c>
      <c r="BL144" s="12">
        <v>0</v>
      </c>
      <c r="BM144" s="12">
        <v>0</v>
      </c>
      <c r="BN144" s="12">
        <v>0</v>
      </c>
      <c r="BO144" s="12" t="s">
        <v>3848</v>
      </c>
    </row>
    <row r="145" spans="1:67" s="156" customFormat="1" x14ac:dyDescent="0.3">
      <c r="A145" s="12">
        <v>140</v>
      </c>
      <c r="B145" s="12" t="s">
        <v>420</v>
      </c>
      <c r="C145" s="118">
        <v>25</v>
      </c>
      <c r="D145" s="118">
        <v>0.5</v>
      </c>
      <c r="E145" s="118">
        <v>25</v>
      </c>
      <c r="F145" s="118">
        <v>10</v>
      </c>
      <c r="G145" s="118">
        <v>6</v>
      </c>
      <c r="H145" s="118">
        <v>0.8</v>
      </c>
      <c r="I145" s="118">
        <v>15.01</v>
      </c>
      <c r="J145" s="118">
        <v>50.95</v>
      </c>
      <c r="K145" s="118">
        <v>0.5</v>
      </c>
      <c r="L145" s="118">
        <v>0.5</v>
      </c>
      <c r="M145" s="141">
        <v>3</v>
      </c>
      <c r="N145" s="118">
        <v>8.0000000000000002E-3</v>
      </c>
      <c r="O145" s="118">
        <v>1</v>
      </c>
      <c r="P145" s="118">
        <v>50</v>
      </c>
      <c r="Q145" s="118">
        <v>0.8</v>
      </c>
      <c r="R145" s="118">
        <v>2</v>
      </c>
      <c r="S145" s="119">
        <v>660.34</v>
      </c>
      <c r="T145" s="119">
        <v>1.3599999999999999E-2</v>
      </c>
      <c r="U145" s="119">
        <v>1.2999999999999999E-3</v>
      </c>
      <c r="V145" s="119">
        <v>1.2999999999999999E-3</v>
      </c>
      <c r="W145" s="119">
        <v>0.25</v>
      </c>
      <c r="X145" s="119">
        <v>0.6</v>
      </c>
      <c r="Y145" s="119">
        <v>0.85</v>
      </c>
      <c r="Z145" s="119">
        <v>86.88</v>
      </c>
      <c r="AA145" s="119">
        <v>20</v>
      </c>
      <c r="AB145" s="119">
        <v>0.14000000000000001</v>
      </c>
      <c r="AC145" s="119">
        <v>0.05</v>
      </c>
      <c r="AD145" s="119">
        <v>0.02</v>
      </c>
      <c r="AE145" s="119">
        <v>0.01</v>
      </c>
      <c r="AF145" s="119">
        <v>6.0000000000000001E-3</v>
      </c>
      <c r="AG145" s="119">
        <v>3.0000000000000001E-3</v>
      </c>
      <c r="AH145" s="119">
        <v>1.8E-3</v>
      </c>
      <c r="AI145" s="119">
        <v>0</v>
      </c>
      <c r="AJ145" s="119">
        <v>0</v>
      </c>
      <c r="AK145" s="119">
        <v>0</v>
      </c>
      <c r="AL145" s="119">
        <v>3.39</v>
      </c>
      <c r="AM145" s="119">
        <v>3.39</v>
      </c>
      <c r="AN145" s="119">
        <v>1.61</v>
      </c>
      <c r="AO145" s="12">
        <v>4</v>
      </c>
      <c r="AP145" s="118">
        <v>5.05</v>
      </c>
      <c r="AQ145" s="118">
        <v>15.95</v>
      </c>
      <c r="AR145" s="118">
        <v>5</v>
      </c>
      <c r="AS145" s="118">
        <v>0.5</v>
      </c>
      <c r="AT145" s="118">
        <v>4.75</v>
      </c>
      <c r="AU145" s="118">
        <v>0.4</v>
      </c>
      <c r="AV145" s="118">
        <v>0.2</v>
      </c>
      <c r="AW145" s="118">
        <v>25</v>
      </c>
      <c r="AX145" s="118">
        <v>125.6</v>
      </c>
      <c r="AY145" s="118">
        <v>250.95</v>
      </c>
      <c r="AZ145" s="118">
        <v>0.12</v>
      </c>
      <c r="BA145" s="118">
        <v>3</v>
      </c>
      <c r="BB145" s="118">
        <v>0.01</v>
      </c>
      <c r="BC145" s="118">
        <v>0.1</v>
      </c>
      <c r="BD145" s="118">
        <v>0</v>
      </c>
      <c r="BE145" s="118">
        <v>0</v>
      </c>
      <c r="BF145" s="118">
        <v>0</v>
      </c>
      <c r="BG145" s="118">
        <v>0.3</v>
      </c>
      <c r="BH145" s="12">
        <v>0</v>
      </c>
      <c r="BI145" s="12">
        <v>0</v>
      </c>
      <c r="BJ145" s="12">
        <v>0</v>
      </c>
      <c r="BK145" s="12">
        <v>0</v>
      </c>
      <c r="BL145" s="12">
        <v>0</v>
      </c>
      <c r="BM145" s="12">
        <v>0</v>
      </c>
      <c r="BN145" s="12">
        <v>0</v>
      </c>
      <c r="BO145" s="12" t="s">
        <v>3849</v>
      </c>
    </row>
    <row r="146" spans="1:67" x14ac:dyDescent="0.3">
      <c r="A146" s="12">
        <v>141</v>
      </c>
      <c r="B146" s="12" t="s">
        <v>3815</v>
      </c>
      <c r="C146" s="118">
        <v>25</v>
      </c>
      <c r="D146" s="118">
        <v>0.25</v>
      </c>
      <c r="E146" s="118">
        <v>25</v>
      </c>
      <c r="F146" s="118">
        <v>8</v>
      </c>
      <c r="G146" s="118">
        <v>4</v>
      </c>
      <c r="H146" s="118">
        <v>0.65</v>
      </c>
      <c r="I146" s="118">
        <v>15.01</v>
      </c>
      <c r="J146" s="118">
        <v>50.95</v>
      </c>
      <c r="K146" s="118">
        <v>1</v>
      </c>
      <c r="L146" s="118">
        <v>0.5</v>
      </c>
      <c r="M146" s="141">
        <v>2</v>
      </c>
      <c r="N146" s="118">
        <v>7.0000000000000001E-3</v>
      </c>
      <c r="O146" s="118">
        <v>0.85</v>
      </c>
      <c r="P146" s="118">
        <v>2.5</v>
      </c>
      <c r="Q146" s="118">
        <v>1.3</v>
      </c>
      <c r="R146" s="118">
        <v>2</v>
      </c>
      <c r="S146" s="119">
        <v>660.3</v>
      </c>
      <c r="T146" s="119">
        <v>3.5000000000000003E-2</v>
      </c>
      <c r="U146" s="119">
        <v>6.7000000000000002E-3</v>
      </c>
      <c r="V146" s="119">
        <v>0.02</v>
      </c>
      <c r="W146" s="119">
        <v>0.01</v>
      </c>
      <c r="X146" s="119">
        <v>0.6</v>
      </c>
      <c r="Y146" s="119">
        <v>0.18</v>
      </c>
      <c r="Z146" s="119">
        <v>120</v>
      </c>
      <c r="AA146" s="119">
        <v>0</v>
      </c>
      <c r="AB146" s="119">
        <v>0</v>
      </c>
      <c r="AC146" s="119">
        <v>0.05</v>
      </c>
      <c r="AD146" s="119">
        <v>0.02</v>
      </c>
      <c r="AE146" s="119">
        <v>1.0999999999999999E-2</v>
      </c>
      <c r="AF146" s="119">
        <v>7.0000000000000001E-3</v>
      </c>
      <c r="AG146" s="119">
        <v>2.5000000000000001E-3</v>
      </c>
      <c r="AH146" s="119">
        <v>1.5E-3</v>
      </c>
      <c r="AI146" s="119">
        <v>0</v>
      </c>
      <c r="AJ146" s="119">
        <v>0</v>
      </c>
      <c r="AK146" s="119">
        <v>0</v>
      </c>
      <c r="AL146" s="119">
        <v>1.1379999999999999</v>
      </c>
      <c r="AM146" s="119">
        <v>0.60299999999999998</v>
      </c>
      <c r="AN146" s="119">
        <v>0.32200000000000001</v>
      </c>
      <c r="AO146" s="12">
        <v>5</v>
      </c>
      <c r="AP146" s="118">
        <v>5.01</v>
      </c>
      <c r="AQ146" s="118">
        <v>15.1</v>
      </c>
      <c r="AR146" s="118">
        <v>10</v>
      </c>
      <c r="AS146" s="118">
        <v>1</v>
      </c>
      <c r="AT146" s="118">
        <v>4.75</v>
      </c>
      <c r="AU146" s="118">
        <v>0.4</v>
      </c>
      <c r="AV146" s="118">
        <v>0.2</v>
      </c>
      <c r="AW146" s="118">
        <v>25</v>
      </c>
      <c r="AX146" s="118">
        <v>10.199999999999999</v>
      </c>
      <c r="AY146" s="118">
        <v>100.9</v>
      </c>
      <c r="AZ146" s="118">
        <v>0</v>
      </c>
      <c r="BA146" s="118">
        <v>0</v>
      </c>
      <c r="BB146" s="118">
        <v>0.01</v>
      </c>
      <c r="BC146" s="118">
        <v>0.1</v>
      </c>
      <c r="BD146" s="118">
        <v>0</v>
      </c>
      <c r="BE146" s="118">
        <v>0</v>
      </c>
      <c r="BF146" s="118">
        <v>0</v>
      </c>
      <c r="BG146" s="118">
        <v>0.3</v>
      </c>
      <c r="BH146" s="12">
        <v>0</v>
      </c>
      <c r="BI146" s="12">
        <v>0</v>
      </c>
      <c r="BJ146" s="12">
        <v>0</v>
      </c>
      <c r="BK146" s="12">
        <v>0</v>
      </c>
      <c r="BL146" s="12">
        <v>0</v>
      </c>
      <c r="BM146" s="12">
        <v>0</v>
      </c>
      <c r="BN146" s="12">
        <v>0</v>
      </c>
      <c r="BO146" s="12" t="s">
        <v>3850</v>
      </c>
    </row>
    <row r="147" spans="1:67" x14ac:dyDescent="0.3">
      <c r="A147" s="12">
        <v>142</v>
      </c>
      <c r="B147" s="12" t="s">
        <v>1590</v>
      </c>
      <c r="C147" s="118">
        <v>25</v>
      </c>
      <c r="D147" s="118">
        <v>0.52</v>
      </c>
      <c r="E147" s="118">
        <v>22.5</v>
      </c>
      <c r="F147" s="118">
        <v>10</v>
      </c>
      <c r="G147" s="118">
        <v>3</v>
      </c>
      <c r="H147" s="118">
        <v>0.5</v>
      </c>
      <c r="I147" s="118">
        <v>15.01</v>
      </c>
      <c r="J147" s="118">
        <v>50.95</v>
      </c>
      <c r="K147" s="118">
        <v>1</v>
      </c>
      <c r="L147" s="118">
        <v>0.5</v>
      </c>
      <c r="M147" s="141">
        <v>3</v>
      </c>
      <c r="N147" s="118">
        <v>7.7999999999999996E-3</v>
      </c>
      <c r="O147" s="118">
        <v>0.85</v>
      </c>
      <c r="P147" s="118">
        <v>100</v>
      </c>
      <c r="Q147" s="118">
        <v>0.5</v>
      </c>
      <c r="R147" s="118">
        <v>1.7</v>
      </c>
      <c r="S147" s="119">
        <v>660.25</v>
      </c>
      <c r="T147" s="119">
        <v>0.04</v>
      </c>
      <c r="U147" s="119">
        <v>5.0000000000000001E-3</v>
      </c>
      <c r="V147" s="119">
        <v>1.7999999999999999E-2</v>
      </c>
      <c r="W147" s="119">
        <v>0.4</v>
      </c>
      <c r="X147" s="119">
        <v>0.6</v>
      </c>
      <c r="Y147" s="119">
        <v>10</v>
      </c>
      <c r="Z147" s="119">
        <v>100</v>
      </c>
      <c r="AA147" s="119">
        <v>10</v>
      </c>
      <c r="AB147" s="119">
        <v>0.13</v>
      </c>
      <c r="AC147" s="119">
        <v>5.5E-2</v>
      </c>
      <c r="AD147" s="119">
        <v>0.03</v>
      </c>
      <c r="AE147" s="119">
        <v>2.3E-2</v>
      </c>
      <c r="AF147" s="119">
        <v>7.4000000000000003E-3</v>
      </c>
      <c r="AG147" s="119">
        <v>3.7000000000000002E-3</v>
      </c>
      <c r="AH147" s="119">
        <v>3.5000000000000001E-3</v>
      </c>
      <c r="AI147" s="119">
        <v>0</v>
      </c>
      <c r="AJ147" s="119">
        <v>0</v>
      </c>
      <c r="AK147" s="119">
        <v>0</v>
      </c>
      <c r="AL147" s="119">
        <v>1.266</v>
      </c>
      <c r="AM147" s="119">
        <v>0.63300000000000001</v>
      </c>
      <c r="AN147" s="119">
        <v>0.32</v>
      </c>
      <c r="AO147" s="12">
        <v>1</v>
      </c>
      <c r="AP147" s="118">
        <v>5.0199999999999996</v>
      </c>
      <c r="AQ147" s="118">
        <v>15.95</v>
      </c>
      <c r="AR147" s="118">
        <v>10</v>
      </c>
      <c r="AS147" s="118">
        <v>1</v>
      </c>
      <c r="AT147" s="118">
        <v>4.75</v>
      </c>
      <c r="AU147" s="118">
        <v>0.4</v>
      </c>
      <c r="AV147" s="118">
        <v>0.2</v>
      </c>
      <c r="AW147" s="118">
        <v>25</v>
      </c>
      <c r="AX147" s="118">
        <v>1.1000000000000001</v>
      </c>
      <c r="AY147" s="118">
        <v>10.9</v>
      </c>
      <c r="AZ147" s="118">
        <v>0.12</v>
      </c>
      <c r="BA147" s="118">
        <v>4.9000000000000004</v>
      </c>
      <c r="BB147" s="118">
        <v>0.01</v>
      </c>
      <c r="BC147" s="118">
        <v>0.1</v>
      </c>
      <c r="BD147" s="118">
        <v>0</v>
      </c>
      <c r="BE147" s="118">
        <v>0</v>
      </c>
      <c r="BF147" s="118">
        <v>0</v>
      </c>
      <c r="BG147" s="118">
        <v>0.3</v>
      </c>
      <c r="BH147" s="12">
        <v>0</v>
      </c>
      <c r="BI147" s="12">
        <v>0</v>
      </c>
      <c r="BJ147" s="12">
        <v>0</v>
      </c>
      <c r="BK147" s="12">
        <v>0</v>
      </c>
      <c r="BL147" s="12">
        <v>0</v>
      </c>
      <c r="BM147" s="12">
        <v>0</v>
      </c>
      <c r="BN147" s="12">
        <v>0</v>
      </c>
      <c r="BO147" s="12" t="s">
        <v>3851</v>
      </c>
    </row>
    <row r="148" spans="1:67" x14ac:dyDescent="0.3">
      <c r="A148" s="12">
        <v>143</v>
      </c>
      <c r="B148" s="12" t="s">
        <v>3816</v>
      </c>
      <c r="C148" s="118">
        <v>35</v>
      </c>
      <c r="D148" s="118">
        <v>0.4</v>
      </c>
      <c r="E148" s="118">
        <v>18</v>
      </c>
      <c r="F148" s="118">
        <v>0</v>
      </c>
      <c r="G148" s="118">
        <v>3</v>
      </c>
      <c r="H148" s="118">
        <v>0.9</v>
      </c>
      <c r="I148" s="118">
        <v>15.01</v>
      </c>
      <c r="J148" s="118">
        <v>50.95</v>
      </c>
      <c r="K148" s="118">
        <v>1</v>
      </c>
      <c r="L148" s="118">
        <v>1</v>
      </c>
      <c r="M148" s="141">
        <v>2</v>
      </c>
      <c r="N148" s="118">
        <v>7.0000000000000001E-3</v>
      </c>
      <c r="O148" s="118">
        <v>0.85</v>
      </c>
      <c r="P148" s="118">
        <v>25</v>
      </c>
      <c r="Q148" s="118">
        <v>0.9</v>
      </c>
      <c r="R148" s="118">
        <v>2</v>
      </c>
      <c r="S148" s="119">
        <v>660.41</v>
      </c>
      <c r="T148" s="119">
        <v>2.3400000000000001E-2</v>
      </c>
      <c r="U148" s="119">
        <v>3.3E-3</v>
      </c>
      <c r="V148" s="119">
        <v>1.6E-2</v>
      </c>
      <c r="W148" s="119">
        <v>0.35</v>
      </c>
      <c r="X148" s="119">
        <v>0.6</v>
      </c>
      <c r="Y148" s="119">
        <v>2.0099999999999998</v>
      </c>
      <c r="Z148" s="119">
        <v>120</v>
      </c>
      <c r="AA148" s="119">
        <v>5</v>
      </c>
      <c r="AB148" s="119">
        <v>0.1</v>
      </c>
      <c r="AC148" s="119">
        <v>0.03</v>
      </c>
      <c r="AD148" s="119">
        <v>1.06E-2</v>
      </c>
      <c r="AE148" s="119">
        <v>7.7999999999999996E-3</v>
      </c>
      <c r="AF148" s="119">
        <v>8.3999999999999995E-3</v>
      </c>
      <c r="AG148" s="119">
        <v>3.2000000000000002E-3</v>
      </c>
      <c r="AH148" s="119">
        <v>1.9E-3</v>
      </c>
      <c r="AI148" s="119">
        <v>6.0000000000000001E-3</v>
      </c>
      <c r="AJ148" s="119">
        <v>3.0000000000000001E-3</v>
      </c>
      <c r="AK148" s="119">
        <v>2E-3</v>
      </c>
      <c r="AL148" s="119">
        <v>3.39</v>
      </c>
      <c r="AM148" s="119">
        <v>3.39</v>
      </c>
      <c r="AN148" s="119">
        <v>3.39</v>
      </c>
      <c r="AO148" s="12">
        <v>5</v>
      </c>
      <c r="AP148" s="118">
        <v>5.01</v>
      </c>
      <c r="AQ148" s="118">
        <v>15.1</v>
      </c>
      <c r="AR148" s="118">
        <v>8</v>
      </c>
      <c r="AS148" s="118">
        <v>0.5</v>
      </c>
      <c r="AT148" s="118">
        <v>4.75</v>
      </c>
      <c r="AU148" s="118">
        <v>0.4</v>
      </c>
      <c r="AV148" s="118">
        <v>0.2</v>
      </c>
      <c r="AW148" s="118">
        <v>25</v>
      </c>
      <c r="AX148" s="118">
        <v>10.050000000000001</v>
      </c>
      <c r="AY148" s="118">
        <v>100.95</v>
      </c>
      <c r="AZ148" s="118">
        <v>0.05</v>
      </c>
      <c r="BA148" s="118">
        <v>3.9</v>
      </c>
      <c r="BB148" s="118">
        <v>0.01</v>
      </c>
      <c r="BC148" s="118">
        <v>0.1</v>
      </c>
      <c r="BD148" s="118">
        <v>0</v>
      </c>
      <c r="BE148" s="118">
        <v>0</v>
      </c>
      <c r="BF148" s="118">
        <v>0</v>
      </c>
      <c r="BG148" s="118">
        <v>0.3</v>
      </c>
      <c r="BH148" s="12">
        <v>0</v>
      </c>
      <c r="BI148" s="12">
        <v>0</v>
      </c>
      <c r="BJ148" s="12">
        <v>0</v>
      </c>
      <c r="BK148" s="12">
        <v>0</v>
      </c>
      <c r="BL148" s="12">
        <v>0</v>
      </c>
      <c r="BM148" s="12">
        <v>0</v>
      </c>
      <c r="BN148" s="12">
        <v>0</v>
      </c>
      <c r="BO148" s="12" t="s">
        <v>3852</v>
      </c>
    </row>
    <row r="149" spans="1:67" x14ac:dyDescent="0.3">
      <c r="A149" s="12">
        <v>144</v>
      </c>
      <c r="B149" s="12" t="s">
        <v>3817</v>
      </c>
      <c r="C149" s="118">
        <v>40</v>
      </c>
      <c r="D149" s="118">
        <v>0.57999999999999996</v>
      </c>
      <c r="E149" s="118">
        <v>25</v>
      </c>
      <c r="F149" s="118">
        <v>8</v>
      </c>
      <c r="G149" s="118">
        <v>6</v>
      </c>
      <c r="H149" s="118">
        <v>0.8</v>
      </c>
      <c r="I149" s="118">
        <v>15.05</v>
      </c>
      <c r="J149" s="118">
        <v>50.95</v>
      </c>
      <c r="K149" s="118">
        <v>1</v>
      </c>
      <c r="L149" s="118">
        <v>1</v>
      </c>
      <c r="M149" s="141">
        <v>3</v>
      </c>
      <c r="N149" s="118">
        <v>7.0000000000000001E-3</v>
      </c>
      <c r="O149" s="118">
        <v>0.85</v>
      </c>
      <c r="P149" s="118">
        <v>25</v>
      </c>
      <c r="Q149" s="118">
        <v>2</v>
      </c>
      <c r="R149" s="118">
        <v>2</v>
      </c>
      <c r="S149" s="119">
        <v>660.45</v>
      </c>
      <c r="T149" s="119">
        <v>1.2999999999999999E-2</v>
      </c>
      <c r="U149" s="119">
        <v>2.5000000000000001E-3</v>
      </c>
      <c r="V149" s="119">
        <v>3.2000000000000002E-3</v>
      </c>
      <c r="W149" s="119">
        <v>0.4</v>
      </c>
      <c r="X149" s="119">
        <v>0.6</v>
      </c>
      <c r="Y149" s="119">
        <v>3.45</v>
      </c>
      <c r="Z149" s="119">
        <v>103.16</v>
      </c>
      <c r="AA149" s="119">
        <v>80.22</v>
      </c>
      <c r="AB149" s="119">
        <v>0.15</v>
      </c>
      <c r="AC149" s="119">
        <v>4.3999999999999997E-2</v>
      </c>
      <c r="AD149" s="119">
        <v>1.4999999999999999E-2</v>
      </c>
      <c r="AE149" s="119">
        <v>0.01</v>
      </c>
      <c r="AF149" s="119">
        <v>6.1999999999999998E-3</v>
      </c>
      <c r="AG149" s="119">
        <v>2.3E-3</v>
      </c>
      <c r="AH149" s="119">
        <v>1.8E-3</v>
      </c>
      <c r="AI149" s="119">
        <v>0.433</v>
      </c>
      <c r="AJ149" s="119">
        <v>0.433</v>
      </c>
      <c r="AK149" s="119">
        <v>0.21299999999999999</v>
      </c>
      <c r="AL149" s="119">
        <v>4</v>
      </c>
      <c r="AM149" s="119">
        <v>5.15</v>
      </c>
      <c r="AN149" s="119">
        <v>15.95</v>
      </c>
      <c r="AO149" s="12">
        <v>8</v>
      </c>
      <c r="AP149" s="118">
        <v>0.5</v>
      </c>
      <c r="AQ149" s="118">
        <v>4.75</v>
      </c>
      <c r="AR149" s="118">
        <v>0.4</v>
      </c>
      <c r="AS149" s="118">
        <v>0.2</v>
      </c>
      <c r="AT149" s="118">
        <v>25</v>
      </c>
      <c r="AU149" s="118">
        <v>4.47</v>
      </c>
      <c r="AV149" s="118">
        <v>7.77</v>
      </c>
      <c r="AW149" s="118">
        <v>0.12</v>
      </c>
      <c r="AX149" s="118">
        <v>1.7</v>
      </c>
      <c r="AY149" s="118">
        <v>0.01</v>
      </c>
      <c r="AZ149" s="118">
        <v>0.1</v>
      </c>
      <c r="BA149" s="118">
        <v>0.06</v>
      </c>
      <c r="BB149" s="118">
        <v>0</v>
      </c>
      <c r="BC149" s="118">
        <v>0</v>
      </c>
      <c r="BD149" s="118">
        <v>0</v>
      </c>
      <c r="BE149" s="118">
        <v>0</v>
      </c>
      <c r="BF149" s="118">
        <v>0</v>
      </c>
      <c r="BG149" s="118">
        <v>0.3</v>
      </c>
      <c r="BH149" s="12">
        <v>0</v>
      </c>
      <c r="BI149" s="12">
        <v>0</v>
      </c>
      <c r="BJ149" s="12">
        <v>0</v>
      </c>
      <c r="BK149" s="12">
        <v>0</v>
      </c>
      <c r="BL149" s="12">
        <v>0</v>
      </c>
      <c r="BM149" s="12">
        <v>0</v>
      </c>
      <c r="BN149" s="12">
        <v>0</v>
      </c>
      <c r="BO149" s="12" t="s">
        <v>3853</v>
      </c>
    </row>
    <row r="150" spans="1:67" x14ac:dyDescent="0.3">
      <c r="A150" s="12">
        <v>145</v>
      </c>
      <c r="B150" s="12" t="s">
        <v>3818</v>
      </c>
      <c r="C150" s="118">
        <v>25</v>
      </c>
      <c r="D150" s="118">
        <v>0.57499999999999996</v>
      </c>
      <c r="E150" s="118">
        <v>25</v>
      </c>
      <c r="F150" s="118">
        <v>10</v>
      </c>
      <c r="G150" s="118">
        <v>6</v>
      </c>
      <c r="H150" s="118">
        <v>0.8</v>
      </c>
      <c r="I150" s="118">
        <v>15.01</v>
      </c>
      <c r="J150" s="118">
        <v>50.95</v>
      </c>
      <c r="K150" s="118">
        <v>0.5</v>
      </c>
      <c r="L150" s="118">
        <v>0.5</v>
      </c>
      <c r="M150" s="141">
        <v>3</v>
      </c>
      <c r="N150" s="118">
        <v>8.0000000000000002E-3</v>
      </c>
      <c r="O150" s="118">
        <v>1</v>
      </c>
      <c r="P150" s="118">
        <v>50</v>
      </c>
      <c r="Q150" s="118">
        <v>0.8</v>
      </c>
      <c r="R150" s="118">
        <v>2</v>
      </c>
      <c r="S150" s="119">
        <v>660.34</v>
      </c>
      <c r="T150" s="119">
        <v>1.3599999999999999E-2</v>
      </c>
      <c r="U150" s="119">
        <v>1.2999999999999999E-3</v>
      </c>
      <c r="V150" s="119">
        <v>1.2999999999999999E-3</v>
      </c>
      <c r="W150" s="119">
        <v>0.25</v>
      </c>
      <c r="X150" s="119">
        <v>0.6</v>
      </c>
      <c r="Y150" s="119">
        <v>0.85</v>
      </c>
      <c r="Z150" s="119">
        <v>86.88</v>
      </c>
      <c r="AA150" s="119">
        <v>20</v>
      </c>
      <c r="AB150" s="119">
        <v>0.14000000000000001</v>
      </c>
      <c r="AC150" s="119">
        <v>0.05</v>
      </c>
      <c r="AD150" s="119">
        <v>0.02</v>
      </c>
      <c r="AE150" s="119">
        <v>0.01</v>
      </c>
      <c r="AF150" s="119">
        <v>6.0000000000000001E-3</v>
      </c>
      <c r="AG150" s="119">
        <v>3.0000000000000001E-3</v>
      </c>
      <c r="AH150" s="119">
        <v>1.8E-3</v>
      </c>
      <c r="AI150" s="119">
        <v>3.39</v>
      </c>
      <c r="AJ150" s="119">
        <v>3.39</v>
      </c>
      <c r="AK150" s="119">
        <v>1.61</v>
      </c>
      <c r="AL150" s="119">
        <v>4</v>
      </c>
      <c r="AM150" s="119">
        <v>5.05</v>
      </c>
      <c r="AN150" s="119">
        <v>15.95</v>
      </c>
      <c r="AO150" s="12">
        <v>5</v>
      </c>
      <c r="AP150" s="118">
        <v>0.5</v>
      </c>
      <c r="AQ150" s="118">
        <v>4.75</v>
      </c>
      <c r="AR150" s="118">
        <v>0.4</v>
      </c>
      <c r="AS150" s="118">
        <v>0.2</v>
      </c>
      <c r="AT150" s="118">
        <v>25</v>
      </c>
      <c r="AU150" s="118">
        <v>125.6</v>
      </c>
      <c r="AV150" s="118">
        <v>250.95</v>
      </c>
      <c r="AW150" s="118">
        <v>0.12</v>
      </c>
      <c r="AX150" s="118">
        <v>3</v>
      </c>
      <c r="AY150" s="118">
        <v>0.01</v>
      </c>
      <c r="AZ150" s="118">
        <v>0.1</v>
      </c>
      <c r="BA150" s="118">
        <v>0</v>
      </c>
      <c r="BB150" s="118">
        <v>0</v>
      </c>
      <c r="BC150" s="118">
        <v>0</v>
      </c>
      <c r="BD150" s="118">
        <v>0</v>
      </c>
      <c r="BE150" s="118">
        <v>0</v>
      </c>
      <c r="BF150" s="118">
        <v>0</v>
      </c>
      <c r="BG150" s="118">
        <v>0.3</v>
      </c>
      <c r="BH150" s="12">
        <v>0</v>
      </c>
      <c r="BI150" s="12">
        <v>0</v>
      </c>
      <c r="BJ150" s="12">
        <v>0</v>
      </c>
      <c r="BK150" s="12">
        <v>0</v>
      </c>
      <c r="BL150" s="12">
        <v>0</v>
      </c>
      <c r="BM150" s="12">
        <v>0</v>
      </c>
      <c r="BN150" s="12">
        <v>0</v>
      </c>
      <c r="BO150" s="12" t="s">
        <v>3854</v>
      </c>
    </row>
    <row r="151" spans="1:67" x14ac:dyDescent="0.3">
      <c r="A151" s="12">
        <v>146</v>
      </c>
      <c r="B151" s="12" t="s">
        <v>3819</v>
      </c>
      <c r="C151" s="118">
        <v>30</v>
      </c>
      <c r="D151" s="118">
        <v>1.25</v>
      </c>
      <c r="E151" s="118">
        <v>29</v>
      </c>
      <c r="F151" s="118">
        <v>7</v>
      </c>
      <c r="G151" s="118">
        <v>1.5</v>
      </c>
      <c r="H151" s="118">
        <v>0.6</v>
      </c>
      <c r="I151" s="118">
        <v>15.01</v>
      </c>
      <c r="J151" s="118">
        <v>50.95</v>
      </c>
      <c r="K151" s="118">
        <v>2</v>
      </c>
      <c r="L151" s="118">
        <v>10</v>
      </c>
      <c r="M151" s="141">
        <v>3</v>
      </c>
      <c r="N151" s="118">
        <v>7.0000000000000001E-3</v>
      </c>
      <c r="O151" s="118">
        <v>0.85</v>
      </c>
      <c r="P151" s="118">
        <v>35</v>
      </c>
      <c r="Q151" s="118">
        <v>1.2</v>
      </c>
      <c r="R151" s="118">
        <v>0.7</v>
      </c>
      <c r="S151" s="119">
        <v>660.41</v>
      </c>
      <c r="T151" s="119">
        <v>2.06E-2</v>
      </c>
      <c r="U151" s="119">
        <v>3.2000000000000002E-3</v>
      </c>
      <c r="V151" s="119">
        <v>1.6899999999999998E-2</v>
      </c>
      <c r="W151" s="119">
        <v>0.75</v>
      </c>
      <c r="X151" s="119">
        <v>0.6</v>
      </c>
      <c r="Y151" s="119">
        <v>205.25</v>
      </c>
      <c r="Z151" s="119">
        <v>405.72</v>
      </c>
      <c r="AA151" s="119">
        <v>405.72</v>
      </c>
      <c r="AB151" s="119">
        <v>0.91</v>
      </c>
      <c r="AC151" s="119">
        <v>0.04</v>
      </c>
      <c r="AD151" s="119">
        <v>2.1999999999999999E-2</v>
      </c>
      <c r="AE151" s="119">
        <v>0.02</v>
      </c>
      <c r="AF151" s="119">
        <v>4.0000000000000001E-3</v>
      </c>
      <c r="AG151" s="119">
        <v>2E-3</v>
      </c>
      <c r="AH151" s="119">
        <v>1.9E-3</v>
      </c>
      <c r="AI151" s="119">
        <v>1.266</v>
      </c>
      <c r="AJ151" s="119">
        <v>0.63300000000000001</v>
      </c>
      <c r="AK151" s="119">
        <v>0.72899999999999998</v>
      </c>
      <c r="AL151" s="119">
        <v>4</v>
      </c>
      <c r="AM151" s="119">
        <v>5.01</v>
      </c>
      <c r="AN151" s="119">
        <v>15.95</v>
      </c>
      <c r="AO151" s="12">
        <v>10</v>
      </c>
      <c r="AP151" s="118">
        <v>1</v>
      </c>
      <c r="AQ151" s="118">
        <v>4.75</v>
      </c>
      <c r="AR151" s="118">
        <v>0.4</v>
      </c>
      <c r="AS151" s="118">
        <v>0.8</v>
      </c>
      <c r="AT151" s="118">
        <v>25</v>
      </c>
      <c r="AU151" s="118">
        <v>10.199999999999999</v>
      </c>
      <c r="AV151" s="118">
        <v>50.9</v>
      </c>
      <c r="AW151" s="118">
        <v>0.12</v>
      </c>
      <c r="AX151" s="118">
        <v>1.7</v>
      </c>
      <c r="AY151" s="118">
        <v>0.01</v>
      </c>
      <c r="AZ151" s="118">
        <v>0.1</v>
      </c>
      <c r="BA151" s="118">
        <v>0</v>
      </c>
      <c r="BB151" s="118">
        <v>0</v>
      </c>
      <c r="BC151" s="118">
        <v>0</v>
      </c>
      <c r="BD151" s="118">
        <v>0.3</v>
      </c>
      <c r="BE151" s="118">
        <v>0</v>
      </c>
      <c r="BF151" s="118">
        <v>0</v>
      </c>
      <c r="BG151" s="118">
        <v>0</v>
      </c>
      <c r="BH151" s="12">
        <v>0</v>
      </c>
      <c r="BI151" s="12">
        <v>0</v>
      </c>
      <c r="BJ151" s="12">
        <v>0</v>
      </c>
      <c r="BK151" s="12">
        <v>0</v>
      </c>
      <c r="BL151" s="12">
        <v>0</v>
      </c>
      <c r="BM151" s="12">
        <v>0</v>
      </c>
      <c r="BN151" s="12">
        <v>0</v>
      </c>
      <c r="BO151" s="12" t="s">
        <v>3855</v>
      </c>
    </row>
    <row r="152" spans="1:67" x14ac:dyDescent="0.3">
      <c r="A152" s="12">
        <v>147</v>
      </c>
      <c r="B152" s="12" t="s">
        <v>473</v>
      </c>
      <c r="C152" s="118">
        <v>30</v>
      </c>
      <c r="D152" s="118">
        <v>0.33</v>
      </c>
      <c r="E152" s="118">
        <v>27</v>
      </c>
      <c r="F152" s="118">
        <v>10</v>
      </c>
      <c r="G152" s="118">
        <v>3</v>
      </c>
      <c r="H152" s="118">
        <v>0.95</v>
      </c>
      <c r="I152" s="118">
        <v>15.05</v>
      </c>
      <c r="J152" s="118">
        <v>50.95</v>
      </c>
      <c r="K152" s="118">
        <v>0.1</v>
      </c>
      <c r="L152" s="118">
        <v>0.1</v>
      </c>
      <c r="M152" s="141">
        <v>2</v>
      </c>
      <c r="N152" s="118">
        <v>7.0000000000000001E-3</v>
      </c>
      <c r="O152" s="118">
        <v>0.85</v>
      </c>
      <c r="P152" s="118">
        <v>90</v>
      </c>
      <c r="Q152" s="118">
        <v>0.8</v>
      </c>
      <c r="R152" s="118">
        <v>1.5</v>
      </c>
      <c r="S152" s="119">
        <v>660.41</v>
      </c>
      <c r="T152" s="119">
        <v>2.35E-2</v>
      </c>
      <c r="U152" s="119">
        <v>3.8E-3</v>
      </c>
      <c r="V152" s="119">
        <v>3.4200000000000001E-2</v>
      </c>
      <c r="W152" s="119">
        <v>0.17</v>
      </c>
      <c r="X152" s="119">
        <v>0.6</v>
      </c>
      <c r="Y152" s="119">
        <v>1136.1600000000001</v>
      </c>
      <c r="Z152" s="119">
        <v>120</v>
      </c>
      <c r="AA152" s="119">
        <v>5</v>
      </c>
      <c r="AB152" s="119">
        <v>0.94</v>
      </c>
      <c r="AC152" s="119">
        <v>6.6299999999999998E-2</v>
      </c>
      <c r="AD152" s="119">
        <v>0.03</v>
      </c>
      <c r="AE152" s="119">
        <v>2.5000000000000001E-2</v>
      </c>
      <c r="AF152" s="119">
        <v>5.3E-3</v>
      </c>
      <c r="AG152" s="119">
        <v>3.5000000000000001E-3</v>
      </c>
      <c r="AH152" s="119">
        <v>2.5000000000000001E-3</v>
      </c>
      <c r="AI152" s="119">
        <v>1.1379999999999999</v>
      </c>
      <c r="AJ152" s="119">
        <v>0.60299999999999998</v>
      </c>
      <c r="AK152" s="119">
        <v>0.33200000000000002</v>
      </c>
      <c r="AL152" s="119">
        <v>4</v>
      </c>
      <c r="AM152" s="119">
        <v>5.15</v>
      </c>
      <c r="AN152" s="119">
        <v>15.95</v>
      </c>
      <c r="AO152" s="12">
        <v>8</v>
      </c>
      <c r="AP152" s="118">
        <v>0.5</v>
      </c>
      <c r="AQ152" s="118">
        <v>4.75</v>
      </c>
      <c r="AR152" s="118">
        <v>0.4</v>
      </c>
      <c r="AS152" s="118">
        <v>0.2</v>
      </c>
      <c r="AT152" s="118">
        <v>25</v>
      </c>
      <c r="AU152" s="118">
        <v>4.4000000000000004</v>
      </c>
      <c r="AV152" s="118">
        <v>7.9</v>
      </c>
      <c r="AW152" s="118">
        <v>0.19</v>
      </c>
      <c r="AX152" s="118">
        <v>1</v>
      </c>
      <c r="AY152" s="118">
        <v>0.01</v>
      </c>
      <c r="AZ152" s="118">
        <v>0.1</v>
      </c>
      <c r="BA152" s="118">
        <v>0</v>
      </c>
      <c r="BB152" s="118">
        <v>0</v>
      </c>
      <c r="BC152" s="118">
        <v>0</v>
      </c>
      <c r="BD152" s="118">
        <v>0.3</v>
      </c>
      <c r="BE152" s="118">
        <v>0</v>
      </c>
      <c r="BF152" s="118">
        <v>0</v>
      </c>
      <c r="BG152" s="118">
        <v>0</v>
      </c>
      <c r="BH152" s="12">
        <v>0</v>
      </c>
      <c r="BI152" s="12">
        <v>0</v>
      </c>
      <c r="BJ152" s="12">
        <v>0</v>
      </c>
      <c r="BK152" s="12">
        <v>0</v>
      </c>
      <c r="BL152" s="12">
        <v>0</v>
      </c>
      <c r="BM152" s="12">
        <v>0</v>
      </c>
      <c r="BN152" s="12">
        <v>0</v>
      </c>
      <c r="BO152" s="12" t="s">
        <v>3856</v>
      </c>
    </row>
    <row r="153" spans="1:67" x14ac:dyDescent="0.3">
      <c r="A153" s="12">
        <v>148</v>
      </c>
      <c r="B153" s="12" t="s">
        <v>3820</v>
      </c>
      <c r="C153" s="118">
        <v>30</v>
      </c>
      <c r="D153" s="118">
        <v>0.33</v>
      </c>
      <c r="E153" s="118">
        <v>25</v>
      </c>
      <c r="F153" s="118">
        <v>10</v>
      </c>
      <c r="G153" s="118">
        <v>3</v>
      </c>
      <c r="H153" s="118">
        <v>0.95</v>
      </c>
      <c r="I153" s="118">
        <v>15.05</v>
      </c>
      <c r="J153" s="118">
        <v>50.95</v>
      </c>
      <c r="K153" s="118">
        <v>0.1</v>
      </c>
      <c r="L153" s="118">
        <v>0.1</v>
      </c>
      <c r="M153" s="141">
        <v>2</v>
      </c>
      <c r="N153" s="118">
        <v>7.0000000000000001E-3</v>
      </c>
      <c r="O153" s="118">
        <v>0.85</v>
      </c>
      <c r="P153" s="118">
        <v>90</v>
      </c>
      <c r="Q153" s="118">
        <v>0.8</v>
      </c>
      <c r="R153" s="118">
        <v>1.5</v>
      </c>
      <c r="S153" s="119">
        <v>660.41</v>
      </c>
      <c r="T153" s="119">
        <v>2.35E-2</v>
      </c>
      <c r="U153" s="119">
        <v>3.8E-3</v>
      </c>
      <c r="V153" s="119">
        <v>3.4200000000000001E-2</v>
      </c>
      <c r="W153" s="119">
        <v>0.3</v>
      </c>
      <c r="X153" s="119">
        <v>0.6</v>
      </c>
      <c r="Y153" s="119">
        <v>1136.1600000000001</v>
      </c>
      <c r="Z153" s="119">
        <v>120</v>
      </c>
      <c r="AA153" s="119">
        <v>5</v>
      </c>
      <c r="AB153" s="119">
        <v>0.94</v>
      </c>
      <c r="AC153" s="119">
        <v>6.6299999999999998E-2</v>
      </c>
      <c r="AD153" s="119">
        <v>0.03</v>
      </c>
      <c r="AE153" s="119">
        <v>2.5000000000000001E-2</v>
      </c>
      <c r="AF153" s="119">
        <v>5.3E-3</v>
      </c>
      <c r="AG153" s="119">
        <v>3.5000000000000001E-3</v>
      </c>
      <c r="AH153" s="119">
        <v>2.5000000000000001E-3</v>
      </c>
      <c r="AI153" s="119">
        <v>1.1379999999999999</v>
      </c>
      <c r="AJ153" s="119">
        <v>0.60299999999999998</v>
      </c>
      <c r="AK153" s="119">
        <v>0.33200000000000002</v>
      </c>
      <c r="AL153" s="119">
        <v>4</v>
      </c>
      <c r="AM153" s="119">
        <v>5.15</v>
      </c>
      <c r="AN153" s="119">
        <v>15.95</v>
      </c>
      <c r="AO153" s="12">
        <v>8</v>
      </c>
      <c r="AP153" s="118">
        <v>0.5</v>
      </c>
      <c r="AQ153" s="118">
        <v>4.75</v>
      </c>
      <c r="AR153" s="118">
        <v>0.4</v>
      </c>
      <c r="AS153" s="118">
        <v>0.2</v>
      </c>
      <c r="AT153" s="118">
        <v>25</v>
      </c>
      <c r="AU153" s="118">
        <v>4.4000000000000004</v>
      </c>
      <c r="AV153" s="118">
        <v>7.9</v>
      </c>
      <c r="AW153" s="118">
        <v>0.19</v>
      </c>
      <c r="AX153" s="118">
        <v>1</v>
      </c>
      <c r="AY153" s="118">
        <v>0.01</v>
      </c>
      <c r="AZ153" s="118">
        <v>0.1</v>
      </c>
      <c r="BA153" s="118">
        <v>0</v>
      </c>
      <c r="BB153" s="118">
        <v>0</v>
      </c>
      <c r="BC153" s="118">
        <v>0</v>
      </c>
      <c r="BD153" s="118">
        <v>0.3</v>
      </c>
      <c r="BE153" s="118">
        <v>0</v>
      </c>
      <c r="BF153" s="118">
        <v>0</v>
      </c>
      <c r="BG153" s="118">
        <v>0</v>
      </c>
      <c r="BH153" s="12">
        <v>0</v>
      </c>
      <c r="BI153" s="12">
        <v>0</v>
      </c>
      <c r="BJ153" s="12">
        <v>0</v>
      </c>
      <c r="BK153" s="12">
        <v>0</v>
      </c>
      <c r="BL153" s="12">
        <v>0</v>
      </c>
      <c r="BM153" s="12">
        <v>0</v>
      </c>
      <c r="BN153" s="12">
        <v>0</v>
      </c>
      <c r="BO153" s="12" t="s">
        <v>3857</v>
      </c>
    </row>
    <row r="154" spans="1:67" x14ac:dyDescent="0.3">
      <c r="A154" s="12">
        <v>138</v>
      </c>
      <c r="B154" s="12" t="s">
        <v>3821</v>
      </c>
      <c r="C154" s="118">
        <v>10</v>
      </c>
      <c r="D154" s="118">
        <v>0.05</v>
      </c>
      <c r="E154" s="118">
        <v>30</v>
      </c>
      <c r="F154" s="118">
        <v>10</v>
      </c>
      <c r="G154" s="118">
        <v>1.35</v>
      </c>
      <c r="H154" s="118">
        <v>0.99</v>
      </c>
      <c r="I154" s="118">
        <v>5.05</v>
      </c>
      <c r="J154" s="118">
        <v>40.950000000000003</v>
      </c>
      <c r="K154" s="118">
        <v>1</v>
      </c>
      <c r="L154" s="118">
        <v>1</v>
      </c>
      <c r="M154" s="141">
        <v>5</v>
      </c>
      <c r="N154" s="118">
        <v>5.0000000000000001E-3</v>
      </c>
      <c r="O154" s="118">
        <v>0.85</v>
      </c>
      <c r="P154" s="118">
        <v>80</v>
      </c>
      <c r="Q154" s="118">
        <v>6</v>
      </c>
      <c r="R154" s="118">
        <v>3.5</v>
      </c>
      <c r="S154" s="119">
        <v>660.15</v>
      </c>
      <c r="T154" s="119">
        <v>1.5E-3</v>
      </c>
      <c r="U154" s="119">
        <v>2.9999999999999997E-4</v>
      </c>
      <c r="V154" s="119">
        <v>2E-3</v>
      </c>
      <c r="W154" s="119">
        <v>0.05</v>
      </c>
      <c r="X154" s="119">
        <v>0.6</v>
      </c>
      <c r="Y154" s="119">
        <v>6.72</v>
      </c>
      <c r="Z154" s="119">
        <v>1000</v>
      </c>
      <c r="AA154" s="119">
        <v>5</v>
      </c>
      <c r="AB154" s="119">
        <v>0.01</v>
      </c>
      <c r="AC154" s="119">
        <v>0.02</v>
      </c>
      <c r="AD154" s="119">
        <v>0.01</v>
      </c>
      <c r="AE154" s="119">
        <v>8.0000000000000002E-3</v>
      </c>
      <c r="AF154" s="119">
        <v>6.9999999999999999E-4</v>
      </c>
      <c r="AG154" s="119">
        <v>4.0000000000000002E-4</v>
      </c>
      <c r="AH154" s="119">
        <v>2.9999999999999997E-4</v>
      </c>
      <c r="AI154" s="119">
        <v>3.39</v>
      </c>
      <c r="AJ154" s="119">
        <v>3.39</v>
      </c>
      <c r="AK154" s="119">
        <v>3.39</v>
      </c>
      <c r="AL154" s="119">
        <v>8</v>
      </c>
      <c r="AM154" s="119">
        <v>5.0999999999999996</v>
      </c>
      <c r="AN154" s="119">
        <v>15.5</v>
      </c>
      <c r="AO154" s="12">
        <v>8</v>
      </c>
      <c r="AP154" s="118">
        <v>1</v>
      </c>
      <c r="AQ154" s="118">
        <v>4.75</v>
      </c>
      <c r="AR154" s="118">
        <v>0.4</v>
      </c>
      <c r="AS154" s="118">
        <v>0.2</v>
      </c>
      <c r="AT154" s="118">
        <v>25</v>
      </c>
      <c r="AU154" s="118">
        <v>120.88</v>
      </c>
      <c r="AV154" s="118">
        <v>20.13</v>
      </c>
      <c r="AW154" s="118">
        <v>0.05</v>
      </c>
      <c r="AX154" s="118">
        <v>1</v>
      </c>
      <c r="AY154" s="118">
        <v>0.01</v>
      </c>
      <c r="AZ154" s="118">
        <v>0.1</v>
      </c>
      <c r="BA154" s="118">
        <v>0</v>
      </c>
      <c r="BB154" s="118">
        <v>0</v>
      </c>
      <c r="BC154" s="118">
        <v>0</v>
      </c>
      <c r="BD154" s="118">
        <v>0.3</v>
      </c>
      <c r="BE154" s="118">
        <v>3</v>
      </c>
      <c r="BF154" s="118">
        <v>0</v>
      </c>
      <c r="BG154" s="118">
        <v>0</v>
      </c>
      <c r="BH154" s="12">
        <v>0</v>
      </c>
      <c r="BI154" s="12">
        <v>0</v>
      </c>
      <c r="BJ154" s="12">
        <v>0</v>
      </c>
      <c r="BK154" s="12">
        <v>0</v>
      </c>
      <c r="BL154" s="12">
        <v>0</v>
      </c>
      <c r="BM154" s="12">
        <v>0</v>
      </c>
      <c r="BN154" s="12">
        <v>0</v>
      </c>
      <c r="BO154" s="12" t="s">
        <v>3858</v>
      </c>
    </row>
    <row r="155" spans="1:67" x14ac:dyDescent="0.3">
      <c r="A155" s="12">
        <v>139</v>
      </c>
      <c r="B155" s="12" t="s">
        <v>3822</v>
      </c>
      <c r="C155" s="118">
        <v>10</v>
      </c>
      <c r="D155" s="118">
        <v>0.05</v>
      </c>
      <c r="E155" s="118">
        <v>30</v>
      </c>
      <c r="F155" s="118">
        <v>10</v>
      </c>
      <c r="G155" s="118">
        <v>1.35</v>
      </c>
      <c r="H155" s="118">
        <v>0.99</v>
      </c>
      <c r="I155" s="118">
        <v>5.05</v>
      </c>
      <c r="J155" s="118">
        <v>40.950000000000003</v>
      </c>
      <c r="K155" s="118">
        <v>1</v>
      </c>
      <c r="L155" s="118">
        <v>1</v>
      </c>
      <c r="M155" s="141">
        <v>5</v>
      </c>
      <c r="N155" s="118">
        <v>5.0000000000000001E-3</v>
      </c>
      <c r="O155" s="118">
        <v>0.85</v>
      </c>
      <c r="P155" s="118">
        <v>80</v>
      </c>
      <c r="Q155" s="118">
        <v>6</v>
      </c>
      <c r="R155" s="118">
        <v>3.5</v>
      </c>
      <c r="S155" s="119">
        <v>660.15</v>
      </c>
      <c r="T155" s="119">
        <v>1.5E-3</v>
      </c>
      <c r="U155" s="119">
        <v>2.9999999999999997E-4</v>
      </c>
      <c r="V155" s="119">
        <v>2E-3</v>
      </c>
      <c r="W155" s="119">
        <v>0.05</v>
      </c>
      <c r="X155" s="119">
        <v>0.6</v>
      </c>
      <c r="Y155" s="119">
        <v>6.72</v>
      </c>
      <c r="Z155" s="119">
        <v>1000</v>
      </c>
      <c r="AA155" s="119">
        <v>5</v>
      </c>
      <c r="AB155" s="119">
        <v>0.01</v>
      </c>
      <c r="AC155" s="119">
        <v>0.02</v>
      </c>
      <c r="AD155" s="119">
        <v>0.01</v>
      </c>
      <c r="AE155" s="119">
        <v>8.0000000000000002E-3</v>
      </c>
      <c r="AF155" s="119">
        <v>6.9999999999999999E-4</v>
      </c>
      <c r="AG155" s="119">
        <v>4.0000000000000002E-4</v>
      </c>
      <c r="AH155" s="119">
        <v>2.9999999999999997E-4</v>
      </c>
      <c r="AI155" s="119">
        <v>3.39</v>
      </c>
      <c r="AJ155" s="119">
        <v>3.39</v>
      </c>
      <c r="AK155" s="119">
        <v>3.39</v>
      </c>
      <c r="AL155" s="119">
        <v>8</v>
      </c>
      <c r="AM155" s="119">
        <v>5.0999999999999996</v>
      </c>
      <c r="AN155" s="119">
        <v>15.5</v>
      </c>
      <c r="AO155" s="12">
        <v>8</v>
      </c>
      <c r="AP155" s="118">
        <v>1</v>
      </c>
      <c r="AQ155" s="118">
        <v>4.75</v>
      </c>
      <c r="AR155" s="118">
        <v>0.4</v>
      </c>
      <c r="AS155" s="118">
        <v>0.2</v>
      </c>
      <c r="AT155" s="118">
        <v>25</v>
      </c>
      <c r="AU155" s="118">
        <v>120.88</v>
      </c>
      <c r="AV155" s="118">
        <v>20.13</v>
      </c>
      <c r="AW155" s="118">
        <v>0.05</v>
      </c>
      <c r="AX155" s="118">
        <v>1</v>
      </c>
      <c r="AY155" s="118">
        <v>0.01</v>
      </c>
      <c r="AZ155" s="118">
        <v>0.1</v>
      </c>
      <c r="BA155" s="118">
        <v>0</v>
      </c>
      <c r="BB155" s="118">
        <v>0</v>
      </c>
      <c r="BC155" s="118">
        <v>0</v>
      </c>
      <c r="BD155" s="118">
        <v>0.3</v>
      </c>
      <c r="BE155" s="118">
        <v>2</v>
      </c>
      <c r="BF155" s="118">
        <v>0</v>
      </c>
      <c r="BG155" s="118">
        <v>0</v>
      </c>
      <c r="BH155" s="12">
        <v>0</v>
      </c>
      <c r="BI155" s="12">
        <v>0</v>
      </c>
      <c r="BJ155" s="12">
        <v>0</v>
      </c>
      <c r="BK155" s="12">
        <v>0</v>
      </c>
      <c r="BL155" s="12">
        <v>0</v>
      </c>
      <c r="BM155" s="12">
        <v>0</v>
      </c>
      <c r="BN155" s="12">
        <v>0</v>
      </c>
      <c r="BO155" s="12" t="s">
        <v>3821</v>
      </c>
    </row>
    <row r="156" spans="1:67" x14ac:dyDescent="0.3">
      <c r="A156" s="12">
        <v>140</v>
      </c>
      <c r="B156" s="12" t="s">
        <v>3823</v>
      </c>
      <c r="C156" s="118">
        <v>33</v>
      </c>
      <c r="D156" s="118">
        <v>0.01</v>
      </c>
      <c r="E156" s="118">
        <v>25</v>
      </c>
      <c r="F156" s="118">
        <v>8</v>
      </c>
      <c r="G156" s="118">
        <v>5</v>
      </c>
      <c r="H156" s="118">
        <v>0.9</v>
      </c>
      <c r="I156" s="118">
        <v>5.25</v>
      </c>
      <c r="J156" s="118">
        <v>25.95</v>
      </c>
      <c r="K156" s="118">
        <v>0.5</v>
      </c>
      <c r="L156" s="118">
        <v>0.5</v>
      </c>
      <c r="M156" s="141">
        <v>3</v>
      </c>
      <c r="N156" s="118">
        <v>7.0000000000000001E-3</v>
      </c>
      <c r="O156" s="118">
        <v>0.85</v>
      </c>
      <c r="P156" s="118">
        <v>35</v>
      </c>
      <c r="Q156" s="118">
        <v>1.5</v>
      </c>
      <c r="R156" s="118">
        <v>2</v>
      </c>
      <c r="S156" s="119">
        <v>660.45</v>
      </c>
      <c r="T156" s="119">
        <v>0.01</v>
      </c>
      <c r="U156" s="119">
        <v>2E-3</v>
      </c>
      <c r="V156" s="119">
        <v>0</v>
      </c>
      <c r="W156" s="119">
        <v>0.2</v>
      </c>
      <c r="X156" s="119">
        <v>0.6</v>
      </c>
      <c r="Y156" s="119">
        <v>0</v>
      </c>
      <c r="Z156" s="119">
        <v>0</v>
      </c>
      <c r="AA156" s="119">
        <v>0</v>
      </c>
      <c r="AB156" s="119">
        <v>0.1</v>
      </c>
      <c r="AC156" s="119">
        <v>0.02</v>
      </c>
      <c r="AD156" s="119">
        <v>1.2E-2</v>
      </c>
      <c r="AE156" s="119">
        <v>0.01</v>
      </c>
      <c r="AF156" s="119">
        <v>7.4000000000000003E-3</v>
      </c>
      <c r="AG156" s="119">
        <v>3.7000000000000002E-3</v>
      </c>
      <c r="AH156" s="119">
        <v>3.5000000000000001E-3</v>
      </c>
      <c r="AI156" s="119">
        <v>1.266</v>
      </c>
      <c r="AJ156" s="119">
        <v>0.63300000000000001</v>
      </c>
      <c r="AK156" s="119">
        <v>0.72899999999999998</v>
      </c>
      <c r="AL156" s="119">
        <v>11</v>
      </c>
      <c r="AM156" s="119">
        <v>1.9</v>
      </c>
      <c r="AN156" s="119">
        <v>5.99</v>
      </c>
      <c r="AO156" s="12">
        <v>8</v>
      </c>
      <c r="AP156" s="118">
        <v>0.5</v>
      </c>
      <c r="AQ156" s="118">
        <v>4.75</v>
      </c>
      <c r="AR156" s="118">
        <v>0.4</v>
      </c>
      <c r="AS156" s="118">
        <v>0.2</v>
      </c>
      <c r="AT156" s="118">
        <v>20</v>
      </c>
      <c r="AU156" s="118">
        <v>5.2</v>
      </c>
      <c r="AV156" s="118">
        <v>100.99</v>
      </c>
      <c r="AW156" s="118">
        <v>0</v>
      </c>
      <c r="AX156" s="118">
        <v>0</v>
      </c>
      <c r="AY156" s="118">
        <v>0.01</v>
      </c>
      <c r="AZ156" s="118">
        <v>0.1</v>
      </c>
      <c r="BA156" s="118">
        <v>0</v>
      </c>
      <c r="BB156" s="118">
        <v>0</v>
      </c>
      <c r="BC156" s="118">
        <v>0</v>
      </c>
      <c r="BD156" s="118">
        <v>0.3</v>
      </c>
      <c r="BE156" s="118">
        <v>0</v>
      </c>
      <c r="BF156" s="118">
        <v>0</v>
      </c>
      <c r="BG156" s="118">
        <v>0</v>
      </c>
      <c r="BH156" s="12">
        <v>0</v>
      </c>
      <c r="BI156" s="12">
        <v>0</v>
      </c>
      <c r="BJ156" s="12">
        <v>0</v>
      </c>
      <c r="BK156" s="12">
        <v>0</v>
      </c>
      <c r="BL156" s="12">
        <v>0</v>
      </c>
      <c r="BM156" s="12">
        <v>0</v>
      </c>
      <c r="BN156" s="12">
        <v>0</v>
      </c>
      <c r="BO156" s="12" t="s">
        <v>3859</v>
      </c>
    </row>
    <row r="157" spans="1:67" x14ac:dyDescent="0.3">
      <c r="A157" s="12">
        <v>141</v>
      </c>
      <c r="B157" s="12" t="s">
        <v>3824</v>
      </c>
      <c r="C157" s="118">
        <v>24</v>
      </c>
      <c r="D157" s="118">
        <v>0.56000000000000005</v>
      </c>
      <c r="E157" s="118">
        <v>30</v>
      </c>
      <c r="F157" s="118">
        <v>10</v>
      </c>
      <c r="G157" s="118">
        <v>3.5</v>
      </c>
      <c r="H157" s="118">
        <v>0.9</v>
      </c>
      <c r="I157" s="118">
        <v>15.05</v>
      </c>
      <c r="J157" s="118">
        <v>50.99</v>
      </c>
      <c r="K157" s="118">
        <v>1</v>
      </c>
      <c r="L157" s="118">
        <v>1</v>
      </c>
      <c r="M157" s="141">
        <v>3</v>
      </c>
      <c r="N157" s="118">
        <v>7.0000000000000001E-3</v>
      </c>
      <c r="O157" s="118">
        <v>0.85</v>
      </c>
      <c r="P157" s="118">
        <v>100</v>
      </c>
      <c r="Q157" s="118">
        <v>10</v>
      </c>
      <c r="R157" s="118">
        <v>3.5</v>
      </c>
      <c r="S157" s="119">
        <v>660.3</v>
      </c>
      <c r="T157" s="119">
        <v>1.5E-3</v>
      </c>
      <c r="U157" s="119">
        <v>2.9999999999999997E-4</v>
      </c>
      <c r="V157" s="119">
        <v>0</v>
      </c>
      <c r="W157" s="119">
        <v>0.05</v>
      </c>
      <c r="X157" s="119">
        <v>0.6</v>
      </c>
      <c r="Y157" s="119">
        <v>0</v>
      </c>
      <c r="Z157" s="119">
        <v>0</v>
      </c>
      <c r="AA157" s="119">
        <v>0</v>
      </c>
      <c r="AB157" s="119">
        <v>0.5</v>
      </c>
      <c r="AC157" s="119">
        <v>6.0000000000000001E-3</v>
      </c>
      <c r="AD157" s="119">
        <v>2E-3</v>
      </c>
      <c r="AE157" s="119">
        <v>1.5E-3</v>
      </c>
      <c r="AF157" s="119">
        <v>6.9999999999999999E-4</v>
      </c>
      <c r="AG157" s="119">
        <v>4.0000000000000002E-4</v>
      </c>
      <c r="AH157" s="119">
        <v>2.9999999999999997E-4</v>
      </c>
      <c r="AI157" s="119">
        <v>3.39</v>
      </c>
      <c r="AJ157" s="119">
        <v>3.39</v>
      </c>
      <c r="AK157" s="119">
        <v>3.39</v>
      </c>
      <c r="AL157" s="119">
        <v>8</v>
      </c>
      <c r="AM157" s="119">
        <v>5.0999999999999996</v>
      </c>
      <c r="AN157" s="119">
        <v>15.99</v>
      </c>
      <c r="AO157" s="12">
        <v>8</v>
      </c>
      <c r="AP157" s="118">
        <v>0.5</v>
      </c>
      <c r="AQ157" s="118">
        <v>4.75</v>
      </c>
      <c r="AR157" s="118">
        <v>0.4</v>
      </c>
      <c r="AS157" s="118">
        <v>0.2</v>
      </c>
      <c r="AT157" s="118">
        <v>20</v>
      </c>
      <c r="AU157" s="118">
        <v>500.95</v>
      </c>
      <c r="AV157" s="118">
        <v>100.25</v>
      </c>
      <c r="AW157" s="118">
        <v>0</v>
      </c>
      <c r="AX157" s="118">
        <v>0</v>
      </c>
      <c r="AY157" s="118">
        <v>0.01</v>
      </c>
      <c r="AZ157" s="118">
        <v>0.1</v>
      </c>
      <c r="BA157" s="118">
        <v>0</v>
      </c>
      <c r="BB157" s="118">
        <v>0.05</v>
      </c>
      <c r="BC157" s="118">
        <v>0</v>
      </c>
      <c r="BD157" s="118">
        <v>0.3</v>
      </c>
      <c r="BE157" s="118">
        <v>0</v>
      </c>
      <c r="BF157" s="118">
        <v>0</v>
      </c>
      <c r="BG157" s="118">
        <v>0</v>
      </c>
      <c r="BH157" s="12">
        <v>0</v>
      </c>
      <c r="BI157" s="12">
        <v>0</v>
      </c>
      <c r="BJ157" s="12">
        <v>0</v>
      </c>
      <c r="BK157" s="12">
        <v>0</v>
      </c>
      <c r="BL157" s="12">
        <v>0</v>
      </c>
      <c r="BM157" s="12">
        <v>0</v>
      </c>
      <c r="BN157" s="12">
        <v>0</v>
      </c>
      <c r="BO157" s="12" t="s">
        <v>3860</v>
      </c>
    </row>
    <row r="158" spans="1:67" x14ac:dyDescent="0.3">
      <c r="A158" s="12">
        <v>142</v>
      </c>
      <c r="B158" s="12" t="s">
        <v>3825</v>
      </c>
      <c r="C158" s="118">
        <v>15</v>
      </c>
      <c r="D158" s="118">
        <v>0.56000000000000005</v>
      </c>
      <c r="E158" s="118">
        <v>30</v>
      </c>
      <c r="F158" s="118">
        <v>10</v>
      </c>
      <c r="G158" s="118">
        <v>3.5</v>
      </c>
      <c r="H158" s="118">
        <v>0.9</v>
      </c>
      <c r="I158" s="118">
        <v>15.05</v>
      </c>
      <c r="J158" s="118">
        <v>50.99</v>
      </c>
      <c r="K158" s="118">
        <v>1</v>
      </c>
      <c r="L158" s="118">
        <v>1</v>
      </c>
      <c r="M158" s="141">
        <v>3</v>
      </c>
      <c r="N158" s="118">
        <v>7.0000000000000001E-3</v>
      </c>
      <c r="O158" s="118">
        <v>0.85</v>
      </c>
      <c r="P158" s="118">
        <v>100</v>
      </c>
      <c r="Q158" s="118">
        <v>10</v>
      </c>
      <c r="R158" s="118">
        <v>3.5</v>
      </c>
      <c r="S158" s="119">
        <v>660.3</v>
      </c>
      <c r="T158" s="119">
        <v>1.5E-3</v>
      </c>
      <c r="U158" s="119">
        <v>2.9999999999999997E-4</v>
      </c>
      <c r="V158" s="119">
        <v>0</v>
      </c>
      <c r="W158" s="119">
        <v>0.05</v>
      </c>
      <c r="X158" s="119">
        <v>0.6</v>
      </c>
      <c r="Y158" s="119">
        <v>0</v>
      </c>
      <c r="Z158" s="119">
        <v>0</v>
      </c>
      <c r="AA158" s="119">
        <v>0</v>
      </c>
      <c r="AB158" s="119">
        <v>0.5</v>
      </c>
      <c r="AC158" s="119">
        <v>6.0000000000000001E-3</v>
      </c>
      <c r="AD158" s="119">
        <v>2E-3</v>
      </c>
      <c r="AE158" s="119">
        <v>1.5E-3</v>
      </c>
      <c r="AF158" s="119">
        <v>6.9999999999999999E-4</v>
      </c>
      <c r="AG158" s="119">
        <v>4.0000000000000002E-4</v>
      </c>
      <c r="AH158" s="119">
        <v>2.9999999999999997E-4</v>
      </c>
      <c r="AI158" s="119">
        <v>3.39</v>
      </c>
      <c r="AJ158" s="119">
        <v>3.39</v>
      </c>
      <c r="AK158" s="119">
        <v>3.39</v>
      </c>
      <c r="AL158" s="119">
        <v>8</v>
      </c>
      <c r="AM158" s="119">
        <v>5.0999999999999996</v>
      </c>
      <c r="AN158" s="119">
        <v>15.99</v>
      </c>
      <c r="AO158" s="12">
        <v>8</v>
      </c>
      <c r="AP158" s="118">
        <v>0.5</v>
      </c>
      <c r="AQ158" s="118">
        <v>4.75</v>
      </c>
      <c r="AR158" s="118">
        <v>0.4</v>
      </c>
      <c r="AS158" s="118">
        <v>0.2</v>
      </c>
      <c r="AT158" s="118">
        <v>20</v>
      </c>
      <c r="AU158" s="118">
        <v>500.95</v>
      </c>
      <c r="AV158" s="118">
        <v>100.25</v>
      </c>
      <c r="AW158" s="118">
        <v>0</v>
      </c>
      <c r="AX158" s="118">
        <v>0</v>
      </c>
      <c r="AY158" s="118">
        <v>0.01</v>
      </c>
      <c r="AZ158" s="118">
        <v>0.1</v>
      </c>
      <c r="BA158" s="118">
        <v>0</v>
      </c>
      <c r="BB158" s="118">
        <v>0.05</v>
      </c>
      <c r="BC158" s="118">
        <v>0</v>
      </c>
      <c r="BD158" s="118">
        <v>0.3</v>
      </c>
      <c r="BE158" s="118">
        <v>0</v>
      </c>
      <c r="BF158" s="118">
        <v>0</v>
      </c>
      <c r="BG158" s="118">
        <v>0</v>
      </c>
      <c r="BH158" s="12">
        <v>0</v>
      </c>
      <c r="BI158" s="12">
        <v>0</v>
      </c>
      <c r="BJ158" s="12">
        <v>0</v>
      </c>
      <c r="BK158" s="12">
        <v>0</v>
      </c>
      <c r="BL158" s="12">
        <v>0</v>
      </c>
      <c r="BM158" s="12">
        <v>0</v>
      </c>
      <c r="BN158" s="12">
        <v>0</v>
      </c>
      <c r="BO158" s="12" t="s">
        <v>3861</v>
      </c>
    </row>
    <row r="159" spans="1:67" x14ac:dyDescent="0.3">
      <c r="A159" s="12">
        <v>174</v>
      </c>
      <c r="B159" s="12" t="s">
        <v>3826</v>
      </c>
      <c r="C159" s="118">
        <v>31</v>
      </c>
      <c r="D159" s="118">
        <v>0.6</v>
      </c>
      <c r="E159" s="118">
        <v>22</v>
      </c>
      <c r="F159" s="118">
        <v>4</v>
      </c>
      <c r="G159" s="118">
        <v>4.0999999999999996</v>
      </c>
      <c r="H159" s="118">
        <v>0.8</v>
      </c>
      <c r="I159" s="118">
        <v>5.01</v>
      </c>
      <c r="J159" s="118">
        <v>50.95</v>
      </c>
      <c r="K159" s="118">
        <v>1</v>
      </c>
      <c r="L159" s="118">
        <v>1</v>
      </c>
      <c r="M159" s="141">
        <v>3</v>
      </c>
      <c r="N159" s="118">
        <v>7.0000000000000001E-3</v>
      </c>
      <c r="O159" s="118">
        <v>0.85</v>
      </c>
      <c r="P159" s="118">
        <v>200</v>
      </c>
      <c r="Q159" s="118">
        <v>0.5</v>
      </c>
      <c r="R159" s="118">
        <v>1</v>
      </c>
      <c r="S159" s="119">
        <v>660.35</v>
      </c>
      <c r="T159" s="119">
        <v>8.9999999999999993E-3</v>
      </c>
      <c r="U159" s="119">
        <v>2.7E-2</v>
      </c>
      <c r="V159" s="119">
        <v>2.5999999999999999E-2</v>
      </c>
      <c r="W159" s="119">
        <v>0.3</v>
      </c>
      <c r="X159" s="119">
        <v>0.6</v>
      </c>
      <c r="Y159" s="119">
        <v>1.1559999999999999</v>
      </c>
      <c r="Z159" s="119">
        <v>110</v>
      </c>
      <c r="AA159" s="119">
        <v>35</v>
      </c>
      <c r="AB159" s="119">
        <v>0.83599999999999997</v>
      </c>
      <c r="AC159" s="119">
        <v>5.5E-2</v>
      </c>
      <c r="AD159" s="119">
        <v>0.02</v>
      </c>
      <c r="AE159" s="119">
        <v>1.2E-2</v>
      </c>
      <c r="AF159" s="119">
        <v>6.0000000000000001E-3</v>
      </c>
      <c r="AG159" s="119">
        <v>2E-3</v>
      </c>
      <c r="AH159" s="119">
        <v>2E-3</v>
      </c>
      <c r="AI159" s="119">
        <v>1.1379999999999999</v>
      </c>
      <c r="AJ159" s="119">
        <v>0.60299999999999998</v>
      </c>
      <c r="AK159" s="119">
        <v>0.33200000000000002</v>
      </c>
      <c r="AL159" s="119">
        <v>4</v>
      </c>
      <c r="AM159" s="119">
        <v>5.01</v>
      </c>
      <c r="AN159" s="119">
        <v>15.95</v>
      </c>
      <c r="AO159" s="12">
        <v>10</v>
      </c>
      <c r="AP159" s="118">
        <v>1</v>
      </c>
      <c r="AQ159" s="118">
        <v>4.75</v>
      </c>
      <c r="AR159" s="118">
        <v>0.4</v>
      </c>
      <c r="AS159" s="118">
        <v>0.6</v>
      </c>
      <c r="AT159" s="118">
        <v>0</v>
      </c>
      <c r="AU159" s="118">
        <v>40.5</v>
      </c>
      <c r="AV159" s="118">
        <v>90.9</v>
      </c>
      <c r="AW159" s="118">
        <v>5.8999999999999997E-2</v>
      </c>
      <c r="AX159" s="118">
        <v>7</v>
      </c>
      <c r="AY159" s="118">
        <v>0.01</v>
      </c>
      <c r="AZ159" s="118">
        <v>0.1</v>
      </c>
      <c r="BA159" s="118">
        <v>0</v>
      </c>
      <c r="BB159" s="118">
        <v>0</v>
      </c>
      <c r="BC159" s="118">
        <v>0</v>
      </c>
      <c r="BD159" s="118">
        <v>0.3</v>
      </c>
      <c r="BE159" s="118">
        <v>0</v>
      </c>
      <c r="BF159" s="118">
        <v>0</v>
      </c>
      <c r="BG159" s="118">
        <v>0</v>
      </c>
      <c r="BH159" s="12">
        <v>0</v>
      </c>
      <c r="BI159" s="12">
        <v>0</v>
      </c>
      <c r="BJ159" s="12">
        <v>0</v>
      </c>
      <c r="BK159" s="12">
        <v>0</v>
      </c>
      <c r="BL159" s="12">
        <v>0</v>
      </c>
      <c r="BM159" s="12">
        <v>0</v>
      </c>
      <c r="BN159" s="12">
        <v>0</v>
      </c>
      <c r="BO159" s="12" t="s">
        <v>3862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61443" r:id="rId4" name="cmdRun">
          <controlPr defaultSize="0" autoLine="0" r:id="rId5">
            <anchor moveWithCells="1">
              <from>
                <xdr:col>10</xdr:col>
                <xdr:colOff>327660</xdr:colOff>
                <xdr:row>0</xdr:row>
                <xdr:rowOff>251460</xdr:rowOff>
              </from>
              <to>
                <xdr:col>12</xdr:col>
                <xdr:colOff>137160</xdr:colOff>
                <xdr:row>2</xdr:row>
                <xdr:rowOff>7620</xdr:rowOff>
              </to>
            </anchor>
          </controlPr>
        </control>
      </mc:Choice>
      <mc:Fallback>
        <control shapeId="61443" r:id="rId4" name="cmdRun"/>
      </mc:Fallback>
    </mc:AlternateContent>
    <mc:AlternateContent xmlns:mc="http://schemas.openxmlformats.org/markup-compatibility/2006">
      <mc:Choice Requires="x14">
        <control shapeId="61442" r:id="rId6" name="cmdWriteCrop">
          <controlPr defaultSize="0" autoLine="0" r:id="rId7">
            <anchor moveWithCells="1">
              <from>
                <xdr:col>8</xdr:col>
                <xdr:colOff>411480</xdr:colOff>
                <xdr:row>0</xdr:row>
                <xdr:rowOff>251460</xdr:rowOff>
              </from>
              <to>
                <xdr:col>10</xdr:col>
                <xdr:colOff>213360</xdr:colOff>
                <xdr:row>2</xdr:row>
                <xdr:rowOff>7620</xdr:rowOff>
              </to>
            </anchor>
          </controlPr>
        </control>
      </mc:Choice>
      <mc:Fallback>
        <control shapeId="61442" r:id="rId6" name="cmdWriteCrop"/>
      </mc:Fallback>
    </mc:AlternateContent>
    <mc:AlternateContent xmlns:mc="http://schemas.openxmlformats.org/markup-compatibility/2006">
      <mc:Choice Requires="x14">
        <control shapeId="61441" r:id="rId8" name="cmdReadCrop">
          <controlPr defaultSize="0" autoLine="0" r:id="rId9">
            <anchor moveWithCells="1">
              <from>
                <xdr:col>6</xdr:col>
                <xdr:colOff>556260</xdr:colOff>
                <xdr:row>0</xdr:row>
                <xdr:rowOff>251460</xdr:rowOff>
              </from>
              <to>
                <xdr:col>8</xdr:col>
                <xdr:colOff>358140</xdr:colOff>
                <xdr:row>2</xdr:row>
                <xdr:rowOff>7620</xdr:rowOff>
              </to>
            </anchor>
          </controlPr>
        </control>
      </mc:Choice>
      <mc:Fallback>
        <control shapeId="61441" r:id="rId8" name="cmdReadCrop"/>
      </mc:Fallback>
    </mc:AlternateContent>
    <mc:AlternateContent xmlns:mc="http://schemas.openxmlformats.org/markup-compatibility/2006">
      <mc:Choice Requires="x14">
        <control shapeId="61504" r:id="rId10" name="cmbBoxCrop">
          <controlPr defaultSize="0" autoLine="0" linkedCell="B4" r:id="rId11">
            <anchor moveWithCells="1">
              <from>
                <xdr:col>1</xdr:col>
                <xdr:colOff>22860</xdr:colOff>
                <xdr:row>1</xdr:row>
                <xdr:rowOff>22860</xdr:rowOff>
              </from>
              <to>
                <xdr:col>3</xdr:col>
                <xdr:colOff>22860</xdr:colOff>
                <xdr:row>2</xdr:row>
                <xdr:rowOff>7620</xdr:rowOff>
              </to>
            </anchor>
          </controlPr>
        </control>
      </mc:Choice>
      <mc:Fallback>
        <control shapeId="61504" r:id="rId10" name="cmbBoxCrop"/>
      </mc:Fallback>
    </mc:AlternateContent>
    <mc:AlternateContent xmlns:mc="http://schemas.openxmlformats.org/markup-compatibility/2006">
      <mc:Choice Requires="x14">
        <control shapeId="61505" r:id="rId12" name="cmdGetCrop">
          <controlPr defaultSize="0" autoLine="0" r:id="rId13">
            <anchor moveWithCells="1">
              <from>
                <xdr:col>5</xdr:col>
                <xdr:colOff>45720</xdr:colOff>
                <xdr:row>0</xdr:row>
                <xdr:rowOff>251460</xdr:rowOff>
              </from>
              <to>
                <xdr:col>6</xdr:col>
                <xdr:colOff>449580</xdr:colOff>
                <xdr:row>2</xdr:row>
                <xdr:rowOff>7620</xdr:rowOff>
              </to>
            </anchor>
          </controlPr>
        </control>
      </mc:Choice>
      <mc:Fallback>
        <control shapeId="61505" r:id="rId12" name="cmdGetCro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H93"/>
  <sheetViews>
    <sheetView workbookViewId="0">
      <pane ySplit="5" topLeftCell="A6" activePane="bottomLeft" state="frozen"/>
      <selection pane="bottomLeft"/>
    </sheetView>
  </sheetViews>
  <sheetFormatPr defaultRowHeight="14.4" x14ac:dyDescent="0.3"/>
  <cols>
    <col min="1" max="1" width="12.109375" customWidth="1"/>
    <col min="2" max="2" width="10.5546875" style="32" bestFit="1" customWidth="1"/>
    <col min="3" max="11" width="9.109375" style="126"/>
  </cols>
  <sheetData>
    <row r="1" spans="1:11" ht="25.2" customHeight="1" x14ac:dyDescent="0.3">
      <c r="A1" s="125" t="s">
        <v>1834</v>
      </c>
      <c r="C1"/>
      <c r="D1"/>
      <c r="E1"/>
      <c r="F1"/>
      <c r="G1"/>
      <c r="H1"/>
      <c r="I1"/>
      <c r="J1"/>
      <c r="K1"/>
    </row>
    <row r="2" spans="1:11" ht="19.95" customHeight="1" x14ac:dyDescent="0.3">
      <c r="A2" s="31" t="s">
        <v>1637</v>
      </c>
      <c r="B2" s="116" t="s">
        <v>2167</v>
      </c>
      <c r="C2" s="116"/>
      <c r="D2" s="31"/>
      <c r="E2" s="117"/>
      <c r="F2"/>
      <c r="G2"/>
      <c r="H2"/>
      <c r="I2"/>
      <c r="J2"/>
      <c r="K2"/>
    </row>
    <row r="3" spans="1:11" ht="15.6" customHeight="1" x14ac:dyDescent="0.3">
      <c r="A3" s="120" t="s">
        <v>1462</v>
      </c>
      <c r="B3" s="123" t="s">
        <v>2166</v>
      </c>
      <c r="C3" s="122" t="s">
        <v>1463</v>
      </c>
      <c r="D3" s="116"/>
      <c r="E3"/>
      <c r="F3"/>
      <c r="G3"/>
      <c r="H3"/>
      <c r="I3"/>
      <c r="J3"/>
      <c r="K3"/>
    </row>
    <row r="4" spans="1:11" x14ac:dyDescent="0.3">
      <c r="A4" s="7">
        <v>1</v>
      </c>
      <c r="B4" s="33" t="s">
        <v>1769</v>
      </c>
      <c r="C4" s="7">
        <v>1</v>
      </c>
      <c r="D4" s="7">
        <v>2</v>
      </c>
      <c r="E4" s="7">
        <v>3</v>
      </c>
      <c r="F4" s="7">
        <v>4</v>
      </c>
      <c r="G4" s="7">
        <v>5</v>
      </c>
      <c r="H4" s="7">
        <v>6</v>
      </c>
      <c r="I4" s="7">
        <v>7</v>
      </c>
      <c r="J4" s="7">
        <v>8</v>
      </c>
      <c r="K4" s="7">
        <v>9</v>
      </c>
    </row>
    <row r="5" spans="1:11" s="6" customFormat="1" x14ac:dyDescent="0.3">
      <c r="A5" s="8" t="s">
        <v>555</v>
      </c>
      <c r="B5" s="34" t="s">
        <v>556</v>
      </c>
      <c r="C5" s="8" t="s">
        <v>557</v>
      </c>
      <c r="D5" s="8" t="s">
        <v>558</v>
      </c>
      <c r="E5" s="8" t="s">
        <v>559</v>
      </c>
      <c r="F5" s="8" t="s">
        <v>560</v>
      </c>
      <c r="G5" s="8" t="s">
        <v>561</v>
      </c>
      <c r="H5" s="8" t="s">
        <v>562</v>
      </c>
      <c r="I5" s="8" t="s">
        <v>563</v>
      </c>
      <c r="J5" s="8" t="s">
        <v>564</v>
      </c>
      <c r="K5" s="8" t="s">
        <v>565</v>
      </c>
    </row>
    <row r="6" spans="1:11" x14ac:dyDescent="0.3">
      <c r="A6">
        <v>1</v>
      </c>
      <c r="B6" s="32" t="s">
        <v>1626</v>
      </c>
      <c r="C6" s="126">
        <v>2E-3</v>
      </c>
      <c r="D6" s="126">
        <v>7.0000000000000001E-3</v>
      </c>
      <c r="E6" s="126">
        <v>0</v>
      </c>
      <c r="F6" s="126">
        <v>2.1999999999999999E-2</v>
      </c>
      <c r="G6" s="126">
        <v>4.0000000000000001E-3</v>
      </c>
      <c r="H6" s="126">
        <v>0.97199999999999998</v>
      </c>
      <c r="I6" s="126">
        <v>0.42</v>
      </c>
      <c r="J6" s="126">
        <v>0</v>
      </c>
      <c r="K6" s="126">
        <v>0</v>
      </c>
    </row>
    <row r="7" spans="1:11" x14ac:dyDescent="0.3">
      <c r="A7">
        <v>2</v>
      </c>
      <c r="B7" s="32" t="s">
        <v>501</v>
      </c>
      <c r="C7" s="126">
        <v>1.4E-2</v>
      </c>
      <c r="D7" s="126">
        <v>8.0000000000000002E-3</v>
      </c>
      <c r="E7" s="126">
        <v>0</v>
      </c>
      <c r="F7" s="126">
        <v>2.5999999999999999E-2</v>
      </c>
      <c r="G7" s="126">
        <v>4.0000000000000001E-3</v>
      </c>
      <c r="H7" s="126">
        <v>0.99</v>
      </c>
      <c r="I7" s="126">
        <v>0.35</v>
      </c>
      <c r="J7" s="126">
        <v>0</v>
      </c>
      <c r="K7" s="126">
        <v>1.2E-2</v>
      </c>
    </row>
    <row r="8" spans="1:11" x14ac:dyDescent="0.3">
      <c r="A8">
        <v>3</v>
      </c>
      <c r="B8" s="32" t="s">
        <v>502</v>
      </c>
      <c r="C8" s="126">
        <v>1E-3</v>
      </c>
      <c r="D8" s="126">
        <v>3.0000000000000001E-3</v>
      </c>
      <c r="E8" s="126">
        <v>0</v>
      </c>
      <c r="F8" s="126">
        <v>8.9999999999999993E-3</v>
      </c>
      <c r="G8" s="126">
        <v>2E-3</v>
      </c>
      <c r="H8" s="126">
        <v>0.99</v>
      </c>
      <c r="I8" s="126">
        <v>0.35</v>
      </c>
      <c r="J8" s="126">
        <v>0</v>
      </c>
      <c r="K8" s="126">
        <v>1.2E-2</v>
      </c>
    </row>
    <row r="9" spans="1:11" x14ac:dyDescent="0.3">
      <c r="A9">
        <v>4</v>
      </c>
      <c r="B9" s="32" t="s">
        <v>503</v>
      </c>
      <c r="C9" s="126">
        <v>0.03</v>
      </c>
      <c r="D9" s="126">
        <v>4.0000000000000001E-3</v>
      </c>
      <c r="E9" s="126">
        <v>0</v>
      </c>
      <c r="F9" s="126">
        <v>0.02</v>
      </c>
      <c r="G9" s="126">
        <v>2E-3</v>
      </c>
      <c r="H9" s="126">
        <v>0.99</v>
      </c>
      <c r="I9" s="126">
        <v>0.35</v>
      </c>
      <c r="J9" s="126">
        <v>0</v>
      </c>
      <c r="K9" s="126">
        <v>8.9999999999999993E-3</v>
      </c>
    </row>
    <row r="10" spans="1:11" x14ac:dyDescent="0.3">
      <c r="A10">
        <v>5</v>
      </c>
      <c r="B10" s="32" t="s">
        <v>1627</v>
      </c>
      <c r="C10" s="126">
        <v>2.4E-2</v>
      </c>
      <c r="D10" s="126">
        <v>8.0000000000000002E-3</v>
      </c>
      <c r="E10" s="126">
        <v>0</v>
      </c>
      <c r="F10" s="126">
        <v>0.01</v>
      </c>
      <c r="G10" s="126">
        <v>4.0000000000000001E-3</v>
      </c>
      <c r="H10" s="126">
        <v>0.99</v>
      </c>
      <c r="I10" s="126">
        <v>0.35</v>
      </c>
      <c r="J10" s="126">
        <v>0</v>
      </c>
      <c r="K10" s="126">
        <v>0</v>
      </c>
    </row>
    <row r="11" spans="1:11" x14ac:dyDescent="0.3">
      <c r="A11">
        <v>6</v>
      </c>
      <c r="B11" s="32" t="s">
        <v>504</v>
      </c>
      <c r="C11" s="126">
        <v>1.2E-2</v>
      </c>
      <c r="D11" s="126">
        <v>4.0000000000000001E-3</v>
      </c>
      <c r="E11" s="126">
        <v>0</v>
      </c>
      <c r="F11" s="126">
        <v>2.1000000000000001E-2</v>
      </c>
      <c r="G11" s="126">
        <v>2E-3</v>
      </c>
      <c r="H11" s="126">
        <v>0.99</v>
      </c>
      <c r="I11" s="126">
        <v>0.35</v>
      </c>
      <c r="J11" s="126">
        <v>0</v>
      </c>
      <c r="K11" s="126">
        <v>1.2E-2</v>
      </c>
    </row>
    <row r="12" spans="1:11" ht="14.4" customHeight="1" x14ac:dyDescent="0.3">
      <c r="A12">
        <v>7</v>
      </c>
      <c r="B12" s="32" t="s">
        <v>505</v>
      </c>
      <c r="C12" s="126">
        <v>2E-3</v>
      </c>
      <c r="D12" s="126">
        <v>7.0000000000000001E-3</v>
      </c>
      <c r="E12" s="126">
        <v>0</v>
      </c>
      <c r="F12" s="126">
        <v>2.1999999999999999E-2</v>
      </c>
      <c r="G12" s="126">
        <v>4.0000000000000001E-3</v>
      </c>
      <c r="H12" s="126">
        <v>0.97199999999999998</v>
      </c>
      <c r="I12" s="126">
        <v>0.42</v>
      </c>
      <c r="J12" s="126">
        <v>0</v>
      </c>
      <c r="K12" s="126">
        <v>0</v>
      </c>
    </row>
    <row r="13" spans="1:11" x14ac:dyDescent="0.3">
      <c r="A13">
        <v>8</v>
      </c>
      <c r="B13" s="32" t="s">
        <v>506</v>
      </c>
      <c r="C13" s="126">
        <v>0.7</v>
      </c>
      <c r="D13" s="126">
        <v>0.15</v>
      </c>
      <c r="E13" s="126">
        <v>0</v>
      </c>
      <c r="F13" s="126">
        <v>0.08</v>
      </c>
      <c r="G13" s="126">
        <v>7.0000000000000007E-2</v>
      </c>
      <c r="H13" s="126">
        <v>0.9</v>
      </c>
      <c r="I13" s="126">
        <v>0.35</v>
      </c>
      <c r="J13" s="126">
        <v>0</v>
      </c>
      <c r="K13" s="126">
        <v>1.2E-2</v>
      </c>
    </row>
    <row r="14" spans="1:11" x14ac:dyDescent="0.3">
      <c r="A14">
        <v>9</v>
      </c>
      <c r="B14" s="32" t="s">
        <v>507</v>
      </c>
      <c r="C14" s="126">
        <v>4.9000000000000002E-2</v>
      </c>
      <c r="D14" s="126">
        <v>8.2000000000000003E-2</v>
      </c>
      <c r="E14" s="126">
        <v>0</v>
      </c>
      <c r="F14" s="126">
        <v>0.64800000000000002</v>
      </c>
      <c r="G14" s="126">
        <v>0.221</v>
      </c>
      <c r="H14" s="126">
        <v>0.97199999999999998</v>
      </c>
      <c r="I14" s="126">
        <v>0.35</v>
      </c>
      <c r="J14" s="126">
        <v>0</v>
      </c>
      <c r="K14" s="126">
        <v>1.2E-2</v>
      </c>
    </row>
    <row r="15" spans="1:11" x14ac:dyDescent="0.3">
      <c r="A15">
        <v>10</v>
      </c>
      <c r="B15" s="32" t="s">
        <v>508</v>
      </c>
      <c r="C15" s="126">
        <v>0.56599999999999995</v>
      </c>
      <c r="D15" s="126">
        <v>0.09</v>
      </c>
      <c r="E15" s="126">
        <v>0</v>
      </c>
      <c r="F15" s="126">
        <v>0.10199999999999999</v>
      </c>
      <c r="G15" s="126">
        <v>0.24199999999999999</v>
      </c>
      <c r="H15" s="126">
        <v>0.98699999999999999</v>
      </c>
      <c r="I15" s="126">
        <v>0.35</v>
      </c>
      <c r="J15" s="126">
        <v>0</v>
      </c>
      <c r="K15" s="126">
        <v>1.2E-2</v>
      </c>
    </row>
    <row r="16" spans="1:11" x14ac:dyDescent="0.3">
      <c r="A16">
        <v>11</v>
      </c>
      <c r="B16" s="32" t="s">
        <v>509</v>
      </c>
      <c r="C16" s="126">
        <v>1.9E-2</v>
      </c>
      <c r="D16" s="126">
        <v>0.01</v>
      </c>
      <c r="E16" s="126">
        <v>0</v>
      </c>
      <c r="F16" s="126">
        <v>3.7999999999999999E-2</v>
      </c>
      <c r="G16" s="126">
        <v>5.0000000000000001E-3</v>
      </c>
      <c r="H16" s="126">
        <v>0.99</v>
      </c>
      <c r="I16" s="126">
        <v>0.35</v>
      </c>
      <c r="J16" s="126">
        <v>0</v>
      </c>
      <c r="K16" s="126">
        <v>1.2E-2</v>
      </c>
    </row>
    <row r="17" spans="1:11" x14ac:dyDescent="0.3">
      <c r="A17">
        <v>12</v>
      </c>
      <c r="B17" s="32" t="s">
        <v>510</v>
      </c>
      <c r="C17" s="126">
        <v>2.1000000000000001E-2</v>
      </c>
      <c r="D17" s="126">
        <v>1.6E-2</v>
      </c>
      <c r="E17" s="126">
        <v>0</v>
      </c>
      <c r="F17" s="126">
        <v>0.04</v>
      </c>
      <c r="G17" s="126">
        <v>7.0000000000000001E-3</v>
      </c>
      <c r="H17" s="126">
        <v>0.99</v>
      </c>
      <c r="I17" s="126">
        <v>0.35</v>
      </c>
      <c r="J17" s="126">
        <v>0</v>
      </c>
      <c r="K17" s="126">
        <v>1.2E-2</v>
      </c>
    </row>
    <row r="18" spans="1:11" x14ac:dyDescent="0.3">
      <c r="A18">
        <v>13</v>
      </c>
      <c r="B18" s="32" t="s">
        <v>511</v>
      </c>
      <c r="C18" s="126">
        <v>1.2999999999999999E-2</v>
      </c>
      <c r="D18" s="126">
        <v>6.0000000000000001E-3</v>
      </c>
      <c r="E18" s="126">
        <v>0</v>
      </c>
      <c r="F18" s="126">
        <v>2.3E-2</v>
      </c>
      <c r="G18" s="126">
        <v>3.0000000000000001E-3</v>
      </c>
      <c r="H18" s="126">
        <v>0.99</v>
      </c>
      <c r="I18" s="126">
        <v>0.35</v>
      </c>
      <c r="J18" s="126">
        <v>0</v>
      </c>
      <c r="K18" s="126">
        <v>1.2E-2</v>
      </c>
    </row>
    <row r="19" spans="1:11" x14ac:dyDescent="0.3">
      <c r="A19">
        <v>14</v>
      </c>
      <c r="B19" s="32" t="s">
        <v>512</v>
      </c>
      <c r="C19" s="126">
        <v>0.01</v>
      </c>
      <c r="D19" s="126">
        <v>0.01</v>
      </c>
      <c r="E19" s="126">
        <v>0</v>
      </c>
      <c r="F19" s="126">
        <v>0.01</v>
      </c>
      <c r="G19" s="126">
        <v>7.0000000000000001E-3</v>
      </c>
      <c r="H19" s="126">
        <v>0.99</v>
      </c>
      <c r="I19" s="126">
        <v>0.35</v>
      </c>
      <c r="J19" s="126">
        <v>0</v>
      </c>
      <c r="K19" s="126">
        <v>0</v>
      </c>
    </row>
    <row r="20" spans="1:11" x14ac:dyDescent="0.3">
      <c r="A20">
        <v>15</v>
      </c>
      <c r="B20" s="32" t="s">
        <v>513</v>
      </c>
      <c r="C20" s="126">
        <v>0.01</v>
      </c>
      <c r="D20" s="126">
        <v>0.01</v>
      </c>
      <c r="E20" s="126">
        <v>0</v>
      </c>
      <c r="F20" s="126">
        <v>0.01</v>
      </c>
      <c r="G20" s="126">
        <v>7.0000000000000001E-3</v>
      </c>
      <c r="H20" s="126">
        <v>0.99</v>
      </c>
      <c r="I20" s="126">
        <v>0.35</v>
      </c>
      <c r="J20" s="126">
        <v>0</v>
      </c>
      <c r="K20" s="126">
        <v>1.2E-2</v>
      </c>
    </row>
    <row r="21" spans="1:11" x14ac:dyDescent="0.3">
      <c r="A21">
        <v>16</v>
      </c>
      <c r="B21" s="32" t="s">
        <v>514</v>
      </c>
      <c r="C21" s="126">
        <v>6.0000000000000001E-3</v>
      </c>
      <c r="D21" s="126">
        <v>0.01</v>
      </c>
      <c r="E21" s="126">
        <v>0</v>
      </c>
      <c r="F21" s="126">
        <v>5.3999999999999999E-2</v>
      </c>
      <c r="G21" s="126">
        <v>7.0000000000000001E-3</v>
      </c>
      <c r="H21" s="126">
        <v>0.99</v>
      </c>
      <c r="I21" s="126">
        <v>0.35</v>
      </c>
      <c r="J21" s="126">
        <v>0</v>
      </c>
      <c r="K21" s="126">
        <v>1.2E-2</v>
      </c>
    </row>
    <row r="22" spans="1:11" x14ac:dyDescent="0.3">
      <c r="A22">
        <v>17</v>
      </c>
      <c r="B22" s="32" t="s">
        <v>515</v>
      </c>
      <c r="C22" s="126">
        <v>3.0000000000000001E-3</v>
      </c>
      <c r="D22" s="126">
        <v>5.0000000000000001E-3</v>
      </c>
      <c r="E22" s="126">
        <v>0</v>
      </c>
      <c r="F22" s="126">
        <v>2.7E-2</v>
      </c>
      <c r="G22" s="126">
        <v>2E-3</v>
      </c>
      <c r="H22" s="126">
        <v>0.99</v>
      </c>
      <c r="I22" s="126">
        <v>0.35</v>
      </c>
      <c r="J22" s="126">
        <v>0</v>
      </c>
      <c r="K22" s="126">
        <v>1.2E-2</v>
      </c>
    </row>
    <row r="23" spans="1:11" x14ac:dyDescent="0.3">
      <c r="A23">
        <v>18</v>
      </c>
      <c r="B23" s="32" t="s">
        <v>516</v>
      </c>
      <c r="C23" s="126">
        <v>3.0000000000000001E-3</v>
      </c>
      <c r="D23" s="126">
        <v>0.01</v>
      </c>
      <c r="E23" s="126">
        <v>0</v>
      </c>
      <c r="F23" s="126">
        <v>2.7E-2</v>
      </c>
      <c r="G23" s="126">
        <v>6.0000000000000001E-3</v>
      </c>
      <c r="H23" s="126">
        <v>0.99</v>
      </c>
      <c r="I23" s="126">
        <v>0.35</v>
      </c>
      <c r="J23" s="126">
        <v>0</v>
      </c>
      <c r="K23" s="126">
        <v>1.2E-2</v>
      </c>
    </row>
    <row r="24" spans="1:11" x14ac:dyDescent="0.3">
      <c r="A24">
        <v>19</v>
      </c>
      <c r="B24" s="32" t="s">
        <v>517</v>
      </c>
      <c r="C24" s="126">
        <v>5.0000000000000001E-3</v>
      </c>
      <c r="D24" s="126">
        <v>0.01</v>
      </c>
      <c r="E24" s="126">
        <v>0</v>
      </c>
      <c r="F24" s="126">
        <v>4.4999999999999998E-2</v>
      </c>
      <c r="G24" s="126">
        <v>7.0000000000000001E-3</v>
      </c>
      <c r="H24" s="126">
        <v>0.99</v>
      </c>
      <c r="I24" s="126">
        <v>0.35</v>
      </c>
      <c r="J24" s="126">
        <v>0</v>
      </c>
      <c r="K24" s="126">
        <v>1.2E-2</v>
      </c>
    </row>
    <row r="25" spans="1:11" x14ac:dyDescent="0.3">
      <c r="A25">
        <v>20</v>
      </c>
      <c r="B25" s="32" t="s">
        <v>518</v>
      </c>
      <c r="C25" s="126">
        <v>3.0000000000000001E-3</v>
      </c>
      <c r="D25" s="126">
        <v>0.01</v>
      </c>
      <c r="E25" s="126">
        <v>0</v>
      </c>
      <c r="F25" s="126">
        <v>2.7E-2</v>
      </c>
      <c r="G25" s="126">
        <v>5.0000000000000001E-3</v>
      </c>
      <c r="H25" s="126">
        <v>0.99</v>
      </c>
      <c r="I25" s="126">
        <v>0.35</v>
      </c>
      <c r="J25" s="126">
        <v>0</v>
      </c>
      <c r="K25" s="126">
        <v>1.2E-2</v>
      </c>
    </row>
    <row r="26" spans="1:11" x14ac:dyDescent="0.3">
      <c r="A26">
        <v>21</v>
      </c>
      <c r="B26" s="32" t="s">
        <v>519</v>
      </c>
      <c r="C26" s="126">
        <v>6.0000000000000001E-3</v>
      </c>
      <c r="D26" s="126">
        <v>0.01</v>
      </c>
      <c r="E26" s="126">
        <v>0</v>
      </c>
      <c r="F26" s="126">
        <v>5.3999999999999999E-2</v>
      </c>
      <c r="G26" s="126">
        <v>7.0000000000000001E-3</v>
      </c>
      <c r="H26" s="126">
        <v>0.99</v>
      </c>
      <c r="I26" s="126">
        <v>0.35</v>
      </c>
      <c r="J26" s="126">
        <v>0</v>
      </c>
      <c r="K26" s="126">
        <v>1.2E-2</v>
      </c>
    </row>
    <row r="27" spans="1:11" x14ac:dyDescent="0.3">
      <c r="A27">
        <v>22</v>
      </c>
      <c r="B27" s="32" t="s">
        <v>520</v>
      </c>
      <c r="C27" s="126">
        <v>4.0000000000000001E-3</v>
      </c>
      <c r="D27" s="126">
        <v>0.01</v>
      </c>
      <c r="E27" s="126">
        <v>0</v>
      </c>
      <c r="F27" s="126">
        <v>0.04</v>
      </c>
      <c r="G27" s="126">
        <v>7.0000000000000001E-3</v>
      </c>
      <c r="H27" s="126">
        <v>0.99</v>
      </c>
      <c r="I27" s="126">
        <v>0.35</v>
      </c>
      <c r="J27" s="126">
        <v>0</v>
      </c>
      <c r="K27" s="126">
        <v>1.2E-2</v>
      </c>
    </row>
    <row r="28" spans="1:11" x14ac:dyDescent="0.3">
      <c r="A28">
        <v>23</v>
      </c>
      <c r="B28" s="32" t="s">
        <v>521</v>
      </c>
      <c r="C28" s="126">
        <v>4.0000000000000001E-3</v>
      </c>
      <c r="D28" s="126">
        <v>0.01</v>
      </c>
      <c r="E28" s="126">
        <v>0</v>
      </c>
      <c r="F28" s="126">
        <v>0.04</v>
      </c>
      <c r="G28" s="126">
        <v>7.0000000000000001E-3</v>
      </c>
      <c r="H28" s="126">
        <v>0.99</v>
      </c>
      <c r="I28" s="126">
        <v>0.35</v>
      </c>
      <c r="J28" s="126">
        <v>0</v>
      </c>
      <c r="K28" s="126">
        <v>1.2E-2</v>
      </c>
    </row>
    <row r="29" spans="1:11" x14ac:dyDescent="0.3">
      <c r="A29">
        <v>24</v>
      </c>
      <c r="B29" s="32" t="s">
        <v>522</v>
      </c>
      <c r="C29" s="126">
        <v>0.02</v>
      </c>
      <c r="D29" s="126">
        <v>0.01</v>
      </c>
      <c r="E29" s="126">
        <v>0</v>
      </c>
      <c r="F29" s="126">
        <v>0.02</v>
      </c>
      <c r="G29" s="126">
        <v>7.0000000000000001E-3</v>
      </c>
      <c r="H29" s="126">
        <v>0.99</v>
      </c>
      <c r="I29" s="126">
        <v>0.35</v>
      </c>
      <c r="J29" s="126">
        <v>0</v>
      </c>
      <c r="K29" s="126">
        <v>1.2E-2</v>
      </c>
    </row>
    <row r="30" spans="1:11" x14ac:dyDescent="0.3">
      <c r="A30">
        <v>25</v>
      </c>
      <c r="B30" s="32" t="s">
        <v>523</v>
      </c>
      <c r="C30" s="126">
        <v>0.02</v>
      </c>
      <c r="D30" s="126">
        <v>0.01</v>
      </c>
      <c r="E30" s="126">
        <v>0</v>
      </c>
      <c r="F30" s="126">
        <v>0.02</v>
      </c>
      <c r="G30" s="126">
        <v>7.0000000000000001E-3</v>
      </c>
      <c r="H30" s="126">
        <v>0.99</v>
      </c>
      <c r="I30" s="126">
        <v>0.35</v>
      </c>
      <c r="J30" s="126">
        <v>0</v>
      </c>
      <c r="K30" s="126">
        <v>1.2E-2</v>
      </c>
    </row>
    <row r="31" spans="1:11" x14ac:dyDescent="0.3">
      <c r="A31">
        <v>26</v>
      </c>
      <c r="B31" s="32" t="s">
        <v>524</v>
      </c>
      <c r="C31" s="126">
        <v>1.7999999999999999E-2</v>
      </c>
      <c r="D31" s="126">
        <v>7.0000000000000001E-3</v>
      </c>
      <c r="E31" s="126">
        <v>0</v>
      </c>
      <c r="F31" s="126">
        <v>3.5000000000000003E-2</v>
      </c>
      <c r="G31" s="126">
        <v>3.0000000000000001E-3</v>
      </c>
      <c r="H31" s="126">
        <v>0.99</v>
      </c>
      <c r="I31" s="126">
        <v>0.35</v>
      </c>
      <c r="J31" s="126">
        <v>0</v>
      </c>
      <c r="K31" s="126">
        <v>1.2E-2</v>
      </c>
    </row>
    <row r="32" spans="1:11" x14ac:dyDescent="0.3">
      <c r="A32">
        <v>27</v>
      </c>
      <c r="B32" s="32" t="s">
        <v>525</v>
      </c>
      <c r="C32" s="126">
        <v>1</v>
      </c>
      <c r="D32" s="126">
        <v>1</v>
      </c>
      <c r="E32" s="126">
        <v>1</v>
      </c>
      <c r="F32" s="126">
        <v>1</v>
      </c>
      <c r="G32" s="126">
        <v>1</v>
      </c>
      <c r="H32" s="126">
        <v>1</v>
      </c>
      <c r="I32" s="126">
        <v>1</v>
      </c>
      <c r="J32" s="126">
        <v>0</v>
      </c>
      <c r="K32" s="126">
        <v>0.1</v>
      </c>
    </row>
    <row r="33" spans="1:11" x14ac:dyDescent="0.3">
      <c r="A33">
        <v>28</v>
      </c>
      <c r="B33" s="32" t="s">
        <v>1628</v>
      </c>
      <c r="C33" s="126">
        <v>3.0000000000000001E-3</v>
      </c>
      <c r="D33" s="126">
        <v>2E-3</v>
      </c>
      <c r="E33" s="126">
        <v>0</v>
      </c>
      <c r="F33" s="126">
        <v>4.2999999999999997E-2</v>
      </c>
      <c r="G33" s="126">
        <v>4.1000000000000002E-2</v>
      </c>
      <c r="H33" s="126">
        <v>0.85</v>
      </c>
      <c r="I33" s="126">
        <v>0.56000000000000005</v>
      </c>
      <c r="J33" s="126">
        <v>0</v>
      </c>
      <c r="K33" s="126">
        <v>0</v>
      </c>
    </row>
    <row r="34" spans="1:11" x14ac:dyDescent="0.3">
      <c r="A34">
        <v>29</v>
      </c>
      <c r="B34" s="32" t="s">
        <v>1629</v>
      </c>
      <c r="C34" s="126">
        <v>5.0000000000000001E-3</v>
      </c>
      <c r="D34" s="126">
        <v>1E-3</v>
      </c>
      <c r="E34" s="126">
        <v>0</v>
      </c>
      <c r="F34" s="126">
        <v>2.9000000000000001E-2</v>
      </c>
      <c r="G34" s="126">
        <v>3.6999999999999998E-2</v>
      </c>
      <c r="H34" s="126">
        <v>0.82</v>
      </c>
      <c r="I34" s="126">
        <v>0.35</v>
      </c>
      <c r="J34" s="126">
        <v>0</v>
      </c>
      <c r="K34" s="126">
        <v>0</v>
      </c>
    </row>
    <row r="35" spans="1:11" x14ac:dyDescent="0.3">
      <c r="A35">
        <v>30</v>
      </c>
      <c r="B35" s="32" t="s">
        <v>1630</v>
      </c>
      <c r="C35" s="126">
        <v>7.0000000000000001E-3</v>
      </c>
      <c r="D35" s="126">
        <v>1E-3</v>
      </c>
      <c r="E35" s="126">
        <v>0</v>
      </c>
      <c r="F35" s="126">
        <v>4.1000000000000002E-2</v>
      </c>
      <c r="G35" s="126">
        <v>2.3E-2</v>
      </c>
      <c r="H35" s="126">
        <v>0.94699999999999995</v>
      </c>
      <c r="I35" s="126">
        <v>0.3</v>
      </c>
      <c r="J35" s="126">
        <v>0</v>
      </c>
      <c r="K35" s="126">
        <v>0</v>
      </c>
    </row>
    <row r="36" spans="1:11" x14ac:dyDescent="0.3">
      <c r="A36">
        <v>31</v>
      </c>
      <c r="B36" s="32" t="s">
        <v>526</v>
      </c>
      <c r="C36" s="126">
        <v>0.11</v>
      </c>
      <c r="D36" s="126">
        <v>0.20100000000000001</v>
      </c>
      <c r="E36" s="126">
        <v>0</v>
      </c>
      <c r="F36" s="126">
        <v>0</v>
      </c>
      <c r="G36" s="126">
        <v>0</v>
      </c>
      <c r="H36" s="126">
        <v>0</v>
      </c>
      <c r="I36" s="126">
        <v>0</v>
      </c>
      <c r="J36" s="126">
        <v>0</v>
      </c>
      <c r="K36" s="126">
        <v>0.32500000000000001</v>
      </c>
    </row>
    <row r="37" spans="1:11" x14ac:dyDescent="0.3">
      <c r="A37">
        <v>32</v>
      </c>
      <c r="B37" s="32" t="s">
        <v>527</v>
      </c>
      <c r="C37" s="126">
        <v>0.14000000000000001</v>
      </c>
      <c r="D37" s="126">
        <v>0.20100000000000001</v>
      </c>
      <c r="E37" s="126">
        <v>0</v>
      </c>
      <c r="F37" s="126">
        <v>0</v>
      </c>
      <c r="G37" s="126">
        <v>0</v>
      </c>
      <c r="H37" s="126">
        <v>0</v>
      </c>
      <c r="I37" s="126">
        <v>0</v>
      </c>
      <c r="J37" s="126">
        <v>0</v>
      </c>
      <c r="K37" s="126">
        <v>0.29799999999999999</v>
      </c>
    </row>
    <row r="38" spans="1:11" x14ac:dyDescent="0.3">
      <c r="A38">
        <v>33</v>
      </c>
      <c r="B38" s="32" t="s">
        <v>528</v>
      </c>
      <c r="C38" s="126">
        <v>0.16</v>
      </c>
      <c r="D38" s="126">
        <v>0</v>
      </c>
      <c r="E38" s="126">
        <v>0</v>
      </c>
      <c r="F38" s="126">
        <v>0</v>
      </c>
      <c r="G38" s="126">
        <v>0</v>
      </c>
      <c r="H38" s="126">
        <v>0</v>
      </c>
      <c r="I38" s="126">
        <v>0</v>
      </c>
      <c r="J38" s="126">
        <v>0</v>
      </c>
      <c r="K38" s="126">
        <v>0.26100000000000001</v>
      </c>
    </row>
    <row r="39" spans="1:11" x14ac:dyDescent="0.3">
      <c r="A39">
        <v>34</v>
      </c>
      <c r="B39" s="32" t="s">
        <v>529</v>
      </c>
      <c r="C39" s="126">
        <v>0.16</v>
      </c>
      <c r="D39" s="126">
        <v>8.7999999999999995E-2</v>
      </c>
      <c r="E39" s="126">
        <v>0</v>
      </c>
      <c r="F39" s="126">
        <v>0</v>
      </c>
      <c r="G39" s="126">
        <v>0</v>
      </c>
      <c r="H39" s="126">
        <v>0</v>
      </c>
      <c r="I39" s="126">
        <v>0</v>
      </c>
      <c r="J39" s="126">
        <v>0</v>
      </c>
      <c r="K39" s="126">
        <v>0.27600000000000002</v>
      </c>
    </row>
    <row r="40" spans="1:11" x14ac:dyDescent="0.3">
      <c r="A40">
        <v>35</v>
      </c>
      <c r="B40" s="32" t="s">
        <v>529</v>
      </c>
      <c r="C40" s="126">
        <v>0.16</v>
      </c>
      <c r="D40" s="126">
        <v>8.7999999999999995E-2</v>
      </c>
      <c r="E40" s="126">
        <v>0</v>
      </c>
      <c r="F40" s="126">
        <v>0</v>
      </c>
      <c r="G40" s="126">
        <v>0</v>
      </c>
      <c r="H40" s="126">
        <v>0</v>
      </c>
      <c r="I40" s="126">
        <v>0</v>
      </c>
      <c r="J40" s="126">
        <v>0</v>
      </c>
      <c r="K40" s="126">
        <v>0.27600000000000002</v>
      </c>
    </row>
    <row r="41" spans="1:11" x14ac:dyDescent="0.3">
      <c r="A41">
        <v>36</v>
      </c>
      <c r="B41" s="32" t="s">
        <v>530</v>
      </c>
      <c r="C41" s="126">
        <v>0.18</v>
      </c>
      <c r="D41" s="126">
        <v>7.9000000000000001E-2</v>
      </c>
      <c r="E41" s="126">
        <v>0</v>
      </c>
      <c r="F41" s="126">
        <v>0</v>
      </c>
      <c r="G41" s="126">
        <v>0</v>
      </c>
      <c r="H41" s="126">
        <v>0</v>
      </c>
      <c r="I41" s="126">
        <v>0</v>
      </c>
      <c r="J41" s="126">
        <v>0</v>
      </c>
      <c r="K41" s="126">
        <v>0.17699999999999999</v>
      </c>
    </row>
    <row r="42" spans="1:11" x14ac:dyDescent="0.3">
      <c r="A42">
        <v>37</v>
      </c>
      <c r="B42" s="32" t="s">
        <v>531</v>
      </c>
      <c r="C42" s="126">
        <v>0.18</v>
      </c>
      <c r="D42" s="126">
        <v>0.2</v>
      </c>
      <c r="E42" s="126">
        <v>0</v>
      </c>
      <c r="F42" s="126">
        <v>0</v>
      </c>
      <c r="G42" s="126">
        <v>0</v>
      </c>
      <c r="H42" s="126">
        <v>0</v>
      </c>
      <c r="I42" s="126">
        <v>0</v>
      </c>
      <c r="J42" s="126">
        <v>0</v>
      </c>
      <c r="K42" s="126">
        <v>0.27300000000000002</v>
      </c>
    </row>
    <row r="43" spans="1:11" x14ac:dyDescent="0.3">
      <c r="A43">
        <v>38</v>
      </c>
      <c r="B43" s="32" t="s">
        <v>532</v>
      </c>
      <c r="C43" s="126">
        <v>0.19</v>
      </c>
      <c r="D43" s="126">
        <v>0</v>
      </c>
      <c r="E43" s="126">
        <v>0</v>
      </c>
      <c r="F43" s="126">
        <v>0</v>
      </c>
      <c r="G43" s="126">
        <v>0</v>
      </c>
      <c r="H43" s="126">
        <v>0</v>
      </c>
      <c r="I43" s="126">
        <v>0</v>
      </c>
      <c r="J43" s="126">
        <v>0</v>
      </c>
      <c r="K43" s="126">
        <v>9.8000000000000004E-2</v>
      </c>
    </row>
    <row r="44" spans="1:11" x14ac:dyDescent="0.3">
      <c r="A44">
        <v>39</v>
      </c>
      <c r="B44" s="32" t="s">
        <v>533</v>
      </c>
      <c r="C44" s="126">
        <v>0.2</v>
      </c>
      <c r="D44" s="126">
        <v>0</v>
      </c>
      <c r="E44" s="126">
        <v>0</v>
      </c>
      <c r="F44" s="126">
        <v>0</v>
      </c>
      <c r="G44" s="126">
        <v>0</v>
      </c>
      <c r="H44" s="126">
        <v>0</v>
      </c>
      <c r="I44" s="126">
        <v>0</v>
      </c>
      <c r="J44" s="126">
        <v>0</v>
      </c>
      <c r="K44" s="126">
        <v>0.3</v>
      </c>
    </row>
    <row r="45" spans="1:11" x14ac:dyDescent="0.3">
      <c r="A45">
        <v>40</v>
      </c>
      <c r="B45" s="32" t="s">
        <v>533</v>
      </c>
      <c r="C45" s="126">
        <v>0.2</v>
      </c>
      <c r="D45" s="126">
        <v>0</v>
      </c>
      <c r="E45" s="126">
        <v>0</v>
      </c>
      <c r="F45" s="126">
        <v>0</v>
      </c>
      <c r="G45" s="126">
        <v>0</v>
      </c>
      <c r="H45" s="126">
        <v>0</v>
      </c>
      <c r="I45" s="126">
        <v>0</v>
      </c>
      <c r="J45" s="126">
        <v>0</v>
      </c>
      <c r="K45" s="126">
        <v>0.20499999999999999</v>
      </c>
    </row>
    <row r="46" spans="1:11" x14ac:dyDescent="0.3">
      <c r="A46">
        <v>41</v>
      </c>
      <c r="B46" s="32" t="s">
        <v>533</v>
      </c>
      <c r="C46" s="126">
        <v>0.2</v>
      </c>
      <c r="D46" s="126">
        <v>0</v>
      </c>
      <c r="E46" s="126">
        <v>0</v>
      </c>
      <c r="F46" s="126">
        <v>0</v>
      </c>
      <c r="G46" s="126">
        <v>0</v>
      </c>
      <c r="H46" s="126">
        <v>0</v>
      </c>
      <c r="I46" s="126">
        <v>0</v>
      </c>
      <c r="J46" s="126">
        <v>0</v>
      </c>
      <c r="K46" s="126">
        <v>0.158</v>
      </c>
    </row>
    <row r="47" spans="1:11" x14ac:dyDescent="0.3">
      <c r="A47">
        <v>42</v>
      </c>
      <c r="B47" s="32" t="s">
        <v>534</v>
      </c>
      <c r="C47" s="126">
        <v>0.2</v>
      </c>
      <c r="D47" s="126">
        <v>4.3999999999999997E-2</v>
      </c>
      <c r="E47" s="126">
        <v>8.3000000000000004E-2</v>
      </c>
      <c r="F47" s="126">
        <v>0</v>
      </c>
      <c r="G47" s="126">
        <v>0</v>
      </c>
      <c r="H47" s="126">
        <v>0</v>
      </c>
      <c r="I47" s="126">
        <v>0</v>
      </c>
      <c r="J47" s="126">
        <v>0</v>
      </c>
      <c r="K47" s="126">
        <v>0.223</v>
      </c>
    </row>
    <row r="48" spans="1:11" x14ac:dyDescent="0.3">
      <c r="A48">
        <v>43</v>
      </c>
      <c r="B48" s="32" t="s">
        <v>535</v>
      </c>
      <c r="C48" s="126">
        <v>0.21</v>
      </c>
      <c r="D48" s="126">
        <v>0</v>
      </c>
      <c r="E48" s="126">
        <v>0</v>
      </c>
      <c r="F48" s="126">
        <v>0</v>
      </c>
      <c r="G48" s="126">
        <v>0</v>
      </c>
      <c r="H48" s="126">
        <v>0</v>
      </c>
      <c r="I48" s="126">
        <v>0</v>
      </c>
      <c r="J48" s="126">
        <v>0</v>
      </c>
      <c r="K48" s="126">
        <v>0.254</v>
      </c>
    </row>
    <row r="49" spans="1:11" x14ac:dyDescent="0.3">
      <c r="A49">
        <v>44</v>
      </c>
      <c r="B49" s="32" t="s">
        <v>536</v>
      </c>
      <c r="C49" s="126">
        <v>0.22</v>
      </c>
      <c r="D49" s="126">
        <v>0</v>
      </c>
      <c r="E49" s="126">
        <v>0</v>
      </c>
      <c r="F49" s="126">
        <v>0</v>
      </c>
      <c r="G49" s="126">
        <v>0</v>
      </c>
      <c r="H49" s="126">
        <v>0</v>
      </c>
      <c r="I49" s="126">
        <v>0</v>
      </c>
      <c r="J49" s="126">
        <v>0</v>
      </c>
      <c r="K49" s="126">
        <v>0.155</v>
      </c>
    </row>
    <row r="50" spans="1:11" x14ac:dyDescent="0.3">
      <c r="A50">
        <v>45</v>
      </c>
      <c r="B50" s="32" t="s">
        <v>537</v>
      </c>
      <c r="C50" s="126">
        <v>0.23</v>
      </c>
      <c r="D50" s="126">
        <v>0</v>
      </c>
      <c r="E50" s="126">
        <v>0</v>
      </c>
      <c r="F50" s="126">
        <v>0</v>
      </c>
      <c r="G50" s="126">
        <v>0</v>
      </c>
      <c r="H50" s="126">
        <v>0</v>
      </c>
      <c r="I50" s="126">
        <v>0</v>
      </c>
      <c r="J50" s="126">
        <v>0</v>
      </c>
      <c r="K50" s="126">
        <v>0.17299999999999999</v>
      </c>
    </row>
    <row r="51" spans="1:11" x14ac:dyDescent="0.3">
      <c r="A51">
        <v>46</v>
      </c>
      <c r="B51" s="32" t="s">
        <v>538</v>
      </c>
      <c r="C51" s="126">
        <v>0.26</v>
      </c>
      <c r="D51" s="126">
        <v>0</v>
      </c>
      <c r="E51" s="126">
        <v>0</v>
      </c>
      <c r="F51" s="126">
        <v>0</v>
      </c>
      <c r="G51" s="126">
        <v>0</v>
      </c>
      <c r="H51" s="126">
        <v>0</v>
      </c>
      <c r="I51" s="126">
        <v>0</v>
      </c>
      <c r="J51" s="126">
        <v>0</v>
      </c>
      <c r="K51" s="126">
        <v>0.154</v>
      </c>
    </row>
    <row r="52" spans="1:11" x14ac:dyDescent="0.3">
      <c r="A52">
        <v>47</v>
      </c>
      <c r="B52" s="32" t="s">
        <v>539</v>
      </c>
      <c r="C52" s="126">
        <v>0.28000000000000003</v>
      </c>
      <c r="D52" s="126">
        <v>0</v>
      </c>
      <c r="E52" s="126">
        <v>0</v>
      </c>
      <c r="F52" s="126">
        <v>0</v>
      </c>
      <c r="G52" s="126">
        <v>0</v>
      </c>
      <c r="H52" s="126">
        <v>0</v>
      </c>
      <c r="I52" s="126">
        <v>0</v>
      </c>
      <c r="J52" s="126">
        <v>0</v>
      </c>
      <c r="K52" s="126">
        <v>0.36199999999999999</v>
      </c>
    </row>
    <row r="53" spans="1:11" x14ac:dyDescent="0.3">
      <c r="A53">
        <v>48</v>
      </c>
      <c r="B53" s="32" t="s">
        <v>539</v>
      </c>
      <c r="C53" s="126">
        <v>0.28000000000000003</v>
      </c>
      <c r="D53" s="126">
        <v>0</v>
      </c>
      <c r="E53" s="126">
        <v>0</v>
      </c>
      <c r="F53" s="126">
        <v>0</v>
      </c>
      <c r="G53" s="126">
        <v>0</v>
      </c>
      <c r="H53" s="126">
        <v>0</v>
      </c>
      <c r="I53" s="126">
        <v>0</v>
      </c>
      <c r="J53" s="126">
        <v>0</v>
      </c>
      <c r="K53" s="126">
        <v>0.16600000000000001</v>
      </c>
    </row>
    <row r="54" spans="1:11" x14ac:dyDescent="0.3">
      <c r="A54">
        <v>49</v>
      </c>
      <c r="B54" s="32" t="s">
        <v>539</v>
      </c>
      <c r="C54" s="126">
        <v>0.28000000000000003</v>
      </c>
      <c r="D54" s="126">
        <v>0</v>
      </c>
      <c r="E54" s="126">
        <v>0</v>
      </c>
      <c r="F54" s="126">
        <v>0</v>
      </c>
      <c r="G54" s="126">
        <v>0</v>
      </c>
      <c r="H54" s="126">
        <v>0</v>
      </c>
      <c r="I54" s="126">
        <v>0</v>
      </c>
      <c r="J54" s="126">
        <v>0</v>
      </c>
      <c r="K54" s="126">
        <v>0.15</v>
      </c>
    </row>
    <row r="55" spans="1:11" x14ac:dyDescent="0.3">
      <c r="A55">
        <v>50</v>
      </c>
      <c r="B55" s="32" t="s">
        <v>540</v>
      </c>
      <c r="C55" s="126">
        <v>0.28000000000000003</v>
      </c>
      <c r="D55" s="126">
        <v>0.1</v>
      </c>
      <c r="E55" s="126">
        <v>8.3000000000000004E-2</v>
      </c>
      <c r="F55" s="126">
        <v>0</v>
      </c>
      <c r="G55" s="126">
        <v>0</v>
      </c>
      <c r="H55" s="126">
        <v>0</v>
      </c>
      <c r="I55" s="126">
        <v>0</v>
      </c>
      <c r="J55" s="126">
        <v>0</v>
      </c>
      <c r="K55" s="126">
        <v>0.26900000000000002</v>
      </c>
    </row>
    <row r="56" spans="1:11" x14ac:dyDescent="0.3">
      <c r="A56">
        <v>51</v>
      </c>
      <c r="B56" s="32" t="s">
        <v>541</v>
      </c>
      <c r="C56" s="126">
        <v>0.28000000000000003</v>
      </c>
      <c r="D56" s="126">
        <v>6.0999999999999999E-2</v>
      </c>
      <c r="E56" s="126">
        <v>0</v>
      </c>
      <c r="F56" s="126">
        <v>0</v>
      </c>
      <c r="G56" s="126">
        <v>0</v>
      </c>
      <c r="H56" s="126">
        <v>0</v>
      </c>
      <c r="I56" s="126">
        <v>0</v>
      </c>
      <c r="J56" s="126">
        <v>0</v>
      </c>
      <c r="K56" s="126">
        <v>0.26</v>
      </c>
    </row>
    <row r="57" spans="1:11" x14ac:dyDescent="0.3">
      <c r="A57">
        <v>52</v>
      </c>
      <c r="B57" s="32" t="s">
        <v>542</v>
      </c>
      <c r="C57" s="126">
        <v>0.3</v>
      </c>
      <c r="D57" s="126">
        <v>0</v>
      </c>
      <c r="E57" s="126">
        <v>0</v>
      </c>
      <c r="F57" s="126">
        <v>0</v>
      </c>
      <c r="G57" s="126">
        <v>0</v>
      </c>
      <c r="H57" s="126">
        <v>0</v>
      </c>
      <c r="I57" s="126">
        <v>0</v>
      </c>
      <c r="J57" s="126">
        <v>0</v>
      </c>
      <c r="K57" s="126">
        <v>0.24</v>
      </c>
    </row>
    <row r="58" spans="1:11" x14ac:dyDescent="0.3">
      <c r="A58">
        <v>53</v>
      </c>
      <c r="B58" s="32" t="s">
        <v>543</v>
      </c>
      <c r="C58" s="126">
        <v>1</v>
      </c>
      <c r="D58" s="126">
        <v>0</v>
      </c>
      <c r="E58" s="126">
        <v>0</v>
      </c>
      <c r="F58" s="126">
        <v>0</v>
      </c>
      <c r="G58" s="126">
        <v>0</v>
      </c>
      <c r="H58" s="126">
        <v>0</v>
      </c>
      <c r="I58" s="126">
        <v>0</v>
      </c>
      <c r="J58" s="126">
        <v>0</v>
      </c>
      <c r="K58" s="126">
        <v>0.23699999999999999</v>
      </c>
    </row>
    <row r="59" spans="1:11" x14ac:dyDescent="0.3">
      <c r="A59">
        <v>54</v>
      </c>
      <c r="B59" s="32" t="s">
        <v>544</v>
      </c>
      <c r="C59" s="126">
        <v>0</v>
      </c>
      <c r="D59" s="126">
        <v>1</v>
      </c>
      <c r="E59" s="126">
        <v>0</v>
      </c>
      <c r="F59" s="126">
        <v>0</v>
      </c>
      <c r="G59" s="126">
        <v>0</v>
      </c>
      <c r="H59" s="126">
        <v>0</v>
      </c>
      <c r="I59" s="126">
        <v>0</v>
      </c>
      <c r="J59" s="126">
        <v>0</v>
      </c>
      <c r="K59" s="126">
        <v>0.57599999999999996</v>
      </c>
    </row>
    <row r="60" spans="1:11" x14ac:dyDescent="0.3">
      <c r="A60">
        <v>55</v>
      </c>
      <c r="B60" s="32" t="s">
        <v>545</v>
      </c>
      <c r="C60" s="126">
        <v>0</v>
      </c>
      <c r="D60" s="126">
        <v>0</v>
      </c>
      <c r="E60" s="126">
        <v>1</v>
      </c>
      <c r="F60" s="126">
        <v>0</v>
      </c>
      <c r="G60" s="126">
        <v>0</v>
      </c>
      <c r="H60" s="126">
        <v>0</v>
      </c>
      <c r="I60" s="126">
        <v>0</v>
      </c>
      <c r="J60" s="126">
        <v>0</v>
      </c>
      <c r="K60" s="126">
        <v>1E-3</v>
      </c>
    </row>
    <row r="61" spans="1:11" x14ac:dyDescent="0.3">
      <c r="A61">
        <v>56</v>
      </c>
      <c r="B61" s="32" t="s">
        <v>546</v>
      </c>
      <c r="C61" s="126">
        <v>0.32</v>
      </c>
      <c r="D61" s="126">
        <v>0</v>
      </c>
      <c r="E61" s="126">
        <v>0</v>
      </c>
      <c r="F61" s="126">
        <v>0</v>
      </c>
      <c r="G61" s="126">
        <v>0</v>
      </c>
      <c r="H61" s="126">
        <v>0</v>
      </c>
      <c r="I61" s="126">
        <v>0</v>
      </c>
      <c r="J61" s="126">
        <v>0</v>
      </c>
      <c r="K61" s="126">
        <v>0.248</v>
      </c>
    </row>
    <row r="62" spans="1:11" x14ac:dyDescent="0.3">
      <c r="A62">
        <v>57</v>
      </c>
      <c r="B62" s="32" t="s">
        <v>547</v>
      </c>
      <c r="C62" s="126">
        <v>0.32</v>
      </c>
      <c r="D62" s="126">
        <v>8.9999999999999993E-3</v>
      </c>
      <c r="E62" s="126">
        <v>8.3000000000000004E-2</v>
      </c>
      <c r="F62" s="126">
        <v>0</v>
      </c>
      <c r="G62" s="126">
        <v>0</v>
      </c>
      <c r="H62" s="126">
        <v>0</v>
      </c>
      <c r="I62" s="126">
        <v>0</v>
      </c>
      <c r="J62" s="126">
        <v>0</v>
      </c>
      <c r="K62" s="126">
        <v>0.248</v>
      </c>
    </row>
    <row r="63" spans="1:11" x14ac:dyDescent="0.3">
      <c r="A63">
        <v>58</v>
      </c>
      <c r="B63" s="32" t="s">
        <v>548</v>
      </c>
      <c r="C63" s="126">
        <v>0.33</v>
      </c>
      <c r="D63" s="126">
        <v>0</v>
      </c>
      <c r="E63" s="126">
        <v>0</v>
      </c>
      <c r="F63" s="126">
        <v>0</v>
      </c>
      <c r="G63" s="126">
        <v>0</v>
      </c>
      <c r="H63" s="126">
        <v>0</v>
      </c>
      <c r="I63" s="126">
        <v>0</v>
      </c>
      <c r="J63" s="126">
        <v>0</v>
      </c>
      <c r="K63" s="126">
        <v>0.219</v>
      </c>
    </row>
    <row r="64" spans="1:11" x14ac:dyDescent="0.3">
      <c r="A64">
        <v>59</v>
      </c>
      <c r="B64" s="32" t="s">
        <v>549</v>
      </c>
      <c r="C64" s="126">
        <v>0.34</v>
      </c>
      <c r="D64" s="126">
        <v>0</v>
      </c>
      <c r="E64" s="126">
        <v>0</v>
      </c>
      <c r="F64" s="126">
        <v>0</v>
      </c>
      <c r="G64" s="126">
        <v>0</v>
      </c>
      <c r="H64" s="126">
        <v>0</v>
      </c>
      <c r="I64" s="126">
        <v>0</v>
      </c>
      <c r="J64" s="126">
        <v>0</v>
      </c>
      <c r="K64" s="126">
        <v>0.28799999999999998</v>
      </c>
    </row>
    <row r="65" spans="1:11" x14ac:dyDescent="0.3">
      <c r="A65">
        <v>60</v>
      </c>
      <c r="B65" s="32" t="s">
        <v>549</v>
      </c>
      <c r="C65" s="126">
        <v>0.34</v>
      </c>
      <c r="D65" s="126">
        <v>0</v>
      </c>
      <c r="E65" s="126">
        <v>0</v>
      </c>
      <c r="F65" s="126">
        <v>0</v>
      </c>
      <c r="G65" s="126">
        <v>0</v>
      </c>
      <c r="H65" s="126">
        <v>0</v>
      </c>
      <c r="I65" s="126">
        <v>0</v>
      </c>
      <c r="J65" s="126">
        <v>0</v>
      </c>
      <c r="K65" s="126">
        <v>0.29099999999999998</v>
      </c>
    </row>
    <row r="66" spans="1:11" x14ac:dyDescent="0.3">
      <c r="A66">
        <v>61</v>
      </c>
      <c r="B66" s="32" t="s">
        <v>550</v>
      </c>
      <c r="C66" s="126">
        <v>0.39</v>
      </c>
      <c r="D66" s="126">
        <v>0</v>
      </c>
      <c r="E66" s="126">
        <v>0</v>
      </c>
      <c r="F66" s="126">
        <v>0</v>
      </c>
      <c r="G66" s="126">
        <v>0</v>
      </c>
      <c r="H66" s="126">
        <v>0</v>
      </c>
      <c r="I66" s="126">
        <v>0</v>
      </c>
      <c r="J66" s="126">
        <v>0</v>
      </c>
      <c r="K66" s="126">
        <v>0.371</v>
      </c>
    </row>
    <row r="67" spans="1:11" x14ac:dyDescent="0.3">
      <c r="A67">
        <v>62</v>
      </c>
      <c r="B67" s="32" t="s">
        <v>550</v>
      </c>
      <c r="C67" s="126">
        <v>0.39</v>
      </c>
      <c r="D67" s="126">
        <v>0</v>
      </c>
      <c r="E67" s="126">
        <v>0</v>
      </c>
      <c r="F67" s="126">
        <v>0</v>
      </c>
      <c r="G67" s="126">
        <v>0</v>
      </c>
      <c r="H67" s="126">
        <v>0</v>
      </c>
      <c r="I67" s="126">
        <v>0</v>
      </c>
      <c r="J67" s="126">
        <v>0</v>
      </c>
      <c r="K67" s="126">
        <v>0.442</v>
      </c>
    </row>
    <row r="68" spans="1:11" x14ac:dyDescent="0.3">
      <c r="A68">
        <v>63</v>
      </c>
      <c r="B68" s="32" t="s">
        <v>551</v>
      </c>
      <c r="C68" s="126">
        <v>0.45</v>
      </c>
      <c r="D68" s="126">
        <v>0</v>
      </c>
      <c r="E68" s="126">
        <v>0</v>
      </c>
      <c r="F68" s="126">
        <v>0</v>
      </c>
      <c r="G68" s="126">
        <v>0</v>
      </c>
      <c r="H68" s="126">
        <v>0</v>
      </c>
      <c r="I68" s="126">
        <v>0</v>
      </c>
      <c r="J68" s="126">
        <v>0</v>
      </c>
      <c r="K68" s="126">
        <v>0.30099999999999999</v>
      </c>
    </row>
    <row r="69" spans="1:11" x14ac:dyDescent="0.3">
      <c r="A69">
        <v>64</v>
      </c>
      <c r="B69" s="32" t="s">
        <v>552</v>
      </c>
      <c r="C69" s="126">
        <v>0.46</v>
      </c>
      <c r="D69" s="126">
        <v>0</v>
      </c>
      <c r="E69" s="126">
        <v>0</v>
      </c>
      <c r="F69" s="126">
        <v>0</v>
      </c>
      <c r="G69" s="126">
        <v>0</v>
      </c>
      <c r="H69" s="126">
        <v>0</v>
      </c>
      <c r="I69" s="126">
        <v>0</v>
      </c>
      <c r="J69" s="126">
        <v>0</v>
      </c>
      <c r="K69" s="126">
        <v>0.314</v>
      </c>
    </row>
    <row r="70" spans="1:11" x14ac:dyDescent="0.3">
      <c r="A70" s="12">
        <v>65</v>
      </c>
      <c r="B70" s="162" t="s">
        <v>552</v>
      </c>
      <c r="C70" s="119">
        <v>0.46</v>
      </c>
      <c r="D70" s="119">
        <v>0</v>
      </c>
      <c r="E70" s="119">
        <v>0</v>
      </c>
      <c r="F70" s="119">
        <v>0</v>
      </c>
      <c r="G70" s="119">
        <v>0</v>
      </c>
      <c r="H70" s="119">
        <v>0</v>
      </c>
      <c r="I70" s="119">
        <v>0</v>
      </c>
      <c r="J70" s="119">
        <v>0</v>
      </c>
      <c r="K70" s="119">
        <v>0.36599999999999999</v>
      </c>
    </row>
    <row r="71" spans="1:11" s="10" customFormat="1" x14ac:dyDescent="0.3">
      <c r="A71" s="12">
        <v>66</v>
      </c>
      <c r="B71" s="162" t="s">
        <v>552</v>
      </c>
      <c r="C71" s="119">
        <v>0.46</v>
      </c>
      <c r="D71" s="119">
        <v>0</v>
      </c>
      <c r="E71" s="119">
        <v>0</v>
      </c>
      <c r="F71" s="119">
        <v>0</v>
      </c>
      <c r="G71" s="119">
        <v>0</v>
      </c>
      <c r="H71" s="119">
        <v>0</v>
      </c>
      <c r="I71" s="119">
        <v>0</v>
      </c>
      <c r="J71" s="119">
        <v>0</v>
      </c>
      <c r="K71" s="119">
        <v>0.32400000000000001</v>
      </c>
    </row>
    <row r="72" spans="1:11" x14ac:dyDescent="0.3">
      <c r="A72" s="12">
        <v>67</v>
      </c>
      <c r="B72" s="162" t="s">
        <v>553</v>
      </c>
      <c r="C72" s="119">
        <v>0.82</v>
      </c>
      <c r="D72" s="119">
        <v>0</v>
      </c>
      <c r="E72" s="119">
        <v>0</v>
      </c>
      <c r="F72" s="119">
        <v>0</v>
      </c>
      <c r="G72" s="119">
        <v>0</v>
      </c>
      <c r="H72" s="119">
        <v>0.99</v>
      </c>
      <c r="I72" s="119">
        <v>0</v>
      </c>
      <c r="J72" s="119">
        <v>0</v>
      </c>
      <c r="K72" s="119">
        <v>0.28100000000000003</v>
      </c>
    </row>
    <row r="73" spans="1:11" x14ac:dyDescent="0.3">
      <c r="A73" s="12">
        <v>68</v>
      </c>
      <c r="B73" s="162" t="s">
        <v>553</v>
      </c>
      <c r="C73" s="119">
        <v>0.82</v>
      </c>
      <c r="D73" s="119">
        <v>0</v>
      </c>
      <c r="E73" s="119">
        <v>0</v>
      </c>
      <c r="F73" s="119">
        <v>0</v>
      </c>
      <c r="G73" s="119">
        <v>0</v>
      </c>
      <c r="H73" s="119">
        <v>0</v>
      </c>
      <c r="I73" s="119">
        <v>0</v>
      </c>
      <c r="J73" s="119">
        <v>0</v>
      </c>
      <c r="K73" s="119">
        <v>0.44700000000000001</v>
      </c>
    </row>
    <row r="74" spans="1:11" s="10" customFormat="1" x14ac:dyDescent="0.3">
      <c r="A74" s="12">
        <v>69</v>
      </c>
      <c r="B74" s="162" t="s">
        <v>1631</v>
      </c>
      <c r="C74" s="119">
        <v>0.18</v>
      </c>
      <c r="D74" s="119">
        <v>0.46</v>
      </c>
      <c r="E74" s="119">
        <v>0</v>
      </c>
      <c r="F74" s="119">
        <v>0</v>
      </c>
      <c r="G74" s="119">
        <v>0</v>
      </c>
      <c r="H74" s="119">
        <v>0.99</v>
      </c>
      <c r="I74" s="119">
        <v>0</v>
      </c>
      <c r="J74" s="119">
        <v>0</v>
      </c>
      <c r="K74" s="119">
        <v>0</v>
      </c>
    </row>
    <row r="75" spans="1:11" x14ac:dyDescent="0.3">
      <c r="A75" s="12">
        <v>70</v>
      </c>
      <c r="B75" s="162" t="s">
        <v>1632</v>
      </c>
      <c r="C75" s="119">
        <v>2E-3</v>
      </c>
      <c r="D75" s="119">
        <v>7.0000000000000001E-3</v>
      </c>
      <c r="E75" s="119">
        <v>0</v>
      </c>
      <c r="F75" s="119">
        <v>2.1999999999999999E-2</v>
      </c>
      <c r="G75" s="119">
        <v>4.0000000000000001E-3</v>
      </c>
      <c r="H75" s="119">
        <v>0.97199999999999998</v>
      </c>
      <c r="I75" s="119">
        <v>0.35</v>
      </c>
      <c r="J75" s="119">
        <v>0</v>
      </c>
      <c r="K75" s="119">
        <v>0</v>
      </c>
    </row>
    <row r="76" spans="1:11" x14ac:dyDescent="0.3">
      <c r="A76" s="12">
        <v>71</v>
      </c>
      <c r="B76" s="162" t="s">
        <v>505</v>
      </c>
      <c r="C76" s="119">
        <v>2E-3</v>
      </c>
      <c r="D76" s="119">
        <v>7.0000000000000001E-3</v>
      </c>
      <c r="E76" s="119">
        <v>0</v>
      </c>
      <c r="F76" s="119">
        <v>2.1999999999999999E-2</v>
      </c>
      <c r="G76" s="119">
        <v>4.0000000000000001E-3</v>
      </c>
      <c r="H76" s="119">
        <v>0.97199999999999998</v>
      </c>
      <c r="I76" s="119">
        <v>0.35</v>
      </c>
      <c r="J76" s="119">
        <v>0</v>
      </c>
      <c r="K76" s="119">
        <v>0</v>
      </c>
    </row>
    <row r="77" spans="1:11" x14ac:dyDescent="0.3">
      <c r="A77" s="12">
        <v>72</v>
      </c>
      <c r="B77" s="162" t="s">
        <v>554</v>
      </c>
      <c r="C77" s="119">
        <v>3.0000000000000001E-3</v>
      </c>
      <c r="D77" s="119">
        <v>1E-3</v>
      </c>
      <c r="E77" s="119">
        <v>0</v>
      </c>
      <c r="F77" s="119">
        <v>1E-3</v>
      </c>
      <c r="G77" s="119">
        <v>1E-3</v>
      </c>
      <c r="H77" s="119">
        <v>0.98699999999999999</v>
      </c>
      <c r="I77" s="119">
        <v>0.35</v>
      </c>
      <c r="J77" s="119">
        <v>0</v>
      </c>
      <c r="K77" s="119">
        <v>0</v>
      </c>
    </row>
    <row r="78" spans="1:11" x14ac:dyDescent="0.3">
      <c r="A78">
        <v>73</v>
      </c>
      <c r="B78" s="32" t="s">
        <v>2165</v>
      </c>
      <c r="C78" s="126">
        <v>0.46</v>
      </c>
      <c r="D78" s="126">
        <v>0</v>
      </c>
      <c r="E78" s="126">
        <v>0</v>
      </c>
      <c r="F78" s="126">
        <v>0</v>
      </c>
      <c r="G78" s="126">
        <v>0</v>
      </c>
      <c r="H78" s="126">
        <v>0.99</v>
      </c>
      <c r="I78" s="126">
        <v>0</v>
      </c>
      <c r="J78" s="126">
        <v>0</v>
      </c>
      <c r="K78" s="126">
        <v>0</v>
      </c>
    </row>
    <row r="92" spans="34:34" x14ac:dyDescent="0.3">
      <c r="AH92" t="s">
        <v>29</v>
      </c>
    </row>
    <row r="93" spans="34:34" x14ac:dyDescent="0.3">
      <c r="AH93" t="s">
        <v>30</v>
      </c>
    </row>
  </sheetData>
  <pageMargins left="0.7" right="0.7" top="0.75" bottom="0.75" header="0.3" footer="0.3"/>
  <drawing r:id="rId1"/>
  <legacyDrawing r:id="rId2"/>
  <controls>
    <mc:AlternateContent xmlns:mc="http://schemas.openxmlformats.org/markup-compatibility/2006">
      <mc:Choice Requires="x14">
        <control shapeId="17422" r:id="rId3" name="cmdRun">
          <controlPr defaultSize="0" autoLine="0" r:id="rId4">
            <anchor moveWithCells="1">
              <from>
                <xdr:col>10</xdr:col>
                <xdr:colOff>220980</xdr:colOff>
                <xdr:row>0</xdr:row>
                <xdr:rowOff>236220</xdr:rowOff>
              </from>
              <to>
                <xdr:col>12</xdr:col>
                <xdr:colOff>0</xdr:colOff>
                <xdr:row>1</xdr:row>
                <xdr:rowOff>228600</xdr:rowOff>
              </to>
            </anchor>
          </controlPr>
        </control>
      </mc:Choice>
      <mc:Fallback>
        <control shapeId="17422" r:id="rId3" name="cmdRun"/>
      </mc:Fallback>
    </mc:AlternateContent>
    <mc:AlternateContent xmlns:mc="http://schemas.openxmlformats.org/markup-compatibility/2006">
      <mc:Choice Requires="x14">
        <control shapeId="17420" r:id="rId5" name="cmdReadFert">
          <controlPr defaultSize="0" autoLine="0" r:id="rId6">
            <anchor moveWithCells="1">
              <from>
                <xdr:col>6</xdr:col>
                <xdr:colOff>518160</xdr:colOff>
                <xdr:row>0</xdr:row>
                <xdr:rowOff>236220</xdr:rowOff>
              </from>
              <to>
                <xdr:col>8</xdr:col>
                <xdr:colOff>289560</xdr:colOff>
                <xdr:row>1</xdr:row>
                <xdr:rowOff>228600</xdr:rowOff>
              </to>
            </anchor>
          </controlPr>
        </control>
      </mc:Choice>
      <mc:Fallback>
        <control shapeId="17420" r:id="rId5" name="cmdRead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236220</xdr:rowOff>
              </from>
              <to>
                <xdr:col>10</xdr:col>
                <xdr:colOff>114300</xdr:colOff>
                <xdr:row>1</xdr:row>
                <xdr:rowOff>228600</xdr:rowOff>
              </to>
            </anchor>
          </controlPr>
        </control>
      </mc:Choice>
      <mc:Fallback>
        <control shapeId="17421" r:id="rId7" name="cmdWriteFert"/>
      </mc:Fallback>
    </mc:AlternateContent>
    <mc:AlternateContent xmlns:mc="http://schemas.openxmlformats.org/markup-compatibility/2006">
      <mc:Choice Requires="x14">
        <control shapeId="17424" r:id="rId9" name="cmbBoxFert">
          <controlPr defaultSize="0" autoLine="0" linkedCell="B2" r:id="rId10">
            <anchor moveWithCells="1">
              <from>
                <xdr:col>1</xdr:col>
                <xdr:colOff>22860</xdr:colOff>
                <xdr:row>1</xdr:row>
                <xdr:rowOff>22860</xdr:rowOff>
              </from>
              <to>
                <xdr:col>3</xdr:col>
                <xdr:colOff>15240</xdr:colOff>
                <xdr:row>2</xdr:row>
                <xdr:rowOff>7620</xdr:rowOff>
              </to>
            </anchor>
          </controlPr>
        </control>
      </mc:Choice>
      <mc:Fallback>
        <control shapeId="17424" r:id="rId9" name="cmbBoxFert"/>
      </mc:Fallback>
    </mc:AlternateContent>
    <mc:AlternateContent xmlns:mc="http://schemas.openxmlformats.org/markup-compatibility/2006">
      <mc:Choice Requires="x14">
        <control shapeId="17426" r:id="rId11" name="cmdGetFert">
          <controlPr defaultSize="0" autoLine="0" r:id="rId12">
            <anchor moveWithCells="1">
              <from>
                <xdr:col>5</xdr:col>
                <xdr:colOff>22860</xdr:colOff>
                <xdr:row>0</xdr:row>
                <xdr:rowOff>236220</xdr:rowOff>
              </from>
              <to>
                <xdr:col>6</xdr:col>
                <xdr:colOff>419100</xdr:colOff>
                <xdr:row>1</xdr:row>
                <xdr:rowOff>228600</xdr:rowOff>
              </to>
            </anchor>
          </controlPr>
        </control>
      </mc:Choice>
      <mc:Fallback>
        <control shapeId="17426" r:id="rId11" name="cmdGetFer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327"/>
  <sheetViews>
    <sheetView workbookViewId="0">
      <pane ySplit="5" topLeftCell="A6" activePane="bottomLeft" state="frozen"/>
      <selection pane="bottomLeft" activeCell="D31" sqref="D31"/>
    </sheetView>
  </sheetViews>
  <sheetFormatPr defaultRowHeight="14.4" x14ac:dyDescent="0.3"/>
  <cols>
    <col min="1" max="1" width="12.33203125" customWidth="1"/>
    <col min="2" max="2" width="19.6640625" customWidth="1"/>
    <col min="3" max="8" width="10.33203125" style="28" customWidth="1"/>
  </cols>
  <sheetData>
    <row r="1" spans="1:9" ht="25.2" customHeight="1" x14ac:dyDescent="0.3">
      <c r="A1" s="125" t="s">
        <v>1835</v>
      </c>
      <c r="C1"/>
      <c r="D1"/>
      <c r="E1"/>
      <c r="F1"/>
      <c r="G1"/>
      <c r="H1"/>
    </row>
    <row r="2" spans="1:9" ht="19.95" customHeight="1" x14ac:dyDescent="0.3">
      <c r="A2" s="31" t="s">
        <v>1637</v>
      </c>
      <c r="B2" s="116" t="s">
        <v>2148</v>
      </c>
      <c r="C2" s="31"/>
      <c r="D2" s="117"/>
      <c r="E2"/>
      <c r="F2"/>
      <c r="G2"/>
      <c r="H2"/>
    </row>
    <row r="3" spans="1:9" ht="15.6" customHeight="1" x14ac:dyDescent="0.3">
      <c r="A3" s="120" t="s">
        <v>1462</v>
      </c>
      <c r="B3" s="121"/>
      <c r="C3" s="122" t="s">
        <v>1463</v>
      </c>
      <c r="D3"/>
      <c r="E3"/>
      <c r="F3"/>
      <c r="G3"/>
      <c r="H3"/>
    </row>
    <row r="4" spans="1:9" x14ac:dyDescent="0.3">
      <c r="A4" s="1">
        <v>1</v>
      </c>
      <c r="B4" s="1" t="s">
        <v>1769</v>
      </c>
      <c r="C4" s="1">
        <v>3</v>
      </c>
      <c r="D4" s="1">
        <v>4</v>
      </c>
      <c r="E4" s="1">
        <v>5</v>
      </c>
      <c r="F4" s="1">
        <v>6</v>
      </c>
      <c r="G4" s="1">
        <v>7</v>
      </c>
      <c r="H4" s="1">
        <v>8</v>
      </c>
      <c r="I4" s="1"/>
    </row>
    <row r="5" spans="1:9" s="6" customFormat="1" x14ac:dyDescent="0.3">
      <c r="A5" s="8" t="s">
        <v>566</v>
      </c>
      <c r="B5" s="8" t="s">
        <v>567</v>
      </c>
      <c r="C5" s="8" t="s">
        <v>568</v>
      </c>
      <c r="D5" s="8" t="s">
        <v>569</v>
      </c>
      <c r="E5" s="8" t="s">
        <v>570</v>
      </c>
      <c r="F5" s="8" t="s">
        <v>571</v>
      </c>
      <c r="G5" s="8" t="s">
        <v>572</v>
      </c>
      <c r="H5" s="8" t="s">
        <v>573</v>
      </c>
      <c r="I5" s="8"/>
    </row>
    <row r="6" spans="1:9" x14ac:dyDescent="0.3">
      <c r="A6">
        <v>1</v>
      </c>
      <c r="B6" t="s">
        <v>2168</v>
      </c>
      <c r="C6" s="28">
        <v>23180</v>
      </c>
      <c r="D6" s="28">
        <v>5.5</v>
      </c>
      <c r="E6" s="28">
        <v>9</v>
      </c>
      <c r="F6" s="28">
        <v>0.45</v>
      </c>
      <c r="G6" s="28">
        <v>48</v>
      </c>
      <c r="H6" s="28">
        <v>6.86</v>
      </c>
    </row>
    <row r="7" spans="1:9" x14ac:dyDescent="0.3">
      <c r="A7">
        <v>2</v>
      </c>
      <c r="B7" t="s">
        <v>2169</v>
      </c>
      <c r="C7" s="28">
        <v>150</v>
      </c>
      <c r="D7" s="28">
        <v>30</v>
      </c>
      <c r="E7" s="28">
        <v>9</v>
      </c>
      <c r="F7" s="28">
        <v>0.45</v>
      </c>
      <c r="G7" s="28">
        <v>80</v>
      </c>
      <c r="H7" s="28">
        <v>15</v>
      </c>
    </row>
    <row r="8" spans="1:9" x14ac:dyDescent="0.3">
      <c r="A8">
        <v>3</v>
      </c>
      <c r="B8" t="s">
        <v>2170</v>
      </c>
      <c r="C8" s="28">
        <v>33</v>
      </c>
      <c r="D8" s="28">
        <v>146</v>
      </c>
      <c r="E8" s="28">
        <v>5</v>
      </c>
      <c r="F8" s="28">
        <v>0.45</v>
      </c>
      <c r="G8" s="28">
        <v>147</v>
      </c>
      <c r="H8" s="28">
        <v>7</v>
      </c>
    </row>
    <row r="9" spans="1:9" x14ac:dyDescent="0.3">
      <c r="A9">
        <v>4</v>
      </c>
      <c r="B9" t="s">
        <v>574</v>
      </c>
      <c r="C9" s="28">
        <v>0</v>
      </c>
      <c r="D9" s="28">
        <v>30</v>
      </c>
      <c r="E9" s="28">
        <v>5</v>
      </c>
      <c r="F9" s="28">
        <v>0.65</v>
      </c>
      <c r="G9" s="28">
        <v>1070</v>
      </c>
      <c r="H9" s="28">
        <v>12</v>
      </c>
    </row>
    <row r="10" spans="1:9" x14ac:dyDescent="0.3">
      <c r="A10">
        <v>5</v>
      </c>
      <c r="B10" t="s">
        <v>575</v>
      </c>
      <c r="C10" s="28">
        <v>13</v>
      </c>
      <c r="D10" s="28">
        <v>20</v>
      </c>
      <c r="E10" s="28">
        <v>10</v>
      </c>
      <c r="F10" s="28">
        <v>0.05</v>
      </c>
      <c r="G10" s="28">
        <v>2810</v>
      </c>
      <c r="H10" s="28">
        <v>37</v>
      </c>
    </row>
    <row r="11" spans="1:9" x14ac:dyDescent="0.3">
      <c r="A11">
        <v>6</v>
      </c>
      <c r="B11" t="s">
        <v>576</v>
      </c>
      <c r="C11" s="28">
        <v>100000</v>
      </c>
      <c r="D11" s="28">
        <v>2.8</v>
      </c>
      <c r="E11" s="28">
        <v>7</v>
      </c>
      <c r="F11" s="28">
        <v>0.9</v>
      </c>
      <c r="G11" s="28">
        <v>85</v>
      </c>
      <c r="H11" s="28">
        <v>80</v>
      </c>
    </row>
    <row r="12" spans="1:9" x14ac:dyDescent="0.3">
      <c r="A12">
        <v>7</v>
      </c>
      <c r="B12" t="s">
        <v>2171</v>
      </c>
      <c r="C12" s="28">
        <v>1</v>
      </c>
      <c r="D12" s="28">
        <v>1</v>
      </c>
      <c r="E12" s="28">
        <v>5</v>
      </c>
      <c r="F12" s="28">
        <v>0.2</v>
      </c>
      <c r="G12" s="28">
        <v>9490</v>
      </c>
      <c r="H12" s="28">
        <v>671</v>
      </c>
    </row>
    <row r="13" spans="1:9" x14ac:dyDescent="0.3">
      <c r="A13">
        <v>8</v>
      </c>
      <c r="B13" t="s">
        <v>2172</v>
      </c>
      <c r="C13" s="28">
        <v>9</v>
      </c>
      <c r="D13" s="28">
        <v>24</v>
      </c>
      <c r="E13" s="28">
        <v>99</v>
      </c>
      <c r="F13" s="28">
        <v>0.9</v>
      </c>
      <c r="G13" s="28">
        <v>23402</v>
      </c>
      <c r="H13" s="28">
        <v>135</v>
      </c>
      <c r="I13" s="1"/>
    </row>
    <row r="14" spans="1:9" x14ac:dyDescent="0.3">
      <c r="A14">
        <v>9</v>
      </c>
      <c r="B14" t="s">
        <v>2173</v>
      </c>
      <c r="C14" s="28">
        <v>231000</v>
      </c>
      <c r="D14" s="28">
        <v>245.8</v>
      </c>
      <c r="E14" s="28">
        <v>7</v>
      </c>
      <c r="F14" s="28">
        <v>0.95</v>
      </c>
      <c r="G14" s="28">
        <v>2212</v>
      </c>
      <c r="H14" s="28">
        <v>7</v>
      </c>
    </row>
    <row r="15" spans="1:9" x14ac:dyDescent="0.3">
      <c r="A15">
        <v>10</v>
      </c>
      <c r="B15" t="s">
        <v>577</v>
      </c>
      <c r="C15" s="28">
        <v>100000</v>
      </c>
      <c r="D15" s="28">
        <v>0.7</v>
      </c>
      <c r="E15" s="28">
        <v>4</v>
      </c>
      <c r="F15" s="28">
        <v>0.95</v>
      </c>
      <c r="G15" s="28">
        <v>9</v>
      </c>
      <c r="H15" s="28">
        <v>8</v>
      </c>
    </row>
    <row r="16" spans="1:9" x14ac:dyDescent="0.3">
      <c r="A16">
        <v>11</v>
      </c>
      <c r="B16" t="s">
        <v>578</v>
      </c>
      <c r="C16" s="28">
        <v>0</v>
      </c>
      <c r="D16" s="28">
        <v>365</v>
      </c>
      <c r="E16" s="28">
        <v>2</v>
      </c>
      <c r="F16" s="28">
        <v>0.05</v>
      </c>
      <c r="G16" s="28">
        <v>17500</v>
      </c>
      <c r="H16" s="28">
        <v>49</v>
      </c>
    </row>
    <row r="17" spans="1:8" x14ac:dyDescent="0.3">
      <c r="A17">
        <v>12</v>
      </c>
      <c r="B17" t="s">
        <v>2174</v>
      </c>
      <c r="C17" s="28">
        <v>120000</v>
      </c>
      <c r="D17" s="28">
        <v>0.1</v>
      </c>
      <c r="E17" s="28">
        <v>0.1</v>
      </c>
      <c r="F17" s="28">
        <v>0.95</v>
      </c>
      <c r="G17" s="28">
        <v>166</v>
      </c>
      <c r="H17" s="28">
        <v>6.99</v>
      </c>
    </row>
    <row r="18" spans="1:8" x14ac:dyDescent="0.3">
      <c r="A18">
        <v>13</v>
      </c>
      <c r="B18" t="s">
        <v>579</v>
      </c>
      <c r="C18" s="28">
        <v>2790</v>
      </c>
      <c r="D18" s="28">
        <v>28</v>
      </c>
      <c r="E18" s="28">
        <v>25</v>
      </c>
      <c r="F18" s="28">
        <v>0.8</v>
      </c>
      <c r="G18" s="28">
        <v>42</v>
      </c>
      <c r="H18" s="28">
        <v>55.87</v>
      </c>
    </row>
    <row r="19" spans="1:8" x14ac:dyDescent="0.3">
      <c r="A19">
        <v>14</v>
      </c>
      <c r="B19" t="s">
        <v>2175</v>
      </c>
      <c r="C19" s="28">
        <v>0</v>
      </c>
      <c r="D19" s="28">
        <v>18</v>
      </c>
      <c r="E19" s="28">
        <v>99</v>
      </c>
      <c r="F19" s="28">
        <v>0.9</v>
      </c>
      <c r="G19" s="28">
        <v>730000</v>
      </c>
      <c r="H19" s="28">
        <v>27</v>
      </c>
    </row>
    <row r="20" spans="1:8" x14ac:dyDescent="0.3">
      <c r="A20">
        <v>15</v>
      </c>
      <c r="B20" t="s">
        <v>2176</v>
      </c>
      <c r="C20" s="28">
        <v>700</v>
      </c>
      <c r="D20" s="28">
        <v>14</v>
      </c>
      <c r="E20" s="28">
        <v>7</v>
      </c>
      <c r="F20" s="28">
        <v>0.95</v>
      </c>
      <c r="G20" s="28">
        <v>21</v>
      </c>
      <c r="H20" s="28">
        <v>28</v>
      </c>
    </row>
    <row r="21" spans="1:8" x14ac:dyDescent="0.3">
      <c r="A21">
        <v>16</v>
      </c>
      <c r="B21" t="s">
        <v>2177</v>
      </c>
      <c r="C21" s="28">
        <v>100</v>
      </c>
      <c r="D21" s="28">
        <v>10</v>
      </c>
      <c r="E21" s="28">
        <v>5</v>
      </c>
      <c r="F21" s="28">
        <v>0.6</v>
      </c>
      <c r="G21" s="28">
        <v>100</v>
      </c>
      <c r="H21" s="28">
        <v>343.61</v>
      </c>
    </row>
    <row r="22" spans="1:8" x14ac:dyDescent="0.3">
      <c r="A22">
        <v>17</v>
      </c>
      <c r="B22" t="s">
        <v>2178</v>
      </c>
      <c r="C22" s="28">
        <v>360000</v>
      </c>
      <c r="D22" s="28">
        <v>1</v>
      </c>
      <c r="E22" s="28">
        <v>5</v>
      </c>
      <c r="F22" s="28">
        <v>0.95</v>
      </c>
      <c r="G22" s="28">
        <v>93</v>
      </c>
      <c r="H22" s="28">
        <v>27</v>
      </c>
    </row>
    <row r="23" spans="1:8" x14ac:dyDescent="0.3">
      <c r="A23">
        <v>18</v>
      </c>
      <c r="B23" t="s">
        <v>580</v>
      </c>
      <c r="C23" s="28">
        <v>0</v>
      </c>
      <c r="D23" s="28">
        <v>36</v>
      </c>
      <c r="E23" s="28">
        <v>5</v>
      </c>
      <c r="F23" s="28">
        <v>0.4</v>
      </c>
      <c r="G23" s="28">
        <v>61000</v>
      </c>
      <c r="H23" s="28">
        <v>259.54000000000002</v>
      </c>
    </row>
    <row r="24" spans="1:8" x14ac:dyDescent="0.3">
      <c r="A24">
        <v>19</v>
      </c>
      <c r="B24" t="s">
        <v>581</v>
      </c>
      <c r="C24" s="28">
        <v>105</v>
      </c>
      <c r="D24" s="28">
        <v>9</v>
      </c>
      <c r="E24" s="28">
        <v>10</v>
      </c>
      <c r="F24" s="28">
        <v>0.4</v>
      </c>
      <c r="G24" s="28">
        <v>100</v>
      </c>
      <c r="H24" s="28">
        <v>20</v>
      </c>
    </row>
    <row r="25" spans="1:8" x14ac:dyDescent="0.3">
      <c r="A25">
        <v>20</v>
      </c>
      <c r="B25" t="s">
        <v>582</v>
      </c>
      <c r="C25" s="28">
        <v>440</v>
      </c>
      <c r="D25" s="28">
        <v>15</v>
      </c>
      <c r="E25" s="28">
        <v>30</v>
      </c>
      <c r="F25" s="28">
        <v>0.5</v>
      </c>
      <c r="G25" s="28">
        <v>83</v>
      </c>
      <c r="H25" s="28">
        <v>1010</v>
      </c>
    </row>
    <row r="26" spans="1:8" x14ac:dyDescent="0.3">
      <c r="A26">
        <v>21</v>
      </c>
      <c r="B26" t="s">
        <v>2179</v>
      </c>
      <c r="C26" s="28">
        <v>500000</v>
      </c>
      <c r="D26" s="28">
        <v>90</v>
      </c>
      <c r="E26" s="28">
        <v>30</v>
      </c>
      <c r="F26" s="28">
        <v>0.8</v>
      </c>
      <c r="G26" s="28">
        <v>100</v>
      </c>
      <c r="H26" s="28">
        <v>392.69</v>
      </c>
    </row>
    <row r="27" spans="1:8" x14ac:dyDescent="0.3">
      <c r="A27">
        <v>22</v>
      </c>
      <c r="B27" t="s">
        <v>583</v>
      </c>
      <c r="C27" s="28">
        <v>1400000</v>
      </c>
      <c r="D27" s="28">
        <v>180</v>
      </c>
      <c r="E27" s="28">
        <v>10</v>
      </c>
      <c r="F27" s="28">
        <v>1</v>
      </c>
      <c r="G27" s="28">
        <v>7000</v>
      </c>
      <c r="H27" s="28">
        <v>3</v>
      </c>
    </row>
    <row r="28" spans="1:8" x14ac:dyDescent="0.3">
      <c r="A28">
        <v>23</v>
      </c>
      <c r="B28" t="s">
        <v>2180</v>
      </c>
      <c r="C28" s="28">
        <v>0</v>
      </c>
      <c r="D28" s="28">
        <v>108</v>
      </c>
      <c r="E28" s="28">
        <v>8</v>
      </c>
      <c r="F28" s="28">
        <v>0.4</v>
      </c>
      <c r="G28" s="28">
        <v>5273</v>
      </c>
      <c r="H28" s="28">
        <v>78.239999999999995</v>
      </c>
    </row>
    <row r="29" spans="1:8" x14ac:dyDescent="0.3">
      <c r="A29">
        <v>24</v>
      </c>
      <c r="B29" t="s">
        <v>2181</v>
      </c>
      <c r="C29" s="28">
        <v>857</v>
      </c>
      <c r="D29" s="28">
        <v>45</v>
      </c>
      <c r="E29" s="28">
        <v>18</v>
      </c>
      <c r="F29" s="28">
        <v>0.65</v>
      </c>
      <c r="G29" s="28">
        <v>35</v>
      </c>
      <c r="H29" s="28">
        <v>50</v>
      </c>
    </row>
    <row r="30" spans="1:8" x14ac:dyDescent="0.3">
      <c r="A30">
        <v>25</v>
      </c>
      <c r="B30" t="s">
        <v>2182</v>
      </c>
      <c r="C30" s="28">
        <v>857</v>
      </c>
      <c r="D30" s="28">
        <v>45</v>
      </c>
      <c r="E30" s="28">
        <v>18</v>
      </c>
      <c r="F30" s="28">
        <v>0.65</v>
      </c>
      <c r="G30" s="28">
        <v>35</v>
      </c>
      <c r="H30" s="28">
        <v>48</v>
      </c>
    </row>
    <row r="31" spans="1:8" x14ac:dyDescent="0.3">
      <c r="A31">
        <v>26</v>
      </c>
      <c r="B31" t="s">
        <v>2183</v>
      </c>
      <c r="C31" s="28">
        <v>0</v>
      </c>
      <c r="D31" s="28">
        <v>60</v>
      </c>
      <c r="E31" s="28">
        <v>15</v>
      </c>
      <c r="F31" s="28">
        <v>0.2</v>
      </c>
      <c r="G31" s="28">
        <v>540</v>
      </c>
      <c r="H31" s="28">
        <v>398.53</v>
      </c>
    </row>
    <row r="32" spans="1:8" x14ac:dyDescent="0.3">
      <c r="A32">
        <v>27</v>
      </c>
      <c r="B32" t="s">
        <v>584</v>
      </c>
      <c r="C32" s="28">
        <v>550000</v>
      </c>
      <c r="D32" s="28">
        <v>10</v>
      </c>
      <c r="E32" s="28">
        <v>3</v>
      </c>
      <c r="F32" s="28">
        <v>0.95</v>
      </c>
      <c r="G32" s="28">
        <v>138</v>
      </c>
      <c r="H32" s="28">
        <v>27</v>
      </c>
    </row>
    <row r="33" spans="1:8" x14ac:dyDescent="0.3">
      <c r="A33">
        <v>28</v>
      </c>
      <c r="B33" t="s">
        <v>2184</v>
      </c>
      <c r="C33" s="28">
        <v>817000</v>
      </c>
      <c r="D33" s="28">
        <v>87</v>
      </c>
      <c r="E33" s="28">
        <v>3</v>
      </c>
      <c r="F33" s="28">
        <v>0.95</v>
      </c>
      <c r="G33" s="28">
        <v>55000</v>
      </c>
      <c r="H33" s="28">
        <v>43</v>
      </c>
    </row>
    <row r="34" spans="1:8" x14ac:dyDescent="0.3">
      <c r="A34">
        <v>29</v>
      </c>
      <c r="B34" t="s">
        <v>585</v>
      </c>
      <c r="C34" s="28">
        <v>1000000</v>
      </c>
      <c r="D34" s="28">
        <v>30</v>
      </c>
      <c r="E34" s="28">
        <v>2</v>
      </c>
      <c r="F34" s="28">
        <v>0.95</v>
      </c>
      <c r="G34" s="28">
        <v>1</v>
      </c>
      <c r="H34" s="28">
        <v>29</v>
      </c>
    </row>
    <row r="35" spans="1:8" x14ac:dyDescent="0.3">
      <c r="A35">
        <v>30</v>
      </c>
      <c r="B35" t="s">
        <v>2185</v>
      </c>
      <c r="C35" s="28">
        <v>0</v>
      </c>
      <c r="D35" s="28">
        <v>51</v>
      </c>
      <c r="E35" s="28">
        <v>10</v>
      </c>
      <c r="F35" s="28">
        <v>0.2</v>
      </c>
      <c r="G35" s="28">
        <v>8240</v>
      </c>
      <c r="H35" s="28">
        <v>57</v>
      </c>
    </row>
    <row r="36" spans="1:8" x14ac:dyDescent="0.3">
      <c r="A36">
        <v>31</v>
      </c>
      <c r="B36" t="s">
        <v>2186</v>
      </c>
      <c r="C36" s="28">
        <v>1000000</v>
      </c>
      <c r="D36" s="28">
        <v>12</v>
      </c>
      <c r="E36" s="28">
        <v>15</v>
      </c>
      <c r="F36" s="28">
        <v>0.95</v>
      </c>
      <c r="G36" s="28">
        <v>309</v>
      </c>
      <c r="H36" s="28">
        <v>96</v>
      </c>
    </row>
    <row r="37" spans="1:8" x14ac:dyDescent="0.3">
      <c r="A37">
        <v>32</v>
      </c>
      <c r="B37" t="s">
        <v>2187</v>
      </c>
      <c r="C37" s="28">
        <v>360000</v>
      </c>
      <c r="D37" s="28">
        <v>18</v>
      </c>
      <c r="E37" s="28">
        <v>9</v>
      </c>
      <c r="F37" s="28">
        <v>0.65</v>
      </c>
      <c r="G37" s="28">
        <v>13</v>
      </c>
      <c r="H37" s="28">
        <v>59.92</v>
      </c>
    </row>
    <row r="38" spans="1:8" x14ac:dyDescent="0.3">
      <c r="A38">
        <v>33</v>
      </c>
      <c r="B38" t="s">
        <v>2188</v>
      </c>
      <c r="C38" s="28">
        <v>2300000</v>
      </c>
      <c r="D38" s="28">
        <v>27</v>
      </c>
      <c r="E38" s="28">
        <v>2</v>
      </c>
      <c r="F38" s="28">
        <v>0.6</v>
      </c>
      <c r="G38" s="28">
        <v>35</v>
      </c>
      <c r="H38" s="28">
        <v>52.8</v>
      </c>
    </row>
    <row r="39" spans="1:8" x14ac:dyDescent="0.3">
      <c r="A39">
        <v>34</v>
      </c>
      <c r="B39" t="s">
        <v>586</v>
      </c>
      <c r="C39" s="28">
        <v>1370000</v>
      </c>
      <c r="D39" s="28">
        <v>7</v>
      </c>
      <c r="E39" s="28">
        <v>4</v>
      </c>
      <c r="F39" s="28">
        <v>0.95</v>
      </c>
      <c r="G39" s="28">
        <v>430</v>
      </c>
      <c r="H39" s="28">
        <v>165</v>
      </c>
    </row>
    <row r="40" spans="1:8" x14ac:dyDescent="0.3">
      <c r="A40">
        <v>35</v>
      </c>
      <c r="B40" t="s">
        <v>2189</v>
      </c>
      <c r="C40" s="28">
        <v>1800</v>
      </c>
      <c r="D40" s="28">
        <v>145</v>
      </c>
      <c r="E40" s="28">
        <v>99</v>
      </c>
      <c r="F40" s="28">
        <v>0.9</v>
      </c>
      <c r="G40" s="28">
        <v>29</v>
      </c>
      <c r="H40" s="28">
        <v>106</v>
      </c>
    </row>
    <row r="41" spans="1:8" x14ac:dyDescent="0.3">
      <c r="A41">
        <v>36</v>
      </c>
      <c r="B41" t="s">
        <v>2190</v>
      </c>
      <c r="C41" s="28">
        <v>72</v>
      </c>
      <c r="D41" s="28">
        <v>6</v>
      </c>
      <c r="E41" s="28">
        <v>8</v>
      </c>
      <c r="F41" s="28">
        <v>0.3</v>
      </c>
      <c r="G41" s="28">
        <v>319</v>
      </c>
      <c r="H41" s="28">
        <v>62.9</v>
      </c>
    </row>
    <row r="42" spans="1:8" x14ac:dyDescent="0.3">
      <c r="A42">
        <v>37</v>
      </c>
      <c r="B42" t="s">
        <v>587</v>
      </c>
      <c r="C42" s="28">
        <v>4</v>
      </c>
      <c r="D42" s="28">
        <v>34</v>
      </c>
      <c r="E42" s="28">
        <v>2</v>
      </c>
      <c r="F42" s="28">
        <v>0.65</v>
      </c>
      <c r="G42" s="28">
        <v>1390</v>
      </c>
      <c r="H42" s="28">
        <v>244</v>
      </c>
    </row>
    <row r="43" spans="1:8" x14ac:dyDescent="0.3">
      <c r="A43">
        <v>38</v>
      </c>
      <c r="B43" t="s">
        <v>2191</v>
      </c>
      <c r="C43" s="28">
        <v>200</v>
      </c>
      <c r="D43" s="28">
        <v>60</v>
      </c>
      <c r="E43" s="28">
        <v>5</v>
      </c>
      <c r="F43" s="28">
        <v>0.4</v>
      </c>
      <c r="G43" s="28">
        <v>31000</v>
      </c>
      <c r="H43" s="28">
        <v>2</v>
      </c>
    </row>
    <row r="44" spans="1:8" x14ac:dyDescent="0.3">
      <c r="A44">
        <v>39</v>
      </c>
      <c r="B44" t="s">
        <v>2192</v>
      </c>
      <c r="C44" s="28">
        <v>3</v>
      </c>
      <c r="D44" s="28">
        <v>67</v>
      </c>
      <c r="E44" s="28">
        <v>6</v>
      </c>
      <c r="F44" s="28">
        <v>0.25</v>
      </c>
      <c r="G44" s="28">
        <v>1910</v>
      </c>
      <c r="H44" s="28">
        <v>13.89</v>
      </c>
    </row>
    <row r="45" spans="1:8" x14ac:dyDescent="0.3">
      <c r="A45">
        <v>40</v>
      </c>
      <c r="B45" t="s">
        <v>588</v>
      </c>
      <c r="C45" s="28">
        <v>0</v>
      </c>
      <c r="D45" s="28">
        <v>600</v>
      </c>
      <c r="E45" s="28">
        <v>3</v>
      </c>
      <c r="F45" s="28">
        <v>0.05</v>
      </c>
      <c r="G45" s="28">
        <v>55000</v>
      </c>
      <c r="H45" s="28">
        <v>58</v>
      </c>
    </row>
    <row r="46" spans="1:8" x14ac:dyDescent="0.3">
      <c r="A46">
        <v>41</v>
      </c>
      <c r="B46" t="s">
        <v>589</v>
      </c>
      <c r="C46" s="28">
        <v>5</v>
      </c>
      <c r="D46" s="28">
        <v>30</v>
      </c>
      <c r="E46" s="28">
        <v>5</v>
      </c>
      <c r="F46" s="28">
        <v>0.7</v>
      </c>
      <c r="G46" s="28">
        <v>2400</v>
      </c>
      <c r="H46" s="28">
        <v>112</v>
      </c>
    </row>
    <row r="47" spans="1:8" x14ac:dyDescent="0.3">
      <c r="A47">
        <v>42</v>
      </c>
      <c r="B47" t="s">
        <v>2193</v>
      </c>
      <c r="C47" s="28">
        <v>9</v>
      </c>
      <c r="D47" s="28">
        <v>7.7</v>
      </c>
      <c r="E47" s="28">
        <v>5</v>
      </c>
      <c r="F47" s="28">
        <v>0.7</v>
      </c>
      <c r="G47" s="28">
        <v>150</v>
      </c>
      <c r="H47" s="28">
        <v>126</v>
      </c>
    </row>
    <row r="48" spans="1:8" x14ac:dyDescent="0.3">
      <c r="A48">
        <v>43</v>
      </c>
      <c r="B48" t="s">
        <v>2194</v>
      </c>
      <c r="C48" s="28">
        <v>1000000</v>
      </c>
      <c r="D48" s="28">
        <v>3</v>
      </c>
      <c r="E48" s="28">
        <v>20</v>
      </c>
      <c r="F48" s="28">
        <v>0.7</v>
      </c>
      <c r="G48" s="28">
        <v>64</v>
      </c>
      <c r="H48" s="28">
        <v>13.19</v>
      </c>
    </row>
    <row r="49" spans="1:8" x14ac:dyDescent="0.3">
      <c r="A49">
        <v>44</v>
      </c>
      <c r="B49" t="s">
        <v>2195</v>
      </c>
      <c r="C49" s="28">
        <v>170</v>
      </c>
      <c r="D49" s="28">
        <v>17</v>
      </c>
      <c r="E49" s="28">
        <v>10</v>
      </c>
      <c r="F49" s="28">
        <v>0.7</v>
      </c>
      <c r="G49" s="28">
        <v>218</v>
      </c>
      <c r="H49" s="28">
        <v>21.05</v>
      </c>
    </row>
    <row r="50" spans="1:8" x14ac:dyDescent="0.3">
      <c r="A50">
        <v>45</v>
      </c>
      <c r="B50" t="s">
        <v>2196</v>
      </c>
      <c r="C50" s="28">
        <v>28</v>
      </c>
      <c r="D50" s="28">
        <v>21</v>
      </c>
      <c r="E50" s="28">
        <v>7</v>
      </c>
      <c r="F50" s="28">
        <v>0.7</v>
      </c>
      <c r="G50" s="28">
        <v>900</v>
      </c>
      <c r="H50" s="28">
        <v>11</v>
      </c>
    </row>
    <row r="51" spans="1:8" x14ac:dyDescent="0.3">
      <c r="A51">
        <v>46</v>
      </c>
      <c r="B51" t="s">
        <v>2197</v>
      </c>
      <c r="C51" s="28">
        <v>0</v>
      </c>
      <c r="D51" s="28">
        <v>143</v>
      </c>
      <c r="E51" s="28">
        <v>0.5</v>
      </c>
      <c r="F51" s="28">
        <v>0.55000000000000004</v>
      </c>
      <c r="G51" s="28">
        <v>25900</v>
      </c>
      <c r="H51" s="28">
        <v>27</v>
      </c>
    </row>
    <row r="52" spans="1:8" x14ac:dyDescent="0.3">
      <c r="A52">
        <v>47</v>
      </c>
      <c r="B52" t="s">
        <v>2198</v>
      </c>
      <c r="C52" s="28">
        <v>825</v>
      </c>
      <c r="D52" s="28">
        <v>25</v>
      </c>
      <c r="E52" s="28">
        <v>8</v>
      </c>
      <c r="F52" s="28">
        <v>0.5</v>
      </c>
      <c r="G52" s="28">
        <v>110</v>
      </c>
      <c r="H52" s="28">
        <v>10.75</v>
      </c>
    </row>
    <row r="53" spans="1:8" x14ac:dyDescent="0.3">
      <c r="A53">
        <v>48</v>
      </c>
      <c r="B53" t="s">
        <v>2199</v>
      </c>
      <c r="C53" s="28">
        <v>7</v>
      </c>
      <c r="D53" s="28">
        <v>60</v>
      </c>
      <c r="E53" s="28">
        <v>4</v>
      </c>
      <c r="F53" s="28">
        <v>0.5</v>
      </c>
      <c r="G53" s="28">
        <v>1000</v>
      </c>
      <c r="H53" s="28">
        <v>31</v>
      </c>
    </row>
    <row r="54" spans="1:8" x14ac:dyDescent="0.3">
      <c r="A54">
        <v>49</v>
      </c>
      <c r="B54" t="s">
        <v>2200</v>
      </c>
      <c r="C54" s="28">
        <v>1</v>
      </c>
      <c r="D54" s="28">
        <v>48</v>
      </c>
      <c r="E54" s="28">
        <v>5</v>
      </c>
      <c r="F54" s="28">
        <v>0.5</v>
      </c>
      <c r="G54" s="28">
        <v>5000</v>
      </c>
      <c r="H54" s="28">
        <v>23.79</v>
      </c>
    </row>
    <row r="55" spans="1:8" x14ac:dyDescent="0.3">
      <c r="A55">
        <v>50</v>
      </c>
      <c r="B55" t="s">
        <v>590</v>
      </c>
      <c r="C55" s="28">
        <v>13400</v>
      </c>
      <c r="D55" s="28">
        <v>55</v>
      </c>
      <c r="E55" s="28">
        <v>99</v>
      </c>
      <c r="F55" s="28">
        <v>0.9</v>
      </c>
      <c r="G55" s="28">
        <v>22</v>
      </c>
      <c r="H55" s="28">
        <v>8</v>
      </c>
    </row>
    <row r="56" spans="1:8" x14ac:dyDescent="0.3">
      <c r="A56">
        <v>51</v>
      </c>
      <c r="B56" t="s">
        <v>2201</v>
      </c>
      <c r="C56" s="28">
        <v>58</v>
      </c>
      <c r="D56" s="28">
        <v>20</v>
      </c>
      <c r="E56" s="28">
        <v>99</v>
      </c>
      <c r="F56" s="28">
        <v>0.9</v>
      </c>
      <c r="G56" s="28">
        <v>356</v>
      </c>
      <c r="H56" s="28">
        <v>29</v>
      </c>
    </row>
    <row r="57" spans="1:8" x14ac:dyDescent="0.3">
      <c r="A57">
        <v>52</v>
      </c>
      <c r="B57" t="s">
        <v>2202</v>
      </c>
      <c r="C57" s="28">
        <v>27</v>
      </c>
      <c r="D57" s="28">
        <v>7</v>
      </c>
      <c r="E57" s="28">
        <v>3</v>
      </c>
      <c r="F57" s="28">
        <v>0.2</v>
      </c>
      <c r="G57" s="28">
        <v>1079</v>
      </c>
      <c r="H57" s="28">
        <v>150.56</v>
      </c>
    </row>
    <row r="58" spans="1:8" x14ac:dyDescent="0.3">
      <c r="A58">
        <v>53</v>
      </c>
      <c r="B58" t="s">
        <v>2203</v>
      </c>
      <c r="C58" s="28">
        <v>8</v>
      </c>
      <c r="D58" s="28">
        <v>7</v>
      </c>
      <c r="E58" s="28">
        <v>9</v>
      </c>
      <c r="F58" s="28">
        <v>0.45</v>
      </c>
      <c r="G58" s="28">
        <v>201</v>
      </c>
      <c r="H58" s="28">
        <v>281.95999999999998</v>
      </c>
    </row>
    <row r="59" spans="1:8" x14ac:dyDescent="0.3">
      <c r="A59">
        <v>54</v>
      </c>
      <c r="B59" t="s">
        <v>2204</v>
      </c>
      <c r="C59" s="28">
        <v>33</v>
      </c>
      <c r="D59" s="28">
        <v>261</v>
      </c>
      <c r="E59" s="28">
        <v>10</v>
      </c>
      <c r="F59" s="28">
        <v>0.5</v>
      </c>
      <c r="G59" s="28">
        <v>383</v>
      </c>
      <c r="H59" s="28">
        <v>15</v>
      </c>
    </row>
    <row r="60" spans="1:8" x14ac:dyDescent="0.3">
      <c r="A60">
        <v>55</v>
      </c>
      <c r="B60" t="s">
        <v>2205</v>
      </c>
      <c r="C60" s="28">
        <v>120</v>
      </c>
      <c r="D60" s="28">
        <v>17</v>
      </c>
      <c r="E60" s="28">
        <v>3</v>
      </c>
      <c r="F60" s="28">
        <v>0.9</v>
      </c>
      <c r="G60" s="28">
        <v>300</v>
      </c>
      <c r="H60" s="28">
        <v>17.489999999999998</v>
      </c>
    </row>
    <row r="61" spans="1:8" x14ac:dyDescent="0.3">
      <c r="A61">
        <v>56</v>
      </c>
      <c r="B61" t="s">
        <v>591</v>
      </c>
      <c r="C61" s="28">
        <v>145</v>
      </c>
      <c r="D61" s="28">
        <v>25</v>
      </c>
      <c r="E61" s="28">
        <v>3</v>
      </c>
      <c r="F61" s="28">
        <v>0.9</v>
      </c>
      <c r="G61" s="28">
        <v>1800</v>
      </c>
      <c r="H61" s="28">
        <v>13.95</v>
      </c>
    </row>
    <row r="62" spans="1:8" x14ac:dyDescent="0.3">
      <c r="A62">
        <v>57</v>
      </c>
      <c r="B62" t="s">
        <v>2206</v>
      </c>
      <c r="C62" s="28">
        <v>21</v>
      </c>
      <c r="D62" s="28">
        <v>55</v>
      </c>
      <c r="E62" s="28">
        <v>5</v>
      </c>
      <c r="F62" s="28">
        <v>0.45</v>
      </c>
      <c r="G62" s="28">
        <v>171</v>
      </c>
      <c r="H62" s="28">
        <v>71</v>
      </c>
    </row>
    <row r="63" spans="1:8" x14ac:dyDescent="0.3">
      <c r="A63">
        <v>58</v>
      </c>
      <c r="B63" t="s">
        <v>2207</v>
      </c>
      <c r="C63" s="28">
        <v>820000</v>
      </c>
      <c r="D63" s="28">
        <v>12</v>
      </c>
      <c r="E63" s="28">
        <v>30</v>
      </c>
      <c r="F63" s="28">
        <v>0.95</v>
      </c>
      <c r="G63" s="28">
        <v>275</v>
      </c>
      <c r="H63" s="28">
        <v>75</v>
      </c>
    </row>
    <row r="64" spans="1:8" x14ac:dyDescent="0.3">
      <c r="A64">
        <v>59</v>
      </c>
      <c r="B64" t="s">
        <v>592</v>
      </c>
      <c r="C64" s="28">
        <v>1240000</v>
      </c>
      <c r="D64" s="28">
        <v>7</v>
      </c>
      <c r="E64" s="28">
        <v>5</v>
      </c>
      <c r="F64" s="28">
        <v>0.95</v>
      </c>
      <c r="G64" s="28">
        <v>1</v>
      </c>
      <c r="H64" s="28">
        <v>33</v>
      </c>
    </row>
    <row r="65" spans="1:8" x14ac:dyDescent="0.3">
      <c r="A65">
        <v>60</v>
      </c>
      <c r="B65" t="s">
        <v>593</v>
      </c>
      <c r="C65" s="28">
        <v>250</v>
      </c>
      <c r="D65" s="28">
        <v>10</v>
      </c>
      <c r="E65" s="28">
        <v>2</v>
      </c>
      <c r="F65" s="28">
        <v>0.5</v>
      </c>
      <c r="G65" s="28">
        <v>98</v>
      </c>
      <c r="H65" s="28">
        <v>11</v>
      </c>
    </row>
    <row r="66" spans="1:8" x14ac:dyDescent="0.3">
      <c r="A66">
        <v>61</v>
      </c>
      <c r="B66" t="s">
        <v>594</v>
      </c>
      <c r="C66" s="28">
        <v>0</v>
      </c>
      <c r="D66" s="28">
        <v>365</v>
      </c>
      <c r="E66" s="28">
        <v>2.5</v>
      </c>
      <c r="F66" s="28">
        <v>0.05</v>
      </c>
      <c r="G66" s="28">
        <v>60000</v>
      </c>
      <c r="H66" s="28">
        <v>13</v>
      </c>
    </row>
    <row r="67" spans="1:8" x14ac:dyDescent="0.3">
      <c r="A67">
        <v>62</v>
      </c>
      <c r="B67" t="s">
        <v>595</v>
      </c>
      <c r="C67" s="28">
        <v>500000</v>
      </c>
      <c r="D67" s="28">
        <v>90</v>
      </c>
      <c r="E67" s="28">
        <v>30</v>
      </c>
      <c r="F67" s="28">
        <v>0.8</v>
      </c>
      <c r="G67" s="28">
        <v>100</v>
      </c>
      <c r="H67" s="28">
        <v>1072</v>
      </c>
    </row>
    <row r="68" spans="1:8" x14ac:dyDescent="0.3">
      <c r="A68">
        <v>63</v>
      </c>
      <c r="B68" t="s">
        <v>596</v>
      </c>
      <c r="C68" s="28">
        <v>1200</v>
      </c>
      <c r="D68" s="28">
        <v>52.5</v>
      </c>
      <c r="E68" s="28">
        <v>15</v>
      </c>
      <c r="F68" s="28">
        <v>0.9</v>
      </c>
      <c r="G68" s="28">
        <v>91</v>
      </c>
      <c r="H68" s="28">
        <v>360.73</v>
      </c>
    </row>
    <row r="69" spans="1:8" x14ac:dyDescent="0.3">
      <c r="A69">
        <v>64</v>
      </c>
      <c r="B69" t="s">
        <v>597</v>
      </c>
      <c r="C69" s="28">
        <v>0</v>
      </c>
      <c r="D69" s="28">
        <v>3</v>
      </c>
      <c r="E69" s="28">
        <v>2</v>
      </c>
      <c r="F69" s="28">
        <v>0.2</v>
      </c>
      <c r="G69" s="28">
        <v>10000</v>
      </c>
      <c r="H69" s="28">
        <v>177.15</v>
      </c>
    </row>
    <row r="70" spans="1:8" x14ac:dyDescent="0.3">
      <c r="A70">
        <v>65</v>
      </c>
      <c r="B70" t="s">
        <v>2208</v>
      </c>
      <c r="C70" s="28">
        <v>1</v>
      </c>
      <c r="D70" s="28">
        <v>40</v>
      </c>
      <c r="E70" s="28">
        <v>5</v>
      </c>
      <c r="F70" s="28">
        <v>0.2</v>
      </c>
      <c r="G70" s="28">
        <v>41000</v>
      </c>
      <c r="H70" s="28">
        <v>22</v>
      </c>
    </row>
    <row r="71" spans="1:8" x14ac:dyDescent="0.3">
      <c r="A71">
        <v>66</v>
      </c>
      <c r="B71" t="s">
        <v>2209</v>
      </c>
      <c r="C71" s="28">
        <v>1100</v>
      </c>
      <c r="D71" s="28">
        <v>87</v>
      </c>
      <c r="E71" s="28">
        <v>3</v>
      </c>
      <c r="F71" s="28">
        <v>0.8</v>
      </c>
      <c r="G71" s="28">
        <v>274</v>
      </c>
      <c r="H71" s="28">
        <v>56.69</v>
      </c>
    </row>
    <row r="72" spans="1:8" x14ac:dyDescent="0.3">
      <c r="A72">
        <v>67</v>
      </c>
      <c r="B72" t="s">
        <v>2210</v>
      </c>
      <c r="C72" s="28">
        <v>110</v>
      </c>
      <c r="D72" s="28">
        <v>189</v>
      </c>
      <c r="E72" s="28">
        <v>30</v>
      </c>
      <c r="F72" s="28">
        <v>0.5</v>
      </c>
      <c r="G72" s="28">
        <v>100</v>
      </c>
      <c r="H72" s="28">
        <v>25.74</v>
      </c>
    </row>
    <row r="73" spans="1:8" x14ac:dyDescent="0.3">
      <c r="A73">
        <v>68</v>
      </c>
      <c r="B73" t="s">
        <v>2211</v>
      </c>
      <c r="C73" s="28">
        <v>5</v>
      </c>
      <c r="D73" s="28">
        <v>5</v>
      </c>
      <c r="E73" s="28">
        <v>2.5</v>
      </c>
      <c r="F73" s="28">
        <v>0.6</v>
      </c>
      <c r="G73" s="28">
        <v>650</v>
      </c>
      <c r="H73" s="28">
        <v>8.09</v>
      </c>
    </row>
    <row r="74" spans="1:8" x14ac:dyDescent="0.3">
      <c r="A74">
        <v>69</v>
      </c>
      <c r="B74" t="s">
        <v>598</v>
      </c>
      <c r="C74" s="28">
        <v>2100000</v>
      </c>
      <c r="D74" s="28">
        <v>46</v>
      </c>
      <c r="E74" s="28">
        <v>15</v>
      </c>
      <c r="F74" s="28">
        <v>0.95</v>
      </c>
      <c r="G74" s="28">
        <v>20</v>
      </c>
      <c r="H74" s="28">
        <v>52</v>
      </c>
    </row>
    <row r="75" spans="1:8" x14ac:dyDescent="0.3">
      <c r="A75">
        <v>70</v>
      </c>
      <c r="B75" t="s">
        <v>2212</v>
      </c>
      <c r="C75" s="28">
        <v>28</v>
      </c>
      <c r="D75" s="28">
        <v>1.9</v>
      </c>
      <c r="E75" s="28">
        <v>3</v>
      </c>
      <c r="F75" s="28">
        <v>0.9</v>
      </c>
      <c r="G75" s="28">
        <v>2016</v>
      </c>
      <c r="H75" s="28">
        <v>27</v>
      </c>
    </row>
    <row r="76" spans="1:8" x14ac:dyDescent="0.3">
      <c r="A76">
        <v>71</v>
      </c>
      <c r="B76" t="s">
        <v>2213</v>
      </c>
      <c r="C76" s="28">
        <v>39800</v>
      </c>
      <c r="D76" s="28">
        <v>3</v>
      </c>
      <c r="E76" s="28">
        <v>3</v>
      </c>
      <c r="F76" s="28">
        <v>0.95</v>
      </c>
      <c r="G76" s="28">
        <v>20</v>
      </c>
      <c r="H76" s="28">
        <v>114.09</v>
      </c>
    </row>
    <row r="77" spans="1:8" x14ac:dyDescent="0.3">
      <c r="A77">
        <v>72</v>
      </c>
      <c r="B77" t="s">
        <v>2214</v>
      </c>
      <c r="C77" s="28">
        <v>700</v>
      </c>
      <c r="D77" s="28">
        <v>20</v>
      </c>
      <c r="E77" s="28">
        <v>10</v>
      </c>
      <c r="F77" s="28">
        <v>0.5</v>
      </c>
      <c r="G77" s="28">
        <v>10000</v>
      </c>
      <c r="H77" s="28">
        <v>147.66</v>
      </c>
    </row>
    <row r="78" spans="1:8" x14ac:dyDescent="0.3">
      <c r="A78">
        <v>73</v>
      </c>
      <c r="B78" t="s">
        <v>2215</v>
      </c>
      <c r="C78" s="28">
        <v>130</v>
      </c>
      <c r="D78" s="28">
        <v>1</v>
      </c>
      <c r="E78" s="28">
        <v>3</v>
      </c>
      <c r="F78" s="28">
        <v>0.9</v>
      </c>
      <c r="G78" s="28">
        <v>1200</v>
      </c>
      <c r="H78" s="28">
        <v>25</v>
      </c>
    </row>
    <row r="79" spans="1:8" x14ac:dyDescent="0.3">
      <c r="A79">
        <v>74</v>
      </c>
      <c r="B79" t="s">
        <v>2216</v>
      </c>
      <c r="C79" s="28">
        <v>23180</v>
      </c>
      <c r="D79" s="28">
        <v>5.5</v>
      </c>
      <c r="E79" s="28">
        <v>9</v>
      </c>
      <c r="F79" s="28">
        <v>0.45</v>
      </c>
      <c r="G79" s="28">
        <v>48</v>
      </c>
      <c r="H79" s="28">
        <v>18</v>
      </c>
    </row>
    <row r="80" spans="1:8" x14ac:dyDescent="0.3">
      <c r="A80">
        <v>75</v>
      </c>
      <c r="B80" t="s">
        <v>2217</v>
      </c>
      <c r="C80" s="28">
        <v>1</v>
      </c>
      <c r="D80" s="28">
        <v>50</v>
      </c>
      <c r="E80" s="28">
        <v>10</v>
      </c>
      <c r="F80" s="28">
        <v>0.3</v>
      </c>
      <c r="G80" s="28">
        <v>5600</v>
      </c>
      <c r="H80" s="28">
        <v>18</v>
      </c>
    </row>
    <row r="81" spans="1:8" x14ac:dyDescent="0.3">
      <c r="A81">
        <v>76</v>
      </c>
      <c r="B81" t="s">
        <v>2218</v>
      </c>
      <c r="C81" s="28">
        <v>1</v>
      </c>
      <c r="D81" s="28">
        <v>50</v>
      </c>
      <c r="E81" s="28">
        <v>10</v>
      </c>
      <c r="F81" s="28">
        <v>0.3</v>
      </c>
      <c r="G81" s="28">
        <v>5600</v>
      </c>
      <c r="H81" s="28">
        <v>8.18</v>
      </c>
    </row>
    <row r="82" spans="1:8" x14ac:dyDescent="0.3">
      <c r="A82">
        <v>77</v>
      </c>
      <c r="B82" t="s">
        <v>2219</v>
      </c>
      <c r="C82" s="28">
        <v>1</v>
      </c>
      <c r="D82" s="28">
        <v>50</v>
      </c>
      <c r="E82" s="28">
        <v>10</v>
      </c>
      <c r="F82" s="28">
        <v>0.3</v>
      </c>
      <c r="G82" s="28">
        <v>5600</v>
      </c>
      <c r="H82" s="28">
        <v>8.18</v>
      </c>
    </row>
    <row r="83" spans="1:8" x14ac:dyDescent="0.3">
      <c r="A83">
        <v>78</v>
      </c>
      <c r="B83" t="s">
        <v>2220</v>
      </c>
      <c r="C83" s="28">
        <v>1</v>
      </c>
      <c r="D83" s="28">
        <v>50</v>
      </c>
      <c r="E83" s="28">
        <v>10</v>
      </c>
      <c r="F83" s="28">
        <v>0.3</v>
      </c>
      <c r="G83" s="28">
        <v>5600</v>
      </c>
      <c r="H83" s="28">
        <v>8.18</v>
      </c>
    </row>
    <row r="84" spans="1:8" x14ac:dyDescent="0.3">
      <c r="A84">
        <v>79</v>
      </c>
      <c r="B84" t="s">
        <v>599</v>
      </c>
      <c r="C84" s="28">
        <v>900000</v>
      </c>
      <c r="D84" s="28">
        <v>30</v>
      </c>
      <c r="E84" s="28">
        <v>37</v>
      </c>
      <c r="F84" s="28">
        <v>0.95</v>
      </c>
      <c r="G84" s="28">
        <v>1</v>
      </c>
      <c r="H84" s="28">
        <v>8</v>
      </c>
    </row>
    <row r="85" spans="1:8" x14ac:dyDescent="0.3">
      <c r="A85">
        <v>80</v>
      </c>
      <c r="B85" t="s">
        <v>600</v>
      </c>
      <c r="C85" s="28">
        <v>1540</v>
      </c>
      <c r="D85" s="28">
        <v>30</v>
      </c>
      <c r="E85" s="28">
        <v>4</v>
      </c>
      <c r="F85" s="28">
        <v>0.9</v>
      </c>
      <c r="G85" s="28">
        <v>300</v>
      </c>
      <c r="H85" s="28">
        <v>17</v>
      </c>
    </row>
    <row r="86" spans="1:8" x14ac:dyDescent="0.3">
      <c r="A86">
        <v>81</v>
      </c>
      <c r="B86" t="s">
        <v>601</v>
      </c>
      <c r="C86" s="28">
        <v>0</v>
      </c>
      <c r="D86" s="28">
        <v>120</v>
      </c>
      <c r="E86" s="28">
        <v>10</v>
      </c>
      <c r="F86" s="28">
        <v>0.05</v>
      </c>
      <c r="G86" s="28">
        <v>240000</v>
      </c>
      <c r="H86" s="28">
        <v>14</v>
      </c>
    </row>
    <row r="87" spans="1:8" x14ac:dyDescent="0.3">
      <c r="A87">
        <v>82</v>
      </c>
      <c r="B87" t="s">
        <v>602</v>
      </c>
      <c r="C87" s="28">
        <v>866000</v>
      </c>
      <c r="D87" s="28">
        <v>25</v>
      </c>
      <c r="E87" s="28">
        <v>7</v>
      </c>
      <c r="F87" s="28">
        <v>0.95</v>
      </c>
      <c r="G87" s="28">
        <v>20</v>
      </c>
      <c r="H87" s="28">
        <v>129</v>
      </c>
    </row>
    <row r="88" spans="1:8" x14ac:dyDescent="0.3">
      <c r="A88">
        <v>83</v>
      </c>
      <c r="B88" t="s">
        <v>2221</v>
      </c>
      <c r="C88" s="28">
        <v>23</v>
      </c>
      <c r="D88" s="28">
        <v>745</v>
      </c>
      <c r="E88" s="28">
        <v>7</v>
      </c>
      <c r="F88" s="28">
        <v>0.25</v>
      </c>
      <c r="G88" s="28">
        <v>7700</v>
      </c>
      <c r="H88" s="28">
        <v>24</v>
      </c>
    </row>
    <row r="89" spans="1:8" x14ac:dyDescent="0.3">
      <c r="A89">
        <v>84</v>
      </c>
      <c r="B89" t="s">
        <v>2222</v>
      </c>
      <c r="C89" s="28">
        <v>17000</v>
      </c>
      <c r="D89" s="28">
        <v>10000</v>
      </c>
      <c r="E89" s="28">
        <v>3</v>
      </c>
      <c r="F89" s="28">
        <v>0.95</v>
      </c>
      <c r="G89" s="28">
        <v>100000</v>
      </c>
      <c r="H89" s="28">
        <v>124</v>
      </c>
    </row>
    <row r="90" spans="1:8" x14ac:dyDescent="0.3">
      <c r="A90">
        <v>85</v>
      </c>
      <c r="B90" t="s">
        <v>2223</v>
      </c>
      <c r="C90" s="28">
        <v>74</v>
      </c>
      <c r="D90" s="28">
        <v>48</v>
      </c>
      <c r="E90" s="28">
        <v>15</v>
      </c>
      <c r="F90" s="28">
        <v>0.6</v>
      </c>
      <c r="G90" s="28">
        <v>462</v>
      </c>
      <c r="H90" s="28">
        <v>392</v>
      </c>
    </row>
    <row r="91" spans="1:8" x14ac:dyDescent="0.3">
      <c r="A91">
        <v>86</v>
      </c>
      <c r="B91" t="s">
        <v>2224</v>
      </c>
      <c r="C91" s="28">
        <v>2</v>
      </c>
      <c r="D91" s="28">
        <v>1</v>
      </c>
      <c r="E91" s="28">
        <v>0.5</v>
      </c>
      <c r="F91" s="28">
        <v>0.9</v>
      </c>
      <c r="G91" s="28">
        <v>157</v>
      </c>
      <c r="H91" s="28">
        <v>20</v>
      </c>
    </row>
    <row r="92" spans="1:8" x14ac:dyDescent="0.3">
      <c r="A92">
        <v>87</v>
      </c>
      <c r="B92" t="s">
        <v>603</v>
      </c>
      <c r="C92" s="28">
        <v>0</v>
      </c>
      <c r="D92" s="28">
        <v>1400</v>
      </c>
      <c r="E92" s="28">
        <v>5</v>
      </c>
      <c r="F92" s="28">
        <v>0.05</v>
      </c>
      <c r="G92" s="28">
        <v>12000</v>
      </c>
      <c r="H92" s="28">
        <v>14</v>
      </c>
    </row>
    <row r="93" spans="1:8" x14ac:dyDescent="0.3">
      <c r="A93">
        <v>88</v>
      </c>
      <c r="B93" t="s">
        <v>2225</v>
      </c>
      <c r="C93" s="28">
        <v>0</v>
      </c>
      <c r="D93" s="28">
        <v>8</v>
      </c>
      <c r="E93" s="28">
        <v>27</v>
      </c>
      <c r="F93" s="28">
        <v>0.05</v>
      </c>
      <c r="G93" s="28">
        <v>8700</v>
      </c>
      <c r="H93" s="28">
        <v>216</v>
      </c>
    </row>
    <row r="94" spans="1:8" x14ac:dyDescent="0.3">
      <c r="A94">
        <v>89</v>
      </c>
      <c r="B94" t="s">
        <v>2226</v>
      </c>
      <c r="C94" s="28">
        <v>52</v>
      </c>
      <c r="D94" s="28">
        <v>30</v>
      </c>
      <c r="E94" s="28">
        <v>10</v>
      </c>
      <c r="F94" s="28">
        <v>0.9</v>
      </c>
      <c r="G94" s="28">
        <v>30</v>
      </c>
      <c r="H94" s="28">
        <v>5</v>
      </c>
    </row>
    <row r="95" spans="1:8" x14ac:dyDescent="0.3">
      <c r="A95">
        <v>90</v>
      </c>
      <c r="B95" t="s">
        <v>2227</v>
      </c>
      <c r="C95" s="28">
        <v>2200</v>
      </c>
      <c r="D95" s="28">
        <v>20</v>
      </c>
      <c r="E95" s="28">
        <v>10</v>
      </c>
      <c r="F95" s="28">
        <v>0.9</v>
      </c>
      <c r="G95" s="28">
        <v>63</v>
      </c>
      <c r="H95" s="28">
        <v>5</v>
      </c>
    </row>
    <row r="96" spans="1:8" x14ac:dyDescent="0.3">
      <c r="A96">
        <v>91</v>
      </c>
      <c r="B96" t="s">
        <v>2228</v>
      </c>
      <c r="C96" s="28">
        <v>718000</v>
      </c>
      <c r="D96" s="28">
        <v>1000</v>
      </c>
      <c r="E96" s="28">
        <v>30</v>
      </c>
      <c r="F96" s="28">
        <v>0.95</v>
      </c>
      <c r="G96" s="28">
        <v>500</v>
      </c>
      <c r="H96" s="28">
        <v>112.76</v>
      </c>
    </row>
    <row r="97" spans="1:8" x14ac:dyDescent="0.3">
      <c r="A97">
        <v>92</v>
      </c>
      <c r="B97" t="s">
        <v>604</v>
      </c>
      <c r="C97" s="28">
        <v>52</v>
      </c>
      <c r="D97" s="28">
        <v>30</v>
      </c>
      <c r="E97" s="28">
        <v>23</v>
      </c>
      <c r="F97" s="28">
        <v>1</v>
      </c>
      <c r="G97" s="28">
        <v>30</v>
      </c>
      <c r="H97" s="28">
        <v>5</v>
      </c>
    </row>
    <row r="98" spans="1:8" x14ac:dyDescent="0.3">
      <c r="A98">
        <v>93</v>
      </c>
      <c r="B98" t="s">
        <v>2229</v>
      </c>
      <c r="C98" s="28">
        <v>12</v>
      </c>
      <c r="D98" s="28">
        <v>2.2000000000000002</v>
      </c>
      <c r="E98" s="28">
        <v>3</v>
      </c>
      <c r="F98" s="28">
        <v>0.5</v>
      </c>
      <c r="G98" s="28">
        <v>1345</v>
      </c>
      <c r="H98" s="28">
        <v>28.26</v>
      </c>
    </row>
    <row r="99" spans="1:8" x14ac:dyDescent="0.3">
      <c r="A99">
        <v>94</v>
      </c>
      <c r="B99" t="s">
        <v>2230</v>
      </c>
      <c r="C99" s="28">
        <v>6</v>
      </c>
      <c r="D99" s="28">
        <v>2</v>
      </c>
      <c r="E99" s="28">
        <v>10</v>
      </c>
      <c r="F99" s="28">
        <v>0.25</v>
      </c>
      <c r="G99" s="28">
        <v>6000</v>
      </c>
      <c r="H99" s="28">
        <v>2.87</v>
      </c>
    </row>
    <row r="100" spans="1:8" x14ac:dyDescent="0.3">
      <c r="A100">
        <v>95</v>
      </c>
      <c r="B100" t="s">
        <v>605</v>
      </c>
      <c r="C100" s="28">
        <v>900000</v>
      </c>
      <c r="D100" s="28">
        <v>30</v>
      </c>
      <c r="E100" s="28">
        <v>37</v>
      </c>
      <c r="F100" s="28">
        <v>0.95</v>
      </c>
      <c r="G100" s="28">
        <v>1</v>
      </c>
      <c r="H100" s="28">
        <v>15</v>
      </c>
    </row>
    <row r="101" spans="1:8" x14ac:dyDescent="0.3">
      <c r="A101">
        <v>96</v>
      </c>
      <c r="B101" t="s">
        <v>2231</v>
      </c>
      <c r="C101" s="28">
        <v>20</v>
      </c>
      <c r="D101" s="28">
        <v>10</v>
      </c>
      <c r="E101" s="28">
        <v>3</v>
      </c>
      <c r="F101" s="28">
        <v>0.4</v>
      </c>
      <c r="G101" s="28">
        <v>110</v>
      </c>
      <c r="H101" s="28">
        <v>234</v>
      </c>
    </row>
    <row r="102" spans="1:8" x14ac:dyDescent="0.3">
      <c r="A102">
        <v>97</v>
      </c>
      <c r="B102" t="s">
        <v>2232</v>
      </c>
      <c r="C102" s="28">
        <v>1400000</v>
      </c>
      <c r="D102" s="28">
        <v>1000</v>
      </c>
      <c r="E102" s="28">
        <v>30</v>
      </c>
      <c r="F102" s="28">
        <v>0.95</v>
      </c>
      <c r="G102" s="28">
        <v>100000</v>
      </c>
      <c r="H102" s="28">
        <v>7</v>
      </c>
    </row>
    <row r="103" spans="1:8" x14ac:dyDescent="0.3">
      <c r="A103">
        <v>98</v>
      </c>
      <c r="B103" t="s">
        <v>2233</v>
      </c>
      <c r="C103" s="28">
        <v>488</v>
      </c>
      <c r="D103" s="28">
        <v>26</v>
      </c>
      <c r="E103" s="28">
        <v>5</v>
      </c>
      <c r="F103" s="28">
        <v>0.6</v>
      </c>
      <c r="G103" s="28">
        <v>70</v>
      </c>
      <c r="H103" s="28">
        <v>30.06</v>
      </c>
    </row>
    <row r="104" spans="1:8" x14ac:dyDescent="0.3">
      <c r="A104">
        <v>99</v>
      </c>
      <c r="B104" t="s">
        <v>606</v>
      </c>
      <c r="C104" s="28">
        <v>1</v>
      </c>
      <c r="D104" s="28">
        <v>75</v>
      </c>
      <c r="E104" s="28">
        <v>18</v>
      </c>
      <c r="F104" s="28">
        <v>0.4</v>
      </c>
      <c r="G104" s="28">
        <v>23000</v>
      </c>
      <c r="H104" s="28">
        <v>18</v>
      </c>
    </row>
    <row r="105" spans="1:8" x14ac:dyDescent="0.3">
      <c r="A105">
        <v>100</v>
      </c>
      <c r="B105" t="s">
        <v>2234</v>
      </c>
      <c r="C105" s="28">
        <v>17</v>
      </c>
      <c r="D105" s="28">
        <v>40</v>
      </c>
      <c r="E105" s="28">
        <v>2.5</v>
      </c>
      <c r="F105" s="28">
        <v>0.6</v>
      </c>
      <c r="G105" s="28">
        <v>870</v>
      </c>
      <c r="H105" s="28">
        <v>28</v>
      </c>
    </row>
    <row r="106" spans="1:8" x14ac:dyDescent="0.3">
      <c r="A106">
        <v>101</v>
      </c>
      <c r="B106" t="s">
        <v>2235</v>
      </c>
      <c r="C106" s="28">
        <v>130000</v>
      </c>
      <c r="D106" s="28">
        <v>6.4</v>
      </c>
      <c r="E106" s="28">
        <v>3</v>
      </c>
      <c r="F106" s="28">
        <v>0.95</v>
      </c>
      <c r="G106" s="28">
        <v>15</v>
      </c>
      <c r="H106" s="28">
        <v>42</v>
      </c>
    </row>
    <row r="107" spans="1:8" x14ac:dyDescent="0.3">
      <c r="A107">
        <v>102</v>
      </c>
      <c r="B107" t="s">
        <v>607</v>
      </c>
      <c r="C107" s="28">
        <v>260</v>
      </c>
      <c r="D107" s="28">
        <v>30</v>
      </c>
      <c r="E107" s="28">
        <v>5</v>
      </c>
      <c r="F107" s="28">
        <v>0.8</v>
      </c>
      <c r="G107" s="28">
        <v>210</v>
      </c>
      <c r="H107" s="28">
        <v>59</v>
      </c>
    </row>
    <row r="108" spans="1:8" x14ac:dyDescent="0.3">
      <c r="A108">
        <v>103</v>
      </c>
      <c r="B108" t="s">
        <v>608</v>
      </c>
      <c r="C108" s="28">
        <v>200</v>
      </c>
      <c r="D108" s="28">
        <v>12</v>
      </c>
      <c r="E108" s="28">
        <v>12</v>
      </c>
      <c r="F108" s="28">
        <v>1</v>
      </c>
      <c r="G108" s="28">
        <v>30</v>
      </c>
      <c r="H108" s="28">
        <v>15</v>
      </c>
    </row>
    <row r="109" spans="1:8" x14ac:dyDescent="0.3">
      <c r="A109">
        <v>104</v>
      </c>
      <c r="B109" t="s">
        <v>609</v>
      </c>
      <c r="C109" s="28">
        <v>8</v>
      </c>
      <c r="D109" s="28">
        <v>0.6</v>
      </c>
      <c r="E109" s="28">
        <v>0.5</v>
      </c>
      <c r="F109" s="28">
        <v>0.5</v>
      </c>
      <c r="G109" s="28">
        <v>2000</v>
      </c>
      <c r="H109" s="28">
        <v>61</v>
      </c>
    </row>
    <row r="110" spans="1:8" x14ac:dyDescent="0.3">
      <c r="A110">
        <v>105</v>
      </c>
      <c r="B110" t="s">
        <v>610</v>
      </c>
      <c r="C110" s="28">
        <v>130</v>
      </c>
      <c r="D110" s="28">
        <v>20</v>
      </c>
      <c r="E110" s="28">
        <v>8</v>
      </c>
      <c r="F110" s="28">
        <v>0.95</v>
      </c>
      <c r="G110" s="28">
        <v>300</v>
      </c>
      <c r="H110" s="28">
        <v>5</v>
      </c>
    </row>
    <row r="111" spans="1:8" x14ac:dyDescent="0.3">
      <c r="A111">
        <v>106</v>
      </c>
      <c r="B111" t="s">
        <v>611</v>
      </c>
      <c r="C111" s="28">
        <v>1</v>
      </c>
      <c r="D111" s="28">
        <v>15</v>
      </c>
      <c r="E111" s="28">
        <v>5</v>
      </c>
      <c r="F111" s="28">
        <v>0.6</v>
      </c>
      <c r="G111" s="28">
        <v>4000</v>
      </c>
      <c r="H111" s="28">
        <v>18</v>
      </c>
    </row>
    <row r="112" spans="1:8" x14ac:dyDescent="0.3">
      <c r="A112">
        <v>107</v>
      </c>
      <c r="B112" t="s">
        <v>2236</v>
      </c>
      <c r="C112" s="28">
        <v>375</v>
      </c>
      <c r="D112" s="28">
        <v>18</v>
      </c>
      <c r="E112" s="28">
        <v>3</v>
      </c>
      <c r="F112" s="28">
        <v>0.75</v>
      </c>
      <c r="G112" s="28">
        <v>223</v>
      </c>
      <c r="H112" s="28">
        <v>12.68</v>
      </c>
    </row>
    <row r="113" spans="1:8" x14ac:dyDescent="0.3">
      <c r="A113">
        <v>108</v>
      </c>
      <c r="B113" t="s">
        <v>612</v>
      </c>
      <c r="C113" s="28">
        <v>1</v>
      </c>
      <c r="D113" s="28">
        <v>150</v>
      </c>
      <c r="E113" s="28">
        <v>7</v>
      </c>
      <c r="F113" s="28">
        <v>0.65</v>
      </c>
      <c r="G113" s="28">
        <v>10000</v>
      </c>
      <c r="H113" s="28">
        <v>15</v>
      </c>
    </row>
    <row r="114" spans="1:8" x14ac:dyDescent="0.3">
      <c r="A114">
        <v>109</v>
      </c>
      <c r="B114" t="s">
        <v>2237</v>
      </c>
      <c r="C114" s="28">
        <v>200</v>
      </c>
      <c r="D114" s="28">
        <v>37</v>
      </c>
      <c r="E114" s="28">
        <v>5</v>
      </c>
      <c r="F114" s="28">
        <v>0.65</v>
      </c>
      <c r="G114" s="28">
        <v>316</v>
      </c>
      <c r="H114" s="28">
        <v>14</v>
      </c>
    </row>
    <row r="115" spans="1:8" x14ac:dyDescent="0.3">
      <c r="A115">
        <v>110</v>
      </c>
      <c r="B115" t="s">
        <v>613</v>
      </c>
      <c r="C115" s="28">
        <v>34</v>
      </c>
      <c r="D115" s="28">
        <v>130</v>
      </c>
      <c r="E115" s="28">
        <v>15</v>
      </c>
      <c r="F115" s="28">
        <v>0.5</v>
      </c>
      <c r="G115" s="28">
        <v>353</v>
      </c>
      <c r="H115" s="28">
        <v>32</v>
      </c>
    </row>
    <row r="116" spans="1:8" x14ac:dyDescent="0.3">
      <c r="A116">
        <v>111</v>
      </c>
      <c r="B116" t="s">
        <v>2238</v>
      </c>
      <c r="C116" s="28">
        <v>4</v>
      </c>
      <c r="D116" s="28">
        <v>74</v>
      </c>
      <c r="E116" s="28">
        <v>15</v>
      </c>
      <c r="F116" s="28">
        <v>0.4</v>
      </c>
      <c r="G116" s="28">
        <v>2550</v>
      </c>
      <c r="H116" s="28">
        <v>18</v>
      </c>
    </row>
    <row r="117" spans="1:8" x14ac:dyDescent="0.3">
      <c r="A117">
        <v>112</v>
      </c>
      <c r="B117" t="s">
        <v>614</v>
      </c>
      <c r="C117" s="28">
        <v>500000</v>
      </c>
      <c r="D117" s="28">
        <v>158</v>
      </c>
      <c r="E117" s="28">
        <v>30</v>
      </c>
      <c r="F117" s="28">
        <v>0.95</v>
      </c>
      <c r="G117" s="28">
        <v>53</v>
      </c>
      <c r="H117" s="28">
        <v>251</v>
      </c>
    </row>
    <row r="118" spans="1:8" x14ac:dyDescent="0.3">
      <c r="A118">
        <v>113</v>
      </c>
      <c r="B118" t="s">
        <v>615</v>
      </c>
      <c r="C118" s="28">
        <v>21</v>
      </c>
      <c r="D118" s="28">
        <v>18</v>
      </c>
      <c r="E118" s="28">
        <v>3</v>
      </c>
      <c r="F118" s="28">
        <v>0.9</v>
      </c>
      <c r="G118" s="28">
        <v>7150</v>
      </c>
      <c r="H118" s="28">
        <v>15</v>
      </c>
    </row>
    <row r="119" spans="1:8" x14ac:dyDescent="0.3">
      <c r="A119">
        <v>114</v>
      </c>
      <c r="B119" t="s">
        <v>616</v>
      </c>
      <c r="C119" s="28">
        <v>200000</v>
      </c>
      <c r="D119" s="28">
        <v>10</v>
      </c>
      <c r="E119" s="28">
        <v>3</v>
      </c>
      <c r="F119" s="28">
        <v>0.95</v>
      </c>
      <c r="G119" s="28">
        <v>20</v>
      </c>
      <c r="H119" s="28">
        <v>14</v>
      </c>
    </row>
    <row r="120" spans="1:8" x14ac:dyDescent="0.3">
      <c r="A120">
        <v>115</v>
      </c>
      <c r="B120" t="s">
        <v>617</v>
      </c>
      <c r="C120" s="28">
        <v>1000</v>
      </c>
      <c r="D120" s="28">
        <v>180</v>
      </c>
      <c r="E120" s="28">
        <v>99</v>
      </c>
      <c r="F120" s="28">
        <v>0.9</v>
      </c>
      <c r="G120" s="28">
        <v>70</v>
      </c>
      <c r="H120" s="28">
        <v>5</v>
      </c>
    </row>
    <row r="121" spans="1:8" x14ac:dyDescent="0.3">
      <c r="A121">
        <v>116</v>
      </c>
      <c r="B121" t="s">
        <v>618</v>
      </c>
      <c r="C121" s="28">
        <v>270</v>
      </c>
      <c r="D121" s="28">
        <v>86</v>
      </c>
      <c r="E121" s="28">
        <v>1</v>
      </c>
      <c r="F121" s="28">
        <v>0.9</v>
      </c>
      <c r="G121" s="28">
        <v>100000</v>
      </c>
      <c r="H121" s="28">
        <v>8</v>
      </c>
    </row>
    <row r="122" spans="1:8" x14ac:dyDescent="0.3">
      <c r="A122">
        <v>117</v>
      </c>
      <c r="B122" t="s">
        <v>2239</v>
      </c>
      <c r="C122" s="28">
        <v>6</v>
      </c>
      <c r="D122" s="28">
        <v>21</v>
      </c>
      <c r="E122" s="28">
        <v>5</v>
      </c>
      <c r="F122" s="28">
        <v>0.8</v>
      </c>
      <c r="G122" s="28">
        <v>527</v>
      </c>
      <c r="H122" s="28">
        <v>59.35</v>
      </c>
    </row>
    <row r="123" spans="1:8" x14ac:dyDescent="0.3">
      <c r="A123">
        <v>118</v>
      </c>
      <c r="B123" t="s">
        <v>2240</v>
      </c>
      <c r="C123" s="28">
        <v>350</v>
      </c>
      <c r="D123" s="28">
        <v>11</v>
      </c>
      <c r="E123" s="28">
        <v>2</v>
      </c>
      <c r="F123" s="28">
        <v>0.55000000000000004</v>
      </c>
      <c r="G123" s="28">
        <v>46</v>
      </c>
      <c r="H123" s="28">
        <v>47.58</v>
      </c>
    </row>
    <row r="124" spans="1:8" x14ac:dyDescent="0.3">
      <c r="A124">
        <v>119</v>
      </c>
      <c r="B124" t="s">
        <v>2241</v>
      </c>
      <c r="C124" s="28">
        <v>1</v>
      </c>
      <c r="D124" s="28">
        <v>21</v>
      </c>
      <c r="E124" s="28">
        <v>4</v>
      </c>
      <c r="F124" s="28">
        <v>0.4</v>
      </c>
      <c r="G124" s="28">
        <v>3000</v>
      </c>
      <c r="H124" s="28">
        <v>324.31</v>
      </c>
    </row>
    <row r="125" spans="1:8" x14ac:dyDescent="0.3">
      <c r="A125">
        <v>120</v>
      </c>
      <c r="B125" t="s">
        <v>2242</v>
      </c>
      <c r="C125" s="28">
        <v>32000</v>
      </c>
      <c r="D125" s="28">
        <v>20</v>
      </c>
      <c r="E125" s="28">
        <v>30</v>
      </c>
      <c r="F125" s="28">
        <v>0.75</v>
      </c>
      <c r="G125" s="28">
        <v>36</v>
      </c>
      <c r="H125" s="28">
        <v>712</v>
      </c>
    </row>
    <row r="126" spans="1:8" x14ac:dyDescent="0.3">
      <c r="A126">
        <v>121</v>
      </c>
      <c r="B126" t="s">
        <v>2243</v>
      </c>
      <c r="C126" s="28">
        <v>0</v>
      </c>
      <c r="D126" s="28">
        <v>30</v>
      </c>
      <c r="E126" s="28">
        <v>3</v>
      </c>
      <c r="F126" s="28">
        <v>0.8</v>
      </c>
      <c r="G126" s="28">
        <v>100000</v>
      </c>
      <c r="H126" s="28">
        <v>162.57</v>
      </c>
    </row>
    <row r="127" spans="1:8" x14ac:dyDescent="0.3">
      <c r="A127">
        <v>122</v>
      </c>
      <c r="B127" t="s">
        <v>2244</v>
      </c>
      <c r="C127" s="28">
        <v>28</v>
      </c>
      <c r="D127" s="28">
        <v>44</v>
      </c>
      <c r="E127" s="28">
        <v>2</v>
      </c>
      <c r="F127" s="28">
        <v>0.65</v>
      </c>
      <c r="G127" s="28">
        <v>940</v>
      </c>
      <c r="H127" s="28">
        <v>8.3699999999999992</v>
      </c>
    </row>
    <row r="128" spans="1:8" x14ac:dyDescent="0.3">
      <c r="A128">
        <v>123</v>
      </c>
      <c r="B128" t="s">
        <v>2245</v>
      </c>
      <c r="C128" s="28">
        <v>2400</v>
      </c>
      <c r="D128" s="28">
        <v>12</v>
      </c>
      <c r="E128" s="28">
        <v>3</v>
      </c>
      <c r="F128" s="28">
        <v>0.8</v>
      </c>
      <c r="G128" s="28">
        <v>45</v>
      </c>
      <c r="H128" s="28">
        <v>100.69</v>
      </c>
    </row>
    <row r="129" spans="1:8" x14ac:dyDescent="0.3">
      <c r="A129">
        <v>124</v>
      </c>
      <c r="B129" t="s">
        <v>2246</v>
      </c>
      <c r="C129" s="28">
        <v>4600</v>
      </c>
      <c r="D129" s="28">
        <v>413</v>
      </c>
      <c r="E129" s="28">
        <v>3</v>
      </c>
      <c r="F129" s="28">
        <v>0.8</v>
      </c>
      <c r="G129" s="28">
        <v>3</v>
      </c>
      <c r="H129" s="28">
        <v>35</v>
      </c>
    </row>
    <row r="130" spans="1:8" x14ac:dyDescent="0.3">
      <c r="A130">
        <v>125</v>
      </c>
      <c r="B130" t="s">
        <v>2247</v>
      </c>
      <c r="C130" s="28">
        <v>1</v>
      </c>
      <c r="D130" s="28">
        <v>23</v>
      </c>
      <c r="E130" s="28">
        <v>3</v>
      </c>
      <c r="F130" s="28">
        <v>0.8</v>
      </c>
      <c r="G130" s="28">
        <v>16000</v>
      </c>
      <c r="H130" s="28">
        <v>71</v>
      </c>
    </row>
    <row r="131" spans="1:8" x14ac:dyDescent="0.3">
      <c r="A131">
        <v>126</v>
      </c>
      <c r="B131" t="s">
        <v>2248</v>
      </c>
      <c r="C131" s="28">
        <v>700</v>
      </c>
      <c r="D131" s="28">
        <v>275</v>
      </c>
      <c r="E131" s="28">
        <v>3</v>
      </c>
      <c r="F131" s="28">
        <v>0.8</v>
      </c>
      <c r="G131" s="28">
        <v>32</v>
      </c>
      <c r="H131" s="28">
        <v>81.27</v>
      </c>
    </row>
    <row r="132" spans="1:8" x14ac:dyDescent="0.3">
      <c r="A132">
        <v>127</v>
      </c>
      <c r="B132" t="s">
        <v>2249</v>
      </c>
      <c r="C132" s="28">
        <v>700</v>
      </c>
      <c r="D132" s="28">
        <v>275</v>
      </c>
      <c r="E132" s="28">
        <v>3</v>
      </c>
      <c r="F132" s="28">
        <v>0.8</v>
      </c>
      <c r="G132" s="28">
        <v>32</v>
      </c>
      <c r="H132" s="28">
        <v>59</v>
      </c>
    </row>
    <row r="133" spans="1:8" x14ac:dyDescent="0.3">
      <c r="A133">
        <v>128</v>
      </c>
      <c r="B133" t="s">
        <v>2250</v>
      </c>
      <c r="C133" s="28">
        <v>20</v>
      </c>
      <c r="D133" s="28">
        <v>14</v>
      </c>
      <c r="E133" s="28">
        <v>3</v>
      </c>
      <c r="F133" s="28">
        <v>0.9</v>
      </c>
      <c r="G133" s="28">
        <v>668</v>
      </c>
      <c r="H133" s="28">
        <v>4.53</v>
      </c>
    </row>
    <row r="134" spans="1:8" x14ac:dyDescent="0.3">
      <c r="A134">
        <v>129</v>
      </c>
      <c r="B134" t="s">
        <v>2251</v>
      </c>
      <c r="C134" s="28">
        <v>7</v>
      </c>
      <c r="D134" s="28">
        <v>423</v>
      </c>
      <c r="E134" s="28">
        <v>2.5</v>
      </c>
      <c r="F134" s="28">
        <v>0.05</v>
      </c>
      <c r="G134" s="28">
        <v>1355</v>
      </c>
      <c r="H134" s="28">
        <v>9</v>
      </c>
    </row>
    <row r="135" spans="1:8" x14ac:dyDescent="0.3">
      <c r="A135">
        <v>130</v>
      </c>
      <c r="B135" t="s">
        <v>2252</v>
      </c>
      <c r="C135" s="28">
        <v>0</v>
      </c>
      <c r="D135" s="28">
        <v>43</v>
      </c>
      <c r="E135" s="28">
        <v>5</v>
      </c>
      <c r="F135" s="28">
        <v>0.4</v>
      </c>
      <c r="G135" s="28">
        <v>180000</v>
      </c>
      <c r="H135" s="28">
        <v>532</v>
      </c>
    </row>
    <row r="136" spans="1:8" x14ac:dyDescent="0.3">
      <c r="A136">
        <v>131</v>
      </c>
      <c r="B136" t="s">
        <v>2253</v>
      </c>
      <c r="C136" s="28">
        <v>0</v>
      </c>
      <c r="D136" s="28">
        <v>5</v>
      </c>
      <c r="E136" s="28">
        <v>8</v>
      </c>
      <c r="F136" s="28">
        <v>0.3</v>
      </c>
      <c r="G136" s="28">
        <v>550</v>
      </c>
      <c r="H136" s="28">
        <v>80</v>
      </c>
    </row>
    <row r="137" spans="1:8" x14ac:dyDescent="0.3">
      <c r="A137">
        <v>132</v>
      </c>
      <c r="B137" t="s">
        <v>619</v>
      </c>
      <c r="C137" s="28">
        <v>42</v>
      </c>
      <c r="D137" s="28">
        <v>372</v>
      </c>
      <c r="E137" s="28">
        <v>30</v>
      </c>
      <c r="F137" s="28">
        <v>0.45</v>
      </c>
      <c r="G137" s="28">
        <v>476</v>
      </c>
      <c r="H137" s="28">
        <v>2.83</v>
      </c>
    </row>
    <row r="138" spans="1:8" x14ac:dyDescent="0.3">
      <c r="A138">
        <v>133</v>
      </c>
      <c r="B138" t="s">
        <v>2254</v>
      </c>
      <c r="C138" s="28">
        <v>1</v>
      </c>
      <c r="D138" s="28">
        <v>68</v>
      </c>
      <c r="E138" s="28">
        <v>4</v>
      </c>
      <c r="F138" s="28">
        <v>0.05</v>
      </c>
      <c r="G138" s="28">
        <v>7207</v>
      </c>
      <c r="H138" s="28">
        <v>24</v>
      </c>
    </row>
    <row r="139" spans="1:8" x14ac:dyDescent="0.3">
      <c r="A139">
        <v>134</v>
      </c>
      <c r="B139" t="s">
        <v>2255</v>
      </c>
      <c r="C139" s="28">
        <v>13</v>
      </c>
      <c r="D139" s="28">
        <v>45</v>
      </c>
      <c r="E139" s="28">
        <v>3</v>
      </c>
      <c r="F139" s="28">
        <v>0.8</v>
      </c>
      <c r="G139" s="28">
        <v>750</v>
      </c>
      <c r="H139" s="28">
        <v>97</v>
      </c>
    </row>
    <row r="140" spans="1:8" x14ac:dyDescent="0.3">
      <c r="A140">
        <v>135</v>
      </c>
      <c r="B140" t="s">
        <v>2256</v>
      </c>
      <c r="C140" s="28">
        <v>1790000</v>
      </c>
      <c r="D140" s="28">
        <v>7</v>
      </c>
      <c r="E140" s="28">
        <v>4</v>
      </c>
      <c r="F140" s="28">
        <v>0.95</v>
      </c>
      <c r="G140" s="28">
        <v>63</v>
      </c>
      <c r="H140" s="28">
        <v>67</v>
      </c>
    </row>
    <row r="141" spans="1:8" x14ac:dyDescent="0.3">
      <c r="A141">
        <v>136</v>
      </c>
      <c r="B141" t="s">
        <v>2257</v>
      </c>
      <c r="C141" s="28">
        <v>57900</v>
      </c>
      <c r="D141" s="28">
        <v>30</v>
      </c>
      <c r="E141" s="28">
        <v>3</v>
      </c>
      <c r="F141" s="28">
        <v>0.8</v>
      </c>
      <c r="G141" s="28">
        <v>86</v>
      </c>
      <c r="H141" s="28">
        <v>52.47</v>
      </c>
    </row>
    <row r="142" spans="1:8" x14ac:dyDescent="0.3">
      <c r="A142">
        <v>137</v>
      </c>
      <c r="B142" t="s">
        <v>620</v>
      </c>
      <c r="C142" s="28">
        <v>13600</v>
      </c>
      <c r="D142" s="28">
        <v>125</v>
      </c>
      <c r="E142" s="28">
        <v>30</v>
      </c>
      <c r="F142" s="28">
        <v>0.95</v>
      </c>
      <c r="G142" s="28">
        <v>765</v>
      </c>
      <c r="H142" s="28">
        <v>37</v>
      </c>
    </row>
    <row r="143" spans="1:8" x14ac:dyDescent="0.3">
      <c r="A143">
        <v>138</v>
      </c>
      <c r="B143" t="s">
        <v>2258</v>
      </c>
      <c r="C143" s="28">
        <v>19</v>
      </c>
      <c r="D143" s="28">
        <v>2</v>
      </c>
      <c r="E143" s="28">
        <v>4</v>
      </c>
      <c r="F143" s="28">
        <v>0.7</v>
      </c>
      <c r="G143" s="28">
        <v>351</v>
      </c>
      <c r="H143" s="28">
        <v>50.46</v>
      </c>
    </row>
    <row r="144" spans="1:8" x14ac:dyDescent="0.3">
      <c r="A144">
        <v>139</v>
      </c>
      <c r="B144" t="s">
        <v>2259</v>
      </c>
      <c r="C144" s="28">
        <v>240</v>
      </c>
      <c r="D144" s="28">
        <v>15</v>
      </c>
      <c r="E144" s="28">
        <v>3</v>
      </c>
      <c r="F144" s="28">
        <v>0.4</v>
      </c>
      <c r="G144" s="28">
        <v>170</v>
      </c>
      <c r="H144" s="28">
        <v>14.4</v>
      </c>
    </row>
    <row r="145" spans="1:8" x14ac:dyDescent="0.3">
      <c r="A145">
        <v>140</v>
      </c>
      <c r="B145" t="s">
        <v>621</v>
      </c>
      <c r="C145" s="28">
        <v>10</v>
      </c>
      <c r="D145" s="28">
        <v>20</v>
      </c>
      <c r="E145" s="28">
        <v>8</v>
      </c>
      <c r="F145" s="28">
        <v>0.7</v>
      </c>
      <c r="G145" s="28">
        <v>1000</v>
      </c>
      <c r="H145" s="28">
        <v>146</v>
      </c>
    </row>
    <row r="146" spans="1:8" x14ac:dyDescent="0.3">
      <c r="A146">
        <v>141</v>
      </c>
      <c r="B146" t="s">
        <v>622</v>
      </c>
      <c r="C146" s="28">
        <v>6</v>
      </c>
      <c r="D146" s="28">
        <v>1</v>
      </c>
      <c r="E146" s="28">
        <v>99</v>
      </c>
      <c r="F146" s="28">
        <v>0.9</v>
      </c>
      <c r="G146" s="28">
        <v>3220</v>
      </c>
      <c r="H146" s="28">
        <v>80</v>
      </c>
    </row>
    <row r="147" spans="1:8" x14ac:dyDescent="0.3">
      <c r="A147">
        <v>142</v>
      </c>
      <c r="B147" t="s">
        <v>2260</v>
      </c>
      <c r="C147" s="28">
        <v>80</v>
      </c>
      <c r="D147" s="28">
        <v>24</v>
      </c>
      <c r="E147" s="28">
        <v>3</v>
      </c>
      <c r="F147" s="28">
        <v>0.8</v>
      </c>
      <c r="G147" s="28">
        <v>276</v>
      </c>
      <c r="H147" s="28">
        <v>9307</v>
      </c>
    </row>
    <row r="148" spans="1:8" x14ac:dyDescent="0.3">
      <c r="A148">
        <v>143</v>
      </c>
      <c r="B148" t="s">
        <v>623</v>
      </c>
      <c r="C148" s="28">
        <v>9000</v>
      </c>
      <c r="D148" s="28">
        <v>26</v>
      </c>
      <c r="E148" s="28">
        <v>2</v>
      </c>
      <c r="F148" s="28">
        <v>0.95</v>
      </c>
      <c r="G148" s="28">
        <v>36</v>
      </c>
      <c r="H148" s="28">
        <v>7</v>
      </c>
    </row>
    <row r="149" spans="1:8" x14ac:dyDescent="0.3">
      <c r="A149">
        <v>144</v>
      </c>
      <c r="B149" t="s">
        <v>2261</v>
      </c>
      <c r="C149" s="28">
        <v>75</v>
      </c>
      <c r="D149" s="28">
        <v>81</v>
      </c>
      <c r="E149" s="28">
        <v>15</v>
      </c>
      <c r="F149" s="28">
        <v>0.6</v>
      </c>
      <c r="G149" s="28">
        <v>496</v>
      </c>
      <c r="H149" s="28">
        <v>7.38</v>
      </c>
    </row>
    <row r="150" spans="1:8" x14ac:dyDescent="0.3">
      <c r="A150">
        <v>145</v>
      </c>
      <c r="B150" t="s">
        <v>2262</v>
      </c>
      <c r="C150" s="28">
        <v>1</v>
      </c>
      <c r="D150" s="28">
        <v>30.5</v>
      </c>
      <c r="E150" s="28">
        <v>3.3</v>
      </c>
      <c r="F150" s="28">
        <v>0.65</v>
      </c>
      <c r="G150" s="28">
        <v>9930</v>
      </c>
      <c r="H150" s="28">
        <v>26.97</v>
      </c>
    </row>
    <row r="151" spans="1:8" x14ac:dyDescent="0.3">
      <c r="A151">
        <v>146</v>
      </c>
      <c r="B151" t="s">
        <v>2263</v>
      </c>
      <c r="C151" s="28">
        <v>3</v>
      </c>
      <c r="D151" s="28">
        <v>67</v>
      </c>
      <c r="E151" s="28">
        <v>3</v>
      </c>
      <c r="F151" s="28">
        <v>0.65</v>
      </c>
      <c r="G151" s="28">
        <v>1910</v>
      </c>
      <c r="H151" s="28">
        <v>2.2799999999999998</v>
      </c>
    </row>
    <row r="152" spans="1:8" x14ac:dyDescent="0.3">
      <c r="A152">
        <v>147</v>
      </c>
      <c r="B152" t="s">
        <v>624</v>
      </c>
      <c r="C152" s="28">
        <v>0</v>
      </c>
      <c r="D152" s="28">
        <v>128</v>
      </c>
      <c r="E152" s="28">
        <v>6</v>
      </c>
      <c r="F152" s="28">
        <v>0.05</v>
      </c>
      <c r="G152" s="28">
        <v>76000</v>
      </c>
      <c r="H152" s="28">
        <v>16</v>
      </c>
    </row>
    <row r="153" spans="1:8" x14ac:dyDescent="0.3">
      <c r="A153">
        <v>148</v>
      </c>
      <c r="B153" t="s">
        <v>625</v>
      </c>
      <c r="C153" s="28">
        <v>915</v>
      </c>
      <c r="D153" s="28">
        <v>6</v>
      </c>
      <c r="E153" s="28">
        <v>4</v>
      </c>
      <c r="F153" s="28">
        <v>0.9</v>
      </c>
      <c r="G153" s="28">
        <v>100</v>
      </c>
      <c r="H153" s="28">
        <v>15</v>
      </c>
    </row>
    <row r="154" spans="1:8" x14ac:dyDescent="0.3">
      <c r="A154">
        <v>149</v>
      </c>
      <c r="B154" t="s">
        <v>2264</v>
      </c>
      <c r="C154" s="28">
        <v>0</v>
      </c>
      <c r="D154" s="28">
        <v>25</v>
      </c>
      <c r="E154" s="28">
        <v>7</v>
      </c>
      <c r="F154" s="28">
        <v>0.4</v>
      </c>
      <c r="G154" s="28">
        <v>260000</v>
      </c>
      <c r="H154" s="28">
        <v>391</v>
      </c>
    </row>
    <row r="155" spans="1:8" x14ac:dyDescent="0.3">
      <c r="A155">
        <v>150</v>
      </c>
      <c r="B155" t="s">
        <v>626</v>
      </c>
      <c r="C155" s="28">
        <v>4</v>
      </c>
      <c r="D155" s="28">
        <v>10</v>
      </c>
      <c r="E155" s="28">
        <v>9</v>
      </c>
      <c r="F155" s="28">
        <v>0.65</v>
      </c>
      <c r="G155" s="28">
        <v>198</v>
      </c>
      <c r="H155" s="28">
        <v>13</v>
      </c>
    </row>
    <row r="156" spans="1:8" x14ac:dyDescent="0.3">
      <c r="A156">
        <v>151</v>
      </c>
      <c r="B156" t="s">
        <v>627</v>
      </c>
      <c r="C156" s="28">
        <v>1000000</v>
      </c>
      <c r="D156" s="28">
        <v>10</v>
      </c>
      <c r="E156" s="28">
        <v>3</v>
      </c>
      <c r="F156" s="28">
        <v>0.95</v>
      </c>
      <c r="G156" s="28">
        <v>10</v>
      </c>
      <c r="H156" s="28">
        <v>99.11</v>
      </c>
    </row>
    <row r="157" spans="1:8" x14ac:dyDescent="0.3">
      <c r="A157">
        <v>152</v>
      </c>
      <c r="B157" t="s">
        <v>628</v>
      </c>
      <c r="C157" s="28">
        <v>230</v>
      </c>
      <c r="D157" s="28">
        <v>10</v>
      </c>
      <c r="E157" s="28">
        <v>99</v>
      </c>
      <c r="F157" s="28">
        <v>0.9</v>
      </c>
      <c r="G157" s="28">
        <v>240</v>
      </c>
      <c r="H157" s="28">
        <v>15</v>
      </c>
    </row>
    <row r="158" spans="1:8" x14ac:dyDescent="0.3">
      <c r="A158">
        <v>153</v>
      </c>
      <c r="B158" t="s">
        <v>2265</v>
      </c>
      <c r="C158" s="28">
        <v>11</v>
      </c>
      <c r="D158" s="28">
        <v>14</v>
      </c>
      <c r="E158" s="28">
        <v>3</v>
      </c>
      <c r="F158" s="28">
        <v>0.65</v>
      </c>
      <c r="G158" s="28">
        <v>7600</v>
      </c>
      <c r="H158" s="28">
        <v>21.25</v>
      </c>
    </row>
    <row r="159" spans="1:8" x14ac:dyDescent="0.3">
      <c r="A159">
        <v>154</v>
      </c>
      <c r="B159" t="s">
        <v>629</v>
      </c>
      <c r="C159" s="28">
        <v>3</v>
      </c>
      <c r="D159" s="28">
        <v>123</v>
      </c>
      <c r="E159" s="28">
        <v>5</v>
      </c>
      <c r="F159" s="28">
        <v>0.45</v>
      </c>
      <c r="G159" s="28">
        <v>161</v>
      </c>
      <c r="H159" s="28">
        <v>7</v>
      </c>
    </row>
    <row r="160" spans="1:8" x14ac:dyDescent="0.3">
      <c r="A160">
        <v>155</v>
      </c>
      <c r="B160" t="s">
        <v>630</v>
      </c>
      <c r="C160" s="28">
        <v>69</v>
      </c>
      <c r="D160" s="28">
        <v>40.5</v>
      </c>
      <c r="E160" s="28">
        <v>5</v>
      </c>
      <c r="F160" s="28">
        <v>0.65</v>
      </c>
      <c r="G160" s="28">
        <v>155</v>
      </c>
      <c r="H160" s="28">
        <v>14</v>
      </c>
    </row>
    <row r="161" spans="1:8" x14ac:dyDescent="0.3">
      <c r="A161">
        <v>156</v>
      </c>
      <c r="B161" t="s">
        <v>2266</v>
      </c>
      <c r="C161" s="28">
        <v>0</v>
      </c>
      <c r="D161" s="28">
        <v>0.2</v>
      </c>
      <c r="E161" s="28">
        <v>1</v>
      </c>
      <c r="F161" s="28">
        <v>0.45</v>
      </c>
      <c r="G161" s="28">
        <v>951</v>
      </c>
      <c r="H161" s="28">
        <v>37</v>
      </c>
    </row>
    <row r="162" spans="1:8" x14ac:dyDescent="0.3">
      <c r="A162">
        <v>157</v>
      </c>
      <c r="B162" t="s">
        <v>2267</v>
      </c>
      <c r="C162" s="28">
        <v>843</v>
      </c>
      <c r="D162" s="28">
        <v>24</v>
      </c>
      <c r="E162" s="28">
        <v>99</v>
      </c>
      <c r="F162" s="28">
        <v>0.9</v>
      </c>
      <c r="G162" s="28">
        <v>104</v>
      </c>
      <c r="H162" s="28">
        <v>20</v>
      </c>
    </row>
    <row r="163" spans="1:8" x14ac:dyDescent="0.3">
      <c r="A163">
        <v>158</v>
      </c>
      <c r="B163" t="s">
        <v>631</v>
      </c>
      <c r="C163" s="28">
        <v>0</v>
      </c>
      <c r="D163" s="28">
        <v>7</v>
      </c>
      <c r="E163" s="28">
        <v>3</v>
      </c>
      <c r="F163" s="28">
        <v>0.4</v>
      </c>
      <c r="G163" s="28">
        <v>7600</v>
      </c>
      <c r="H163" s="28">
        <v>17</v>
      </c>
    </row>
    <row r="164" spans="1:8" x14ac:dyDescent="0.3">
      <c r="A164">
        <v>159</v>
      </c>
      <c r="B164" t="s">
        <v>2268</v>
      </c>
      <c r="C164" s="28">
        <v>1000000</v>
      </c>
      <c r="D164" s="28">
        <v>4</v>
      </c>
      <c r="E164" s="28">
        <v>4</v>
      </c>
      <c r="F164" s="28">
        <v>0.95</v>
      </c>
      <c r="G164" s="28">
        <v>1</v>
      </c>
      <c r="H164" s="28">
        <v>58.97</v>
      </c>
    </row>
    <row r="165" spans="1:8" x14ac:dyDescent="0.3">
      <c r="A165">
        <v>160</v>
      </c>
      <c r="B165" t="s">
        <v>2269</v>
      </c>
      <c r="C165" s="28">
        <v>1</v>
      </c>
      <c r="D165" s="28">
        <v>30</v>
      </c>
      <c r="E165" s="28">
        <v>10</v>
      </c>
      <c r="F165" s="28">
        <v>0.5</v>
      </c>
      <c r="G165" s="28">
        <v>2300</v>
      </c>
      <c r="H165" s="28">
        <v>109</v>
      </c>
    </row>
    <row r="166" spans="1:8" x14ac:dyDescent="0.3">
      <c r="A166">
        <v>161</v>
      </c>
      <c r="B166" t="s">
        <v>632</v>
      </c>
      <c r="C166" s="28">
        <v>1400000</v>
      </c>
      <c r="D166" s="28">
        <v>180</v>
      </c>
      <c r="E166" s="28">
        <v>10</v>
      </c>
      <c r="F166" s="28">
        <v>1</v>
      </c>
      <c r="G166" s="28">
        <v>7000</v>
      </c>
      <c r="H166" s="28">
        <v>13.87</v>
      </c>
    </row>
    <row r="167" spans="1:8" x14ac:dyDescent="0.3">
      <c r="A167">
        <v>162</v>
      </c>
      <c r="B167" t="s">
        <v>2270</v>
      </c>
      <c r="C167" s="28">
        <v>330</v>
      </c>
      <c r="D167" s="28">
        <v>19</v>
      </c>
      <c r="E167" s="28">
        <v>5</v>
      </c>
      <c r="F167" s="28">
        <v>0.8</v>
      </c>
      <c r="G167" s="28">
        <v>197</v>
      </c>
      <c r="H167" s="28">
        <v>48</v>
      </c>
    </row>
    <row r="168" spans="1:8" x14ac:dyDescent="0.3">
      <c r="A168">
        <v>163</v>
      </c>
      <c r="B168" t="s">
        <v>2271</v>
      </c>
      <c r="C168" s="28">
        <v>330</v>
      </c>
      <c r="D168" s="28">
        <v>19</v>
      </c>
      <c r="E168" s="28">
        <v>5</v>
      </c>
      <c r="F168" s="28">
        <v>0.8</v>
      </c>
      <c r="G168" s="28">
        <v>197</v>
      </c>
      <c r="H168" s="28">
        <v>50</v>
      </c>
    </row>
    <row r="169" spans="1:8" x14ac:dyDescent="0.3">
      <c r="A169">
        <v>164</v>
      </c>
      <c r="B169" t="s">
        <v>2272</v>
      </c>
      <c r="C169" s="28">
        <v>330</v>
      </c>
      <c r="D169" s="28">
        <v>19</v>
      </c>
      <c r="E169" s="28">
        <v>5</v>
      </c>
      <c r="F169" s="28">
        <v>0.8</v>
      </c>
      <c r="G169" s="28">
        <v>197</v>
      </c>
      <c r="H169" s="28">
        <v>48</v>
      </c>
    </row>
    <row r="170" spans="1:8" x14ac:dyDescent="0.3">
      <c r="A170">
        <v>165</v>
      </c>
      <c r="B170" t="s">
        <v>2272</v>
      </c>
      <c r="C170" s="28">
        <v>330</v>
      </c>
      <c r="D170" s="28">
        <v>19</v>
      </c>
      <c r="E170" s="28">
        <v>5</v>
      </c>
      <c r="F170" s="28">
        <v>0.8</v>
      </c>
      <c r="G170" s="28">
        <v>197</v>
      </c>
      <c r="H170" s="28">
        <v>56</v>
      </c>
    </row>
    <row r="171" spans="1:8" x14ac:dyDescent="0.3">
      <c r="A171">
        <v>166</v>
      </c>
      <c r="B171" t="s">
        <v>2273</v>
      </c>
      <c r="C171" s="28">
        <v>50</v>
      </c>
      <c r="D171" s="28">
        <v>143</v>
      </c>
      <c r="E171" s="28">
        <v>10</v>
      </c>
      <c r="F171" s="28">
        <v>0.65</v>
      </c>
      <c r="G171" s="28">
        <v>276</v>
      </c>
      <c r="H171" s="28">
        <v>81</v>
      </c>
    </row>
    <row r="172" spans="1:8" x14ac:dyDescent="0.3">
      <c r="A172">
        <v>167</v>
      </c>
      <c r="B172" t="s">
        <v>2274</v>
      </c>
      <c r="C172" s="28">
        <v>64</v>
      </c>
      <c r="D172" s="28">
        <v>913</v>
      </c>
      <c r="E172" s="28">
        <v>3</v>
      </c>
      <c r="F172" s="28">
        <v>1</v>
      </c>
      <c r="G172" s="28">
        <v>32</v>
      </c>
      <c r="H172" s="28">
        <v>163</v>
      </c>
    </row>
    <row r="173" spans="1:8" x14ac:dyDescent="0.3">
      <c r="A173">
        <v>168</v>
      </c>
      <c r="B173" t="s">
        <v>633</v>
      </c>
      <c r="C173" s="28">
        <v>34</v>
      </c>
      <c r="D173" s="28">
        <v>130</v>
      </c>
      <c r="E173" s="28">
        <v>30</v>
      </c>
      <c r="F173" s="28">
        <v>0.5</v>
      </c>
      <c r="G173" s="28">
        <v>7500</v>
      </c>
      <c r="H173" s="28">
        <v>12</v>
      </c>
    </row>
    <row r="174" spans="1:8" x14ac:dyDescent="0.3">
      <c r="A174">
        <v>169</v>
      </c>
      <c r="B174" t="s">
        <v>2275</v>
      </c>
      <c r="C174" s="28">
        <v>18</v>
      </c>
      <c r="D174" s="28">
        <v>93</v>
      </c>
      <c r="E174" s="28">
        <v>30</v>
      </c>
      <c r="F174" s="28">
        <v>0.65</v>
      </c>
      <c r="G174" s="28">
        <v>777</v>
      </c>
      <c r="H174" s="28">
        <v>656</v>
      </c>
    </row>
    <row r="175" spans="1:8" x14ac:dyDescent="0.3">
      <c r="A175">
        <v>170</v>
      </c>
      <c r="B175" t="s">
        <v>2276</v>
      </c>
      <c r="C175" s="28">
        <v>970</v>
      </c>
      <c r="D175" s="28">
        <v>13</v>
      </c>
      <c r="E175" s="28">
        <v>99</v>
      </c>
      <c r="F175" s="28">
        <v>0.8</v>
      </c>
      <c r="G175" s="28">
        <v>117</v>
      </c>
      <c r="H175" s="28">
        <v>12</v>
      </c>
    </row>
    <row r="176" spans="1:8" x14ac:dyDescent="0.3">
      <c r="A176">
        <v>171</v>
      </c>
      <c r="B176" t="s">
        <v>2277</v>
      </c>
      <c r="C176" s="28">
        <v>818000</v>
      </c>
      <c r="D176" s="28">
        <v>3</v>
      </c>
      <c r="E176" s="28">
        <v>2.5</v>
      </c>
      <c r="F176" s="28">
        <v>0.7</v>
      </c>
      <c r="G176" s="28">
        <v>3</v>
      </c>
      <c r="H176" s="28">
        <v>7.76</v>
      </c>
    </row>
    <row r="177" spans="1:8" x14ac:dyDescent="0.3">
      <c r="A177">
        <v>172</v>
      </c>
      <c r="B177" t="s">
        <v>634</v>
      </c>
      <c r="C177" s="28">
        <v>5</v>
      </c>
      <c r="D177" s="28">
        <v>5</v>
      </c>
      <c r="E177" s="28">
        <v>9</v>
      </c>
      <c r="F177" s="28">
        <v>0.65</v>
      </c>
      <c r="G177" s="28">
        <v>151</v>
      </c>
      <c r="H177" s="28">
        <v>13</v>
      </c>
    </row>
    <row r="178" spans="1:8" x14ac:dyDescent="0.3">
      <c r="A178">
        <v>173</v>
      </c>
      <c r="B178" t="s">
        <v>2278</v>
      </c>
      <c r="C178" s="28">
        <v>70</v>
      </c>
      <c r="D178" s="28">
        <v>28</v>
      </c>
      <c r="E178" s="28">
        <v>10</v>
      </c>
      <c r="F178" s="28">
        <v>0.65</v>
      </c>
      <c r="G178" s="28">
        <v>85</v>
      </c>
      <c r="H178" s="28">
        <v>115.98</v>
      </c>
    </row>
    <row r="179" spans="1:8" x14ac:dyDescent="0.3">
      <c r="A179">
        <v>174</v>
      </c>
      <c r="B179" t="s">
        <v>2279</v>
      </c>
      <c r="C179" s="28">
        <v>0</v>
      </c>
      <c r="D179" s="28">
        <v>100</v>
      </c>
      <c r="E179" s="28">
        <v>99</v>
      </c>
      <c r="F179" s="28">
        <v>0.8</v>
      </c>
      <c r="G179" s="28">
        <v>10000</v>
      </c>
      <c r="H179" s="28">
        <v>39</v>
      </c>
    </row>
    <row r="180" spans="1:8" x14ac:dyDescent="0.3">
      <c r="A180">
        <v>175</v>
      </c>
      <c r="B180" t="s">
        <v>635</v>
      </c>
      <c r="C180" s="28">
        <v>620000</v>
      </c>
      <c r="D180" s="28">
        <v>1067</v>
      </c>
      <c r="E180" s="28">
        <v>3</v>
      </c>
      <c r="F180" s="28">
        <v>0.6</v>
      </c>
      <c r="G180" s="28">
        <v>16200</v>
      </c>
      <c r="H180" s="28">
        <v>35.83</v>
      </c>
    </row>
    <row r="181" spans="1:8" x14ac:dyDescent="0.3">
      <c r="A181">
        <v>176</v>
      </c>
      <c r="B181" t="s">
        <v>636</v>
      </c>
      <c r="C181" s="28">
        <v>0</v>
      </c>
      <c r="D181" s="28">
        <v>21</v>
      </c>
      <c r="E181" s="28">
        <v>5</v>
      </c>
      <c r="F181" s="28">
        <v>0.4</v>
      </c>
      <c r="G181" s="28">
        <v>100000</v>
      </c>
      <c r="H181" s="28">
        <v>336</v>
      </c>
    </row>
    <row r="182" spans="1:8" x14ac:dyDescent="0.3">
      <c r="A182">
        <v>177</v>
      </c>
      <c r="B182" t="s">
        <v>2280</v>
      </c>
      <c r="C182" s="28">
        <v>55</v>
      </c>
      <c r="D182" s="28">
        <v>10</v>
      </c>
      <c r="E182" s="28">
        <v>3</v>
      </c>
      <c r="F182" s="28">
        <v>0.9</v>
      </c>
      <c r="G182" s="28">
        <v>6300</v>
      </c>
      <c r="H182" s="28">
        <v>31</v>
      </c>
    </row>
    <row r="183" spans="1:8" x14ac:dyDescent="0.3">
      <c r="A183">
        <v>178</v>
      </c>
      <c r="B183" t="s">
        <v>637</v>
      </c>
      <c r="C183" s="28">
        <v>3</v>
      </c>
      <c r="D183" s="28">
        <v>9</v>
      </c>
      <c r="E183" s="28">
        <v>2</v>
      </c>
      <c r="F183" s="28">
        <v>0.05</v>
      </c>
      <c r="G183" s="28">
        <v>100000</v>
      </c>
      <c r="H183" s="28">
        <v>14</v>
      </c>
    </row>
    <row r="184" spans="1:8" x14ac:dyDescent="0.3">
      <c r="A184">
        <v>179</v>
      </c>
      <c r="B184" t="s">
        <v>2281</v>
      </c>
      <c r="C184" s="28">
        <v>600000</v>
      </c>
      <c r="D184" s="28">
        <v>3</v>
      </c>
      <c r="E184" s="28">
        <v>0.6</v>
      </c>
      <c r="F184" s="28">
        <v>0.95</v>
      </c>
      <c r="G184" s="28">
        <v>44</v>
      </c>
      <c r="H184" s="28">
        <v>40</v>
      </c>
    </row>
    <row r="185" spans="1:8" x14ac:dyDescent="0.3">
      <c r="A185">
        <v>180</v>
      </c>
      <c r="B185" t="s">
        <v>638</v>
      </c>
      <c r="C185" s="28">
        <v>11</v>
      </c>
      <c r="D185" s="28">
        <v>14</v>
      </c>
      <c r="E185" s="28">
        <v>4</v>
      </c>
      <c r="F185" s="28">
        <v>0.7</v>
      </c>
      <c r="G185" s="28">
        <v>7600</v>
      </c>
      <c r="H185" s="28">
        <v>9</v>
      </c>
    </row>
    <row r="186" spans="1:8" x14ac:dyDescent="0.3">
      <c r="A186">
        <v>181</v>
      </c>
      <c r="B186" t="s">
        <v>639</v>
      </c>
      <c r="C186" s="28">
        <v>20</v>
      </c>
      <c r="D186" s="28">
        <v>30</v>
      </c>
      <c r="E186" s="28">
        <v>10</v>
      </c>
      <c r="F186" s="28">
        <v>0.6</v>
      </c>
      <c r="G186" s="28">
        <v>19300</v>
      </c>
      <c r="H186" s="28">
        <v>11</v>
      </c>
    </row>
    <row r="187" spans="1:8" x14ac:dyDescent="0.3">
      <c r="A187">
        <v>182</v>
      </c>
      <c r="B187" t="s">
        <v>2282</v>
      </c>
      <c r="C187" s="28">
        <v>1000000</v>
      </c>
      <c r="D187" s="28">
        <v>1000</v>
      </c>
      <c r="E187" s="28">
        <v>30</v>
      </c>
      <c r="F187" s="28">
        <v>0.95</v>
      </c>
      <c r="G187" s="28">
        <v>1000000</v>
      </c>
      <c r="H187" s="28">
        <v>510</v>
      </c>
    </row>
    <row r="188" spans="1:8" x14ac:dyDescent="0.3">
      <c r="A188">
        <v>183</v>
      </c>
      <c r="B188" t="s">
        <v>640</v>
      </c>
      <c r="C188" s="28">
        <v>1400</v>
      </c>
      <c r="D188" s="28">
        <v>20</v>
      </c>
      <c r="E188" s="28">
        <v>10</v>
      </c>
      <c r="F188" s="28">
        <v>0.7</v>
      </c>
      <c r="G188" s="28">
        <v>96</v>
      </c>
      <c r="H188" s="28">
        <v>29</v>
      </c>
    </row>
    <row r="189" spans="1:8" x14ac:dyDescent="0.3">
      <c r="A189">
        <v>184</v>
      </c>
      <c r="B189" t="s">
        <v>641</v>
      </c>
      <c r="C189" s="28">
        <v>23180</v>
      </c>
      <c r="D189" s="28">
        <v>5.5</v>
      </c>
      <c r="E189" s="28">
        <v>10</v>
      </c>
      <c r="F189" s="28">
        <v>0.95</v>
      </c>
      <c r="G189" s="28">
        <v>48</v>
      </c>
      <c r="H189" s="28">
        <v>6</v>
      </c>
    </row>
    <row r="190" spans="1:8" x14ac:dyDescent="0.3">
      <c r="A190">
        <v>185</v>
      </c>
      <c r="B190" t="s">
        <v>2283</v>
      </c>
      <c r="C190" s="28">
        <v>4390</v>
      </c>
      <c r="D190" s="28">
        <v>5</v>
      </c>
      <c r="E190" s="28">
        <v>3</v>
      </c>
      <c r="F190" s="28">
        <v>0.7</v>
      </c>
      <c r="G190" s="28">
        <v>100</v>
      </c>
      <c r="H190" s="28">
        <v>49.55</v>
      </c>
    </row>
    <row r="191" spans="1:8" x14ac:dyDescent="0.3">
      <c r="A191">
        <v>186</v>
      </c>
      <c r="B191" t="s">
        <v>642</v>
      </c>
      <c r="C191" s="28">
        <v>0</v>
      </c>
      <c r="D191" s="28">
        <v>20</v>
      </c>
      <c r="E191" s="28">
        <v>7</v>
      </c>
      <c r="F191" s="28">
        <v>0.4</v>
      </c>
      <c r="G191" s="28">
        <v>500000</v>
      </c>
      <c r="H191" s="28">
        <v>15</v>
      </c>
    </row>
    <row r="192" spans="1:8" x14ac:dyDescent="0.3">
      <c r="A192">
        <v>187</v>
      </c>
      <c r="B192" t="s">
        <v>2284</v>
      </c>
      <c r="C192" s="28">
        <v>6</v>
      </c>
      <c r="D192" s="28">
        <v>30</v>
      </c>
      <c r="E192" s="28">
        <v>8</v>
      </c>
      <c r="F192" s="28">
        <v>0.3</v>
      </c>
      <c r="G192" s="28">
        <v>39300</v>
      </c>
      <c r="H192" s="28">
        <v>108.94</v>
      </c>
    </row>
    <row r="193" spans="1:8" x14ac:dyDescent="0.3">
      <c r="A193">
        <v>188</v>
      </c>
      <c r="B193" t="s">
        <v>2285</v>
      </c>
      <c r="C193" s="28">
        <v>720</v>
      </c>
      <c r="D193" s="28">
        <v>932</v>
      </c>
      <c r="E193" s="28">
        <v>30</v>
      </c>
      <c r="F193" s="28">
        <v>0.75</v>
      </c>
      <c r="G193" s="28">
        <v>95</v>
      </c>
      <c r="H193" s="28">
        <v>35.11</v>
      </c>
    </row>
    <row r="194" spans="1:8" x14ac:dyDescent="0.3">
      <c r="A194">
        <v>189</v>
      </c>
      <c r="B194" t="s">
        <v>2286</v>
      </c>
      <c r="C194" s="28">
        <v>6</v>
      </c>
      <c r="D194" s="28">
        <v>120</v>
      </c>
      <c r="E194" s="28">
        <v>30</v>
      </c>
      <c r="F194" s="28">
        <v>0.4</v>
      </c>
      <c r="G194" s="28">
        <v>3900</v>
      </c>
      <c r="H194" s="28">
        <v>19</v>
      </c>
    </row>
    <row r="195" spans="1:8" x14ac:dyDescent="0.3">
      <c r="A195">
        <v>190</v>
      </c>
      <c r="B195" t="s">
        <v>643</v>
      </c>
      <c r="C195" s="28">
        <v>620000</v>
      </c>
      <c r="D195" s="28">
        <v>1000</v>
      </c>
      <c r="E195" s="28">
        <v>30</v>
      </c>
      <c r="F195" s="28">
        <v>0.6</v>
      </c>
      <c r="G195" s="28">
        <v>1000000</v>
      </c>
      <c r="H195" s="28">
        <v>12</v>
      </c>
    </row>
    <row r="196" spans="1:8" x14ac:dyDescent="0.3">
      <c r="A196">
        <v>191</v>
      </c>
      <c r="B196" t="s">
        <v>2287</v>
      </c>
      <c r="C196" s="28">
        <v>0</v>
      </c>
      <c r="D196" s="28">
        <v>2000</v>
      </c>
      <c r="E196" s="28">
        <v>7</v>
      </c>
      <c r="F196" s="28">
        <v>0.4</v>
      </c>
      <c r="G196" s="28">
        <v>59600</v>
      </c>
      <c r="H196" s="28">
        <v>98</v>
      </c>
    </row>
    <row r="197" spans="1:8" x14ac:dyDescent="0.3">
      <c r="A197">
        <v>192</v>
      </c>
      <c r="B197" t="s">
        <v>2288</v>
      </c>
      <c r="C197" s="28">
        <v>6</v>
      </c>
      <c r="D197" s="28">
        <v>91</v>
      </c>
      <c r="E197" s="28">
        <v>5</v>
      </c>
      <c r="F197" s="28">
        <v>0.4</v>
      </c>
      <c r="G197" s="28">
        <v>140</v>
      </c>
      <c r="H197" s="28">
        <v>11.45</v>
      </c>
    </row>
    <row r="198" spans="1:8" x14ac:dyDescent="0.3">
      <c r="A198">
        <v>193</v>
      </c>
      <c r="B198" t="s">
        <v>644</v>
      </c>
      <c r="C198" s="28">
        <v>2</v>
      </c>
      <c r="D198" s="28">
        <v>14</v>
      </c>
      <c r="E198" s="28">
        <v>5</v>
      </c>
      <c r="F198" s="28">
        <v>0.4</v>
      </c>
      <c r="G198" s="28">
        <v>3060</v>
      </c>
      <c r="H198" s="28">
        <v>26</v>
      </c>
    </row>
    <row r="199" spans="1:8" x14ac:dyDescent="0.3">
      <c r="A199">
        <v>194</v>
      </c>
      <c r="B199" t="s">
        <v>2289</v>
      </c>
      <c r="C199" s="28">
        <v>0</v>
      </c>
      <c r="D199" s="28">
        <v>1300</v>
      </c>
      <c r="E199" s="28">
        <v>30</v>
      </c>
      <c r="F199" s="28">
        <v>0.4</v>
      </c>
      <c r="G199" s="28">
        <v>13400</v>
      </c>
      <c r="H199" s="28">
        <v>18.829999999999998</v>
      </c>
    </row>
    <row r="200" spans="1:8" x14ac:dyDescent="0.3">
      <c r="A200">
        <v>195</v>
      </c>
      <c r="B200" t="s">
        <v>2290</v>
      </c>
      <c r="C200" s="28">
        <v>1400</v>
      </c>
      <c r="D200" s="28">
        <v>90</v>
      </c>
      <c r="E200" s="28">
        <v>20</v>
      </c>
      <c r="F200" s="28">
        <v>0.9</v>
      </c>
      <c r="G200" s="28">
        <v>7</v>
      </c>
      <c r="H200" s="28">
        <v>57.58</v>
      </c>
    </row>
    <row r="201" spans="1:8" x14ac:dyDescent="0.3">
      <c r="A201">
        <v>196</v>
      </c>
      <c r="B201" t="s">
        <v>2291</v>
      </c>
      <c r="C201" s="28">
        <v>0</v>
      </c>
      <c r="D201" s="28">
        <v>163</v>
      </c>
      <c r="E201" s="28">
        <v>10</v>
      </c>
      <c r="F201" s="28">
        <v>0.25</v>
      </c>
      <c r="G201" s="28">
        <v>1000</v>
      </c>
      <c r="H201" s="28">
        <v>113</v>
      </c>
    </row>
    <row r="202" spans="1:8" x14ac:dyDescent="0.3">
      <c r="A202">
        <v>197</v>
      </c>
      <c r="B202" t="s">
        <v>645</v>
      </c>
      <c r="C202" s="28">
        <v>400</v>
      </c>
      <c r="D202" s="28">
        <v>21</v>
      </c>
      <c r="E202" s="28">
        <v>5</v>
      </c>
      <c r="F202" s="28">
        <v>0.85</v>
      </c>
      <c r="G202" s="28">
        <v>120</v>
      </c>
      <c r="H202" s="28">
        <v>415</v>
      </c>
    </row>
    <row r="203" spans="1:8" x14ac:dyDescent="0.3">
      <c r="A203">
        <v>198</v>
      </c>
      <c r="B203" t="s">
        <v>2292</v>
      </c>
      <c r="C203" s="28">
        <v>613</v>
      </c>
      <c r="D203" s="28">
        <v>9</v>
      </c>
      <c r="E203" s="28">
        <v>3</v>
      </c>
      <c r="F203" s="28">
        <v>0.4</v>
      </c>
      <c r="G203" s="28">
        <v>80</v>
      </c>
      <c r="H203" s="28">
        <v>110</v>
      </c>
    </row>
    <row r="204" spans="1:8" x14ac:dyDescent="0.3">
      <c r="A204">
        <v>199</v>
      </c>
      <c r="B204" t="s">
        <v>2293</v>
      </c>
      <c r="C204" s="28">
        <v>50</v>
      </c>
      <c r="D204" s="28">
        <v>185</v>
      </c>
      <c r="E204" s="28">
        <v>30</v>
      </c>
      <c r="F204" s="28">
        <v>0.95</v>
      </c>
      <c r="G204" s="28">
        <v>60</v>
      </c>
      <c r="H204" s="28">
        <v>83</v>
      </c>
    </row>
    <row r="205" spans="1:8" x14ac:dyDescent="0.3">
      <c r="A205">
        <v>200</v>
      </c>
      <c r="B205" t="s">
        <v>646</v>
      </c>
      <c r="C205" s="28">
        <v>231000</v>
      </c>
      <c r="D205" s="28">
        <v>245.8</v>
      </c>
      <c r="E205" s="28">
        <v>9</v>
      </c>
      <c r="F205" s="28">
        <v>0.45</v>
      </c>
      <c r="G205" s="28">
        <v>2212</v>
      </c>
      <c r="H205" s="28">
        <v>67</v>
      </c>
    </row>
    <row r="206" spans="1:8" x14ac:dyDescent="0.3">
      <c r="A206">
        <v>201</v>
      </c>
      <c r="B206" t="s">
        <v>647</v>
      </c>
      <c r="C206" s="28">
        <v>8400</v>
      </c>
      <c r="D206" s="28">
        <v>40</v>
      </c>
      <c r="E206" s="28">
        <v>7</v>
      </c>
      <c r="F206" s="28">
        <v>0.8</v>
      </c>
      <c r="G206" s="28">
        <v>171</v>
      </c>
      <c r="H206" s="28">
        <v>241.76</v>
      </c>
    </row>
    <row r="207" spans="1:8" x14ac:dyDescent="0.3">
      <c r="A207">
        <v>202</v>
      </c>
      <c r="B207" t="s">
        <v>2294</v>
      </c>
      <c r="C207" s="28">
        <v>95</v>
      </c>
      <c r="D207" s="28">
        <v>27</v>
      </c>
      <c r="E207" s="28">
        <v>2</v>
      </c>
      <c r="F207" s="28">
        <v>0.5</v>
      </c>
      <c r="G207" s="28">
        <v>272</v>
      </c>
      <c r="H207" s="28">
        <v>17</v>
      </c>
    </row>
    <row r="208" spans="1:8" x14ac:dyDescent="0.3">
      <c r="A208">
        <v>203</v>
      </c>
      <c r="B208" t="s">
        <v>2295</v>
      </c>
      <c r="C208" s="28">
        <v>1</v>
      </c>
      <c r="D208" s="28">
        <v>180</v>
      </c>
      <c r="E208" s="28">
        <v>20</v>
      </c>
      <c r="F208" s="28">
        <v>0.5</v>
      </c>
      <c r="G208" s="28">
        <v>3345</v>
      </c>
      <c r="H208" s="28">
        <v>15</v>
      </c>
    </row>
    <row r="209" spans="1:8" x14ac:dyDescent="0.3">
      <c r="A209">
        <v>204</v>
      </c>
      <c r="B209" t="s">
        <v>2296</v>
      </c>
      <c r="C209" s="28">
        <v>12000</v>
      </c>
      <c r="D209" s="28">
        <v>0.9</v>
      </c>
      <c r="E209" s="28">
        <v>2.5</v>
      </c>
      <c r="F209" s="28">
        <v>0.6</v>
      </c>
      <c r="G209" s="28">
        <v>2100</v>
      </c>
      <c r="H209" s="28">
        <v>28.31</v>
      </c>
    </row>
    <row r="210" spans="1:8" x14ac:dyDescent="0.3">
      <c r="A210">
        <v>205</v>
      </c>
      <c r="B210" t="s">
        <v>648</v>
      </c>
      <c r="C210" s="28">
        <v>14</v>
      </c>
      <c r="D210" s="28">
        <v>50</v>
      </c>
      <c r="E210" s="28">
        <v>5</v>
      </c>
      <c r="F210" s="28">
        <v>0.4</v>
      </c>
      <c r="G210" s="28">
        <v>666</v>
      </c>
      <c r="H210" s="28">
        <v>21.55</v>
      </c>
    </row>
    <row r="211" spans="1:8" x14ac:dyDescent="0.3">
      <c r="A211">
        <v>206</v>
      </c>
      <c r="B211" t="s">
        <v>2297</v>
      </c>
      <c r="C211" s="28">
        <v>4507</v>
      </c>
      <c r="D211" s="28">
        <v>30</v>
      </c>
      <c r="E211" s="28">
        <v>10</v>
      </c>
      <c r="F211" s="28">
        <v>0.95</v>
      </c>
      <c r="G211" s="28">
        <v>251</v>
      </c>
      <c r="H211" s="28">
        <v>41</v>
      </c>
    </row>
    <row r="212" spans="1:8" x14ac:dyDescent="0.3">
      <c r="A212">
        <v>207</v>
      </c>
      <c r="B212" t="s">
        <v>2298</v>
      </c>
      <c r="C212" s="28">
        <v>14</v>
      </c>
      <c r="D212" s="28">
        <v>840</v>
      </c>
      <c r="E212" s="28">
        <v>30</v>
      </c>
      <c r="F212" s="28">
        <v>0.4</v>
      </c>
      <c r="G212" s="28">
        <v>760</v>
      </c>
      <c r="H212" s="28">
        <v>2671</v>
      </c>
    </row>
    <row r="213" spans="1:8" x14ac:dyDescent="0.3">
      <c r="A213">
        <v>208</v>
      </c>
      <c r="B213" t="s">
        <v>649</v>
      </c>
      <c r="C213" s="28">
        <v>16</v>
      </c>
      <c r="D213" s="28">
        <v>117</v>
      </c>
      <c r="E213" s="28">
        <v>5</v>
      </c>
      <c r="F213" s="28">
        <v>0.4</v>
      </c>
      <c r="G213" s="28">
        <v>860</v>
      </c>
      <c r="H213" s="28">
        <v>330</v>
      </c>
    </row>
    <row r="214" spans="1:8" x14ac:dyDescent="0.3">
      <c r="A214">
        <v>209</v>
      </c>
      <c r="B214" t="s">
        <v>650</v>
      </c>
      <c r="C214" s="28">
        <v>1</v>
      </c>
      <c r="D214" s="28">
        <v>30</v>
      </c>
      <c r="E214" s="28">
        <v>5</v>
      </c>
      <c r="F214" s="28">
        <v>0.4</v>
      </c>
      <c r="G214" s="28">
        <v>6200</v>
      </c>
      <c r="H214" s="28">
        <v>98</v>
      </c>
    </row>
    <row r="215" spans="1:8" x14ac:dyDescent="0.3">
      <c r="A215">
        <v>210</v>
      </c>
      <c r="B215" t="s">
        <v>2299</v>
      </c>
      <c r="C215" s="28">
        <v>160000</v>
      </c>
      <c r="D215" s="28">
        <v>60</v>
      </c>
      <c r="E215" s="28">
        <v>20</v>
      </c>
      <c r="F215" s="28">
        <v>0.95</v>
      </c>
      <c r="G215" s="28">
        <v>20</v>
      </c>
      <c r="H215" s="28">
        <v>7</v>
      </c>
    </row>
    <row r="216" spans="1:8" x14ac:dyDescent="0.3">
      <c r="A216">
        <v>211</v>
      </c>
      <c r="B216" t="s">
        <v>2300</v>
      </c>
      <c r="C216" s="28">
        <v>1000</v>
      </c>
      <c r="D216" s="28">
        <v>172</v>
      </c>
      <c r="E216" s="28">
        <v>5</v>
      </c>
      <c r="F216" s="28">
        <v>0.8</v>
      </c>
      <c r="G216" s="28">
        <v>52</v>
      </c>
      <c r="H216" s="28">
        <v>65.84</v>
      </c>
    </row>
    <row r="217" spans="1:8" x14ac:dyDescent="0.3">
      <c r="A217">
        <v>212</v>
      </c>
      <c r="B217" t="s">
        <v>2301</v>
      </c>
      <c r="C217" s="28">
        <v>110</v>
      </c>
      <c r="D217" s="28">
        <v>17</v>
      </c>
      <c r="E217" s="28">
        <v>7</v>
      </c>
      <c r="F217" s="28">
        <v>0.55000000000000004</v>
      </c>
      <c r="G217" s="28">
        <v>288</v>
      </c>
      <c r="H217" s="28">
        <v>21.89</v>
      </c>
    </row>
    <row r="218" spans="1:8" x14ac:dyDescent="0.3">
      <c r="A218">
        <v>213</v>
      </c>
      <c r="B218" t="s">
        <v>2302</v>
      </c>
      <c r="C218" s="28">
        <v>3</v>
      </c>
      <c r="D218" s="28">
        <v>20</v>
      </c>
      <c r="E218" s="28">
        <v>5</v>
      </c>
      <c r="F218" s="28">
        <v>0.4</v>
      </c>
      <c r="G218" s="28">
        <v>2600</v>
      </c>
      <c r="H218" s="28">
        <v>13</v>
      </c>
    </row>
    <row r="219" spans="1:8" x14ac:dyDescent="0.3">
      <c r="A219">
        <v>214</v>
      </c>
      <c r="B219" t="s">
        <v>2303</v>
      </c>
      <c r="C219" s="28">
        <v>710</v>
      </c>
      <c r="D219" s="28">
        <v>520</v>
      </c>
      <c r="E219" s="28">
        <v>30</v>
      </c>
      <c r="F219" s="28">
        <v>0.7</v>
      </c>
      <c r="G219" s="28">
        <v>63</v>
      </c>
      <c r="H219" s="28">
        <v>3.06</v>
      </c>
    </row>
    <row r="220" spans="1:8" x14ac:dyDescent="0.3">
      <c r="A220">
        <v>215</v>
      </c>
      <c r="B220" t="s">
        <v>651</v>
      </c>
      <c r="C220" s="28">
        <v>24</v>
      </c>
      <c r="D220" s="28">
        <v>30</v>
      </c>
      <c r="E220" s="28">
        <v>10</v>
      </c>
      <c r="F220" s="28">
        <v>0.7</v>
      </c>
      <c r="G220" s="28">
        <v>300</v>
      </c>
      <c r="H220" s="28">
        <v>15</v>
      </c>
    </row>
    <row r="221" spans="1:8" x14ac:dyDescent="0.3">
      <c r="A221">
        <v>216</v>
      </c>
      <c r="B221" t="s">
        <v>2304</v>
      </c>
      <c r="C221" s="28">
        <v>0</v>
      </c>
      <c r="D221" s="28">
        <v>45</v>
      </c>
      <c r="E221" s="28">
        <v>4</v>
      </c>
      <c r="F221" s="28">
        <v>0.4</v>
      </c>
      <c r="G221" s="28">
        <v>5120</v>
      </c>
      <c r="H221" s="28">
        <v>22.71</v>
      </c>
    </row>
    <row r="222" spans="1:8" x14ac:dyDescent="0.3">
      <c r="A222">
        <v>217</v>
      </c>
      <c r="B222" t="s">
        <v>2305</v>
      </c>
      <c r="C222" s="28">
        <v>10</v>
      </c>
      <c r="D222" s="28">
        <v>34</v>
      </c>
      <c r="E222" s="28">
        <v>99</v>
      </c>
      <c r="F222" s="28">
        <v>0.9</v>
      </c>
      <c r="G222" s="28">
        <v>862</v>
      </c>
      <c r="H222" s="28">
        <v>15</v>
      </c>
    </row>
    <row r="223" spans="1:8" x14ac:dyDescent="0.3">
      <c r="A223">
        <v>218</v>
      </c>
      <c r="B223" t="s">
        <v>2306</v>
      </c>
      <c r="C223" s="28">
        <v>60</v>
      </c>
      <c r="D223" s="28">
        <v>39</v>
      </c>
      <c r="E223" s="28">
        <v>4</v>
      </c>
      <c r="F223" s="28">
        <v>0.9</v>
      </c>
      <c r="G223" s="28">
        <v>1520</v>
      </c>
      <c r="H223" s="28">
        <v>14</v>
      </c>
    </row>
    <row r="224" spans="1:8" x14ac:dyDescent="0.3">
      <c r="A224">
        <v>219</v>
      </c>
      <c r="B224" t="s">
        <v>2307</v>
      </c>
      <c r="C224" s="28">
        <v>2500</v>
      </c>
      <c r="D224" s="28">
        <v>360</v>
      </c>
      <c r="E224" s="28">
        <v>30</v>
      </c>
      <c r="F224" s="28">
        <v>0.9</v>
      </c>
      <c r="G224" s="28">
        <v>130</v>
      </c>
      <c r="H224" s="28">
        <v>14.98</v>
      </c>
    </row>
    <row r="225" spans="1:8" x14ac:dyDescent="0.3">
      <c r="A225">
        <v>220</v>
      </c>
      <c r="B225" t="s">
        <v>2308</v>
      </c>
      <c r="C225" s="28">
        <v>89</v>
      </c>
      <c r="D225" s="28">
        <v>30</v>
      </c>
      <c r="E225" s="28">
        <v>8</v>
      </c>
      <c r="F225" s="28">
        <v>0.9</v>
      </c>
      <c r="G225" s="28">
        <v>505</v>
      </c>
      <c r="H225" s="28">
        <v>15</v>
      </c>
    </row>
    <row r="226" spans="1:8" x14ac:dyDescent="0.3">
      <c r="A226">
        <v>221</v>
      </c>
      <c r="B226" t="s">
        <v>2309</v>
      </c>
      <c r="C226" s="28">
        <v>152</v>
      </c>
      <c r="D226" s="28">
        <v>1</v>
      </c>
      <c r="E226" s="28">
        <v>1</v>
      </c>
      <c r="F226" s="28">
        <v>0.7</v>
      </c>
      <c r="G226" s="28">
        <v>400</v>
      </c>
      <c r="H226" s="28">
        <v>10</v>
      </c>
    </row>
    <row r="227" spans="1:8" x14ac:dyDescent="0.3">
      <c r="A227">
        <v>222</v>
      </c>
      <c r="B227" t="s">
        <v>652</v>
      </c>
      <c r="C227" s="28">
        <v>220</v>
      </c>
      <c r="D227" s="28">
        <v>7</v>
      </c>
      <c r="E227" s="28">
        <v>3</v>
      </c>
      <c r="F227" s="28">
        <v>0.9</v>
      </c>
      <c r="G227" s="28">
        <v>400</v>
      </c>
      <c r="H227" s="28">
        <v>73.55</v>
      </c>
    </row>
    <row r="228" spans="1:8" x14ac:dyDescent="0.3">
      <c r="A228">
        <v>223</v>
      </c>
      <c r="B228" t="s">
        <v>653</v>
      </c>
      <c r="C228" s="28">
        <v>3</v>
      </c>
      <c r="D228" s="28">
        <v>20</v>
      </c>
      <c r="E228" s="28">
        <v>5</v>
      </c>
      <c r="F228" s="28">
        <v>0.4</v>
      </c>
      <c r="G228" s="28">
        <v>600</v>
      </c>
      <c r="H228" s="28">
        <v>35</v>
      </c>
    </row>
    <row r="229" spans="1:8" x14ac:dyDescent="0.3">
      <c r="A229">
        <v>224</v>
      </c>
      <c r="B229" t="s">
        <v>2310</v>
      </c>
      <c r="C229" s="28">
        <v>44</v>
      </c>
      <c r="D229" s="28">
        <v>28</v>
      </c>
      <c r="E229" s="28">
        <v>1</v>
      </c>
      <c r="F229" s="28">
        <v>0.3</v>
      </c>
      <c r="G229" s="28">
        <v>304</v>
      </c>
      <c r="H229" s="28">
        <v>857.47</v>
      </c>
    </row>
    <row r="230" spans="1:8" x14ac:dyDescent="0.3">
      <c r="A230">
        <v>225</v>
      </c>
      <c r="B230" t="s">
        <v>2311</v>
      </c>
      <c r="C230" s="28">
        <v>1000000</v>
      </c>
      <c r="D230" s="28">
        <v>18</v>
      </c>
      <c r="E230" s="28">
        <v>5</v>
      </c>
      <c r="F230" s="28">
        <v>0.95</v>
      </c>
      <c r="G230" s="28">
        <v>33</v>
      </c>
      <c r="H230" s="28">
        <v>14</v>
      </c>
    </row>
    <row r="231" spans="1:8" x14ac:dyDescent="0.3">
      <c r="A231">
        <v>226</v>
      </c>
      <c r="B231" t="s">
        <v>2312</v>
      </c>
      <c r="C231" s="28">
        <v>250000</v>
      </c>
      <c r="D231" s="28">
        <v>30</v>
      </c>
      <c r="E231" s="28">
        <v>5</v>
      </c>
      <c r="F231" s="28">
        <v>0.95</v>
      </c>
      <c r="G231" s="28">
        <v>113</v>
      </c>
      <c r="H231" s="28">
        <v>263</v>
      </c>
    </row>
    <row r="232" spans="1:8" x14ac:dyDescent="0.3">
      <c r="A232">
        <v>227</v>
      </c>
      <c r="B232" t="s">
        <v>2313</v>
      </c>
      <c r="C232" s="28">
        <v>0</v>
      </c>
      <c r="D232" s="28">
        <v>95</v>
      </c>
      <c r="E232" s="28">
        <v>7</v>
      </c>
      <c r="F232" s="28">
        <v>0.4</v>
      </c>
      <c r="G232" s="28">
        <v>237000</v>
      </c>
      <c r="H232" s="28">
        <v>26</v>
      </c>
    </row>
    <row r="233" spans="1:8" x14ac:dyDescent="0.3">
      <c r="A233">
        <v>228</v>
      </c>
      <c r="B233" t="s">
        <v>2314</v>
      </c>
      <c r="C233" s="28">
        <v>2</v>
      </c>
      <c r="D233" s="28">
        <v>26</v>
      </c>
      <c r="E233" s="28">
        <v>8</v>
      </c>
      <c r="F233" s="28">
        <v>0.4</v>
      </c>
      <c r="G233" s="28">
        <v>5600</v>
      </c>
      <c r="H233" s="28">
        <v>21</v>
      </c>
    </row>
    <row r="234" spans="1:8" x14ac:dyDescent="0.3">
      <c r="A234">
        <v>229</v>
      </c>
      <c r="B234" t="s">
        <v>654</v>
      </c>
      <c r="C234" s="28">
        <v>11</v>
      </c>
      <c r="D234" s="28">
        <v>35</v>
      </c>
      <c r="E234" s="28">
        <v>2</v>
      </c>
      <c r="F234" s="28">
        <v>0.65</v>
      </c>
      <c r="G234" s="28">
        <v>1000</v>
      </c>
      <c r="H234" s="28">
        <v>45</v>
      </c>
    </row>
    <row r="235" spans="1:8" x14ac:dyDescent="0.3">
      <c r="A235">
        <v>230</v>
      </c>
      <c r="B235" t="s">
        <v>2315</v>
      </c>
      <c r="C235" s="28">
        <v>260</v>
      </c>
      <c r="D235" s="28">
        <v>4</v>
      </c>
      <c r="E235" s="28">
        <v>3</v>
      </c>
      <c r="F235" s="28">
        <v>0.85</v>
      </c>
      <c r="G235" s="28">
        <v>200</v>
      </c>
      <c r="H235" s="28">
        <v>73</v>
      </c>
    </row>
    <row r="236" spans="1:8" x14ac:dyDescent="0.3">
      <c r="A236">
        <v>231</v>
      </c>
      <c r="B236" t="s">
        <v>655</v>
      </c>
      <c r="C236" s="28">
        <v>30</v>
      </c>
      <c r="D236" s="28">
        <v>640</v>
      </c>
      <c r="E236" s="28">
        <v>30</v>
      </c>
      <c r="F236" s="28">
        <v>0.6</v>
      </c>
      <c r="G236" s="28">
        <v>2500</v>
      </c>
      <c r="H236" s="28">
        <v>7</v>
      </c>
    </row>
    <row r="237" spans="1:8" x14ac:dyDescent="0.3">
      <c r="A237">
        <v>232</v>
      </c>
      <c r="B237" t="s">
        <v>2316</v>
      </c>
      <c r="C237" s="28">
        <v>2250</v>
      </c>
      <c r="D237" s="28">
        <v>10</v>
      </c>
      <c r="E237" s="28">
        <v>99</v>
      </c>
      <c r="F237" s="28">
        <v>0.9</v>
      </c>
      <c r="G237" s="28">
        <v>66</v>
      </c>
      <c r="H237" s="28">
        <v>36</v>
      </c>
    </row>
    <row r="238" spans="1:8" x14ac:dyDescent="0.3">
      <c r="A238">
        <v>233</v>
      </c>
      <c r="B238" t="s">
        <v>2317</v>
      </c>
      <c r="C238" s="28">
        <v>2250</v>
      </c>
      <c r="D238" s="28">
        <v>10</v>
      </c>
      <c r="E238" s="28">
        <v>99</v>
      </c>
      <c r="F238" s="28">
        <v>0.9</v>
      </c>
      <c r="G238" s="28">
        <v>66</v>
      </c>
      <c r="H238" s="28">
        <v>30</v>
      </c>
    </row>
    <row r="239" spans="1:8" x14ac:dyDescent="0.3">
      <c r="A239">
        <v>234</v>
      </c>
      <c r="B239" t="s">
        <v>2318</v>
      </c>
      <c r="C239" s="28">
        <v>59000</v>
      </c>
      <c r="D239" s="28">
        <v>50</v>
      </c>
      <c r="E239" s="28">
        <v>99</v>
      </c>
      <c r="F239" s="28">
        <v>0.9</v>
      </c>
      <c r="G239" s="28">
        <v>26</v>
      </c>
      <c r="H239" s="28">
        <v>11.39</v>
      </c>
    </row>
    <row r="240" spans="1:8" x14ac:dyDescent="0.3">
      <c r="A240">
        <v>235</v>
      </c>
      <c r="B240" t="s">
        <v>2319</v>
      </c>
      <c r="C240" s="28">
        <v>59000</v>
      </c>
      <c r="D240" s="28">
        <v>50</v>
      </c>
      <c r="E240" s="28">
        <v>99</v>
      </c>
      <c r="F240" s="28">
        <v>0.9</v>
      </c>
      <c r="G240" s="28">
        <v>26</v>
      </c>
      <c r="H240" s="28">
        <v>11.39</v>
      </c>
    </row>
    <row r="241" spans="1:8" x14ac:dyDescent="0.3">
      <c r="A241">
        <v>236</v>
      </c>
      <c r="B241" t="s">
        <v>2320</v>
      </c>
      <c r="C241" s="28">
        <v>59000</v>
      </c>
      <c r="D241" s="28">
        <v>50</v>
      </c>
      <c r="E241" s="28">
        <v>99</v>
      </c>
      <c r="F241" s="28">
        <v>0.9</v>
      </c>
      <c r="G241" s="28">
        <v>26</v>
      </c>
      <c r="H241" s="28">
        <v>41</v>
      </c>
    </row>
    <row r="242" spans="1:8" x14ac:dyDescent="0.3">
      <c r="A242">
        <v>237</v>
      </c>
      <c r="B242" t="s">
        <v>2321</v>
      </c>
      <c r="C242" s="28">
        <v>59000</v>
      </c>
      <c r="D242" s="28">
        <v>50</v>
      </c>
      <c r="E242" s="28">
        <v>99</v>
      </c>
      <c r="F242" s="28">
        <v>0.9</v>
      </c>
      <c r="G242" s="28">
        <v>26</v>
      </c>
      <c r="H242" s="28">
        <v>42</v>
      </c>
    </row>
    <row r="243" spans="1:8" x14ac:dyDescent="0.3">
      <c r="A243">
        <v>238</v>
      </c>
      <c r="B243" t="s">
        <v>656</v>
      </c>
      <c r="C243" s="28">
        <v>3</v>
      </c>
      <c r="D243" s="28">
        <v>110</v>
      </c>
      <c r="E243" s="28">
        <v>15</v>
      </c>
      <c r="F243" s="28">
        <v>0.4</v>
      </c>
      <c r="G243" s="28">
        <v>2820</v>
      </c>
      <c r="H243" s="28">
        <v>15</v>
      </c>
    </row>
    <row r="244" spans="1:8" x14ac:dyDescent="0.3">
      <c r="A244">
        <v>239</v>
      </c>
      <c r="B244" t="s">
        <v>657</v>
      </c>
      <c r="C244" s="28">
        <v>22</v>
      </c>
      <c r="D244" s="28">
        <v>38</v>
      </c>
      <c r="E244" s="28">
        <v>5</v>
      </c>
      <c r="F244" s="28">
        <v>0.5</v>
      </c>
      <c r="G244" s="28">
        <v>2863</v>
      </c>
      <c r="H244" s="28">
        <v>8</v>
      </c>
    </row>
    <row r="245" spans="1:8" x14ac:dyDescent="0.3">
      <c r="A245">
        <v>240</v>
      </c>
      <c r="B245" t="s">
        <v>2322</v>
      </c>
      <c r="C245" s="28">
        <v>0</v>
      </c>
      <c r="D245" s="28">
        <v>60</v>
      </c>
      <c r="E245" s="28">
        <v>10</v>
      </c>
      <c r="F245" s="28">
        <v>0.8</v>
      </c>
      <c r="G245" s="28">
        <v>4600</v>
      </c>
      <c r="H245" s="28">
        <v>18</v>
      </c>
    </row>
    <row r="246" spans="1:8" x14ac:dyDescent="0.3">
      <c r="A246">
        <v>241</v>
      </c>
      <c r="B246" t="s">
        <v>2323</v>
      </c>
      <c r="C246" s="28">
        <v>8</v>
      </c>
      <c r="D246" s="28">
        <v>130</v>
      </c>
      <c r="E246" s="28">
        <v>30</v>
      </c>
      <c r="F246" s="28">
        <v>0.5</v>
      </c>
      <c r="G246" s="28">
        <v>1650</v>
      </c>
      <c r="H246" s="28">
        <v>31</v>
      </c>
    </row>
    <row r="247" spans="1:8" x14ac:dyDescent="0.3">
      <c r="A247">
        <v>242</v>
      </c>
      <c r="B247" t="s">
        <v>2324</v>
      </c>
      <c r="C247" s="28">
        <v>117</v>
      </c>
      <c r="D247" s="28">
        <v>9.3000000000000007</v>
      </c>
      <c r="E247" s="28">
        <v>10</v>
      </c>
      <c r="F247" s="28">
        <v>0.8</v>
      </c>
      <c r="G247" s="28">
        <v>1700</v>
      </c>
      <c r="H247" s="28">
        <v>17</v>
      </c>
    </row>
    <row r="248" spans="1:8" x14ac:dyDescent="0.3">
      <c r="A248">
        <v>243</v>
      </c>
      <c r="B248" t="s">
        <v>658</v>
      </c>
      <c r="C248" s="28">
        <v>22</v>
      </c>
      <c r="D248" s="28">
        <v>37</v>
      </c>
      <c r="E248" s="28">
        <v>2</v>
      </c>
      <c r="F248" s="28">
        <v>0.6</v>
      </c>
      <c r="G248" s="28">
        <v>1057</v>
      </c>
      <c r="H248" s="28">
        <v>5.48</v>
      </c>
    </row>
    <row r="249" spans="1:8" x14ac:dyDescent="0.3">
      <c r="A249">
        <v>244</v>
      </c>
      <c r="B249" t="s">
        <v>2325</v>
      </c>
      <c r="C249" s="28">
        <v>0</v>
      </c>
      <c r="D249" s="28">
        <v>27</v>
      </c>
      <c r="E249" s="28">
        <v>3</v>
      </c>
      <c r="F249" s="28">
        <v>0.05</v>
      </c>
      <c r="G249" s="28">
        <v>12400</v>
      </c>
      <c r="H249" s="28">
        <v>51</v>
      </c>
    </row>
    <row r="250" spans="1:8" x14ac:dyDescent="0.3">
      <c r="A250">
        <v>245</v>
      </c>
      <c r="B250" t="s">
        <v>2326</v>
      </c>
      <c r="C250" s="28">
        <v>17</v>
      </c>
      <c r="D250" s="28">
        <v>15.2</v>
      </c>
      <c r="E250" s="28">
        <v>8</v>
      </c>
      <c r="F250" s="28">
        <v>0.5</v>
      </c>
      <c r="G250" s="28">
        <v>670</v>
      </c>
      <c r="H250" s="28">
        <v>15</v>
      </c>
    </row>
    <row r="251" spans="1:8" x14ac:dyDescent="0.3">
      <c r="A251">
        <v>246</v>
      </c>
      <c r="B251" t="s">
        <v>2327</v>
      </c>
      <c r="C251" s="28">
        <v>44</v>
      </c>
      <c r="D251" s="28">
        <v>14</v>
      </c>
      <c r="E251" s="28">
        <v>7</v>
      </c>
      <c r="F251" s="28">
        <v>0.95</v>
      </c>
      <c r="G251" s="28">
        <v>540</v>
      </c>
      <c r="H251" s="28">
        <v>15</v>
      </c>
    </row>
    <row r="252" spans="1:8" x14ac:dyDescent="0.3">
      <c r="A252">
        <v>247</v>
      </c>
      <c r="B252" t="s">
        <v>2328</v>
      </c>
      <c r="C252" s="28">
        <v>100</v>
      </c>
      <c r="D252" s="28">
        <v>8</v>
      </c>
      <c r="E252" s="28">
        <v>4</v>
      </c>
      <c r="F252" s="28">
        <v>0.7</v>
      </c>
      <c r="G252" s="28">
        <v>430</v>
      </c>
      <c r="H252" s="28">
        <v>8</v>
      </c>
    </row>
    <row r="253" spans="1:8" x14ac:dyDescent="0.3">
      <c r="A253">
        <v>248</v>
      </c>
      <c r="B253" t="s">
        <v>2329</v>
      </c>
      <c r="C253" s="28">
        <v>100</v>
      </c>
      <c r="D253" s="28">
        <v>53</v>
      </c>
      <c r="E253" s="28">
        <v>30</v>
      </c>
      <c r="F253" s="28">
        <v>0.7</v>
      </c>
      <c r="G253" s="28">
        <v>648</v>
      </c>
      <c r="H253" s="28">
        <v>2205.85</v>
      </c>
    </row>
    <row r="254" spans="1:8" x14ac:dyDescent="0.3">
      <c r="A254">
        <v>249</v>
      </c>
      <c r="B254" t="s">
        <v>659</v>
      </c>
      <c r="C254" s="28">
        <v>0</v>
      </c>
      <c r="D254" s="28">
        <v>110</v>
      </c>
      <c r="E254" s="28">
        <v>1</v>
      </c>
      <c r="F254" s="28">
        <v>0.35</v>
      </c>
      <c r="G254" s="28">
        <v>10000</v>
      </c>
      <c r="H254" s="28">
        <v>15</v>
      </c>
    </row>
    <row r="255" spans="1:8" x14ac:dyDescent="0.3">
      <c r="A255">
        <v>250</v>
      </c>
      <c r="B255" t="s">
        <v>2330</v>
      </c>
      <c r="C255" s="28">
        <v>4</v>
      </c>
      <c r="D255" s="28">
        <v>6</v>
      </c>
      <c r="E255" s="28">
        <v>5</v>
      </c>
      <c r="F255" s="28">
        <v>0.4</v>
      </c>
      <c r="G255" s="28">
        <v>1830</v>
      </c>
      <c r="H255" s="28">
        <v>49</v>
      </c>
    </row>
    <row r="256" spans="1:8" x14ac:dyDescent="0.3">
      <c r="A256">
        <v>251</v>
      </c>
      <c r="B256" t="s">
        <v>2331</v>
      </c>
      <c r="C256" s="28">
        <v>400000</v>
      </c>
      <c r="D256" s="28">
        <v>108</v>
      </c>
      <c r="E256" s="28">
        <v>8</v>
      </c>
      <c r="F256" s="28">
        <v>0.6</v>
      </c>
      <c r="G256" s="28">
        <v>29</v>
      </c>
      <c r="H256" s="28">
        <v>34</v>
      </c>
    </row>
    <row r="257" spans="1:8" x14ac:dyDescent="0.3">
      <c r="A257">
        <v>252</v>
      </c>
      <c r="B257" t="s">
        <v>2332</v>
      </c>
      <c r="C257" s="28">
        <v>400000</v>
      </c>
      <c r="D257" s="28">
        <v>108</v>
      </c>
      <c r="E257" s="28">
        <v>8</v>
      </c>
      <c r="F257" s="28">
        <v>0.6</v>
      </c>
      <c r="G257" s="28">
        <v>29</v>
      </c>
      <c r="H257" s="28">
        <v>72</v>
      </c>
    </row>
    <row r="258" spans="1:8" x14ac:dyDescent="0.3">
      <c r="A258">
        <v>253</v>
      </c>
      <c r="B258" t="s">
        <v>660</v>
      </c>
      <c r="C258" s="28">
        <v>0</v>
      </c>
      <c r="D258" s="28">
        <v>500</v>
      </c>
      <c r="E258" s="28">
        <v>2</v>
      </c>
      <c r="F258" s="28">
        <v>0.05</v>
      </c>
      <c r="G258" s="28">
        <v>400000</v>
      </c>
      <c r="H258" s="28">
        <v>14</v>
      </c>
    </row>
    <row r="259" spans="1:8" x14ac:dyDescent="0.3">
      <c r="A259">
        <v>254</v>
      </c>
      <c r="B259" t="s">
        <v>661</v>
      </c>
      <c r="C259" s="28">
        <v>0</v>
      </c>
      <c r="D259" s="28">
        <v>27</v>
      </c>
      <c r="E259" s="28">
        <v>1</v>
      </c>
      <c r="F259" s="28">
        <v>0.4</v>
      </c>
      <c r="G259" s="28">
        <v>100000</v>
      </c>
      <c r="H259" s="28">
        <v>14</v>
      </c>
    </row>
    <row r="260" spans="1:8" x14ac:dyDescent="0.3">
      <c r="A260">
        <v>255</v>
      </c>
      <c r="B260" t="s">
        <v>2333</v>
      </c>
      <c r="C260" s="28">
        <v>0</v>
      </c>
      <c r="D260" s="28">
        <v>169</v>
      </c>
      <c r="E260" s="28">
        <v>3</v>
      </c>
      <c r="F260" s="28">
        <v>0.4</v>
      </c>
      <c r="G260" s="28">
        <v>7200</v>
      </c>
      <c r="H260" s="28">
        <v>16.09</v>
      </c>
    </row>
    <row r="261" spans="1:8" x14ac:dyDescent="0.3">
      <c r="A261">
        <v>256</v>
      </c>
      <c r="B261" t="s">
        <v>662</v>
      </c>
      <c r="C261" s="28">
        <v>105</v>
      </c>
      <c r="D261" s="28">
        <v>10</v>
      </c>
      <c r="E261" s="28">
        <v>5</v>
      </c>
      <c r="F261" s="28">
        <v>0.4</v>
      </c>
      <c r="G261" s="28">
        <v>300</v>
      </c>
      <c r="H261" s="28">
        <v>15</v>
      </c>
    </row>
    <row r="262" spans="1:8" x14ac:dyDescent="0.3">
      <c r="A262">
        <v>257</v>
      </c>
      <c r="B262" t="s">
        <v>663</v>
      </c>
      <c r="C262" s="28">
        <v>1</v>
      </c>
      <c r="D262" s="28">
        <v>30</v>
      </c>
      <c r="E262" s="28">
        <v>6</v>
      </c>
      <c r="F262" s="28">
        <v>0.7</v>
      </c>
      <c r="G262" s="28">
        <v>50000</v>
      </c>
      <c r="H262" s="28">
        <v>15</v>
      </c>
    </row>
    <row r="263" spans="1:8" x14ac:dyDescent="0.3">
      <c r="A263">
        <v>258</v>
      </c>
      <c r="B263" t="s">
        <v>2334</v>
      </c>
      <c r="C263" s="28">
        <v>1800</v>
      </c>
      <c r="D263" s="28">
        <v>128</v>
      </c>
      <c r="E263" s="28">
        <v>30</v>
      </c>
      <c r="F263" s="28">
        <v>0.7</v>
      </c>
      <c r="G263" s="28">
        <v>420</v>
      </c>
      <c r="H263" s="28">
        <v>15</v>
      </c>
    </row>
    <row r="264" spans="1:8" x14ac:dyDescent="0.3">
      <c r="A264">
        <v>259</v>
      </c>
      <c r="B264" t="s">
        <v>664</v>
      </c>
      <c r="C264" s="28">
        <v>435</v>
      </c>
      <c r="D264" s="28">
        <v>32</v>
      </c>
      <c r="E264" s="28">
        <v>15</v>
      </c>
      <c r="F264" s="28">
        <v>0.7</v>
      </c>
      <c r="G264" s="28">
        <v>68</v>
      </c>
      <c r="H264" s="28">
        <v>15</v>
      </c>
    </row>
    <row r="265" spans="1:8" x14ac:dyDescent="0.3">
      <c r="A265">
        <v>260</v>
      </c>
      <c r="B265" t="s">
        <v>665</v>
      </c>
      <c r="C265" s="28">
        <v>963000</v>
      </c>
      <c r="D265" s="28">
        <v>4.5</v>
      </c>
      <c r="E265" s="28">
        <v>99</v>
      </c>
      <c r="F265" s="28">
        <v>0.9</v>
      </c>
      <c r="G265" s="28">
        <v>10</v>
      </c>
      <c r="H265" s="28">
        <v>15</v>
      </c>
    </row>
    <row r="266" spans="1:8" x14ac:dyDescent="0.3">
      <c r="A266">
        <v>261</v>
      </c>
      <c r="B266" t="s">
        <v>2335</v>
      </c>
      <c r="C266" s="28">
        <v>33000</v>
      </c>
      <c r="D266" s="28">
        <v>88</v>
      </c>
      <c r="E266" s="28">
        <v>30</v>
      </c>
      <c r="F266" s="28">
        <v>0.9</v>
      </c>
      <c r="G266" s="28">
        <v>40</v>
      </c>
      <c r="H266" s="28">
        <v>79.569999999999993</v>
      </c>
    </row>
    <row r="267" spans="1:8" x14ac:dyDescent="0.3">
      <c r="A267">
        <v>262</v>
      </c>
      <c r="B267" t="s">
        <v>2336</v>
      </c>
      <c r="C267" s="28">
        <v>0</v>
      </c>
      <c r="D267" s="28">
        <v>365</v>
      </c>
      <c r="E267" s="28">
        <v>30</v>
      </c>
      <c r="F267" s="28">
        <v>0.2</v>
      </c>
      <c r="G267" s="28">
        <v>2721</v>
      </c>
      <c r="H267" s="28">
        <v>33</v>
      </c>
    </row>
    <row r="268" spans="1:8" x14ac:dyDescent="0.3">
      <c r="A268">
        <v>263</v>
      </c>
      <c r="B268" t="s">
        <v>2337</v>
      </c>
      <c r="C268" s="28">
        <v>108</v>
      </c>
      <c r="D268" s="28">
        <v>12</v>
      </c>
      <c r="E268" s="28">
        <v>2</v>
      </c>
      <c r="F268" s="28">
        <v>0.8</v>
      </c>
      <c r="G268" s="28">
        <v>260</v>
      </c>
      <c r="H268" s="28">
        <v>469</v>
      </c>
    </row>
    <row r="269" spans="1:8" x14ac:dyDescent="0.3">
      <c r="A269">
        <v>264</v>
      </c>
      <c r="B269" t="s">
        <v>666</v>
      </c>
      <c r="C269" s="28">
        <v>195</v>
      </c>
      <c r="D269" s="28">
        <v>1</v>
      </c>
      <c r="E269" s="28">
        <v>99</v>
      </c>
      <c r="F269" s="28">
        <v>0.9</v>
      </c>
      <c r="G269" s="28">
        <v>123</v>
      </c>
      <c r="H269" s="28">
        <v>5</v>
      </c>
    </row>
    <row r="270" spans="1:8" x14ac:dyDescent="0.3">
      <c r="A270">
        <v>265</v>
      </c>
      <c r="B270" t="s">
        <v>667</v>
      </c>
      <c r="C270" s="28">
        <v>7600</v>
      </c>
      <c r="D270" s="28">
        <v>10</v>
      </c>
      <c r="E270" s="28">
        <v>99</v>
      </c>
      <c r="F270" s="28">
        <v>0.9</v>
      </c>
      <c r="G270" s="28">
        <v>10</v>
      </c>
      <c r="H270" s="28">
        <v>1.67</v>
      </c>
    </row>
    <row r="271" spans="1:8" x14ac:dyDescent="0.3">
      <c r="A271">
        <v>266</v>
      </c>
      <c r="B271" t="s">
        <v>668</v>
      </c>
      <c r="C271" s="28">
        <v>7600</v>
      </c>
      <c r="D271" s="28">
        <v>10</v>
      </c>
      <c r="E271" s="28">
        <v>99</v>
      </c>
      <c r="F271" s="28">
        <v>0.9</v>
      </c>
      <c r="G271" s="28">
        <v>10</v>
      </c>
      <c r="H271" s="28">
        <v>8</v>
      </c>
    </row>
    <row r="272" spans="1:8" x14ac:dyDescent="0.3">
      <c r="A272">
        <v>267</v>
      </c>
      <c r="B272" t="s">
        <v>2338</v>
      </c>
      <c r="C272" s="28">
        <v>282000</v>
      </c>
      <c r="D272" s="28">
        <v>15</v>
      </c>
      <c r="E272" s="28">
        <v>4</v>
      </c>
      <c r="F272" s="28">
        <v>0.95</v>
      </c>
      <c r="G272" s="28">
        <v>9</v>
      </c>
      <c r="H272" s="28">
        <v>45.83</v>
      </c>
    </row>
    <row r="273" spans="1:8" x14ac:dyDescent="0.3">
      <c r="A273">
        <v>268</v>
      </c>
      <c r="B273" t="s">
        <v>2339</v>
      </c>
      <c r="C273" s="28">
        <v>23180</v>
      </c>
      <c r="D273" s="28">
        <v>5.5</v>
      </c>
      <c r="E273" s="28">
        <v>9</v>
      </c>
      <c r="F273" s="28">
        <v>0.45</v>
      </c>
      <c r="G273" s="28">
        <v>48</v>
      </c>
      <c r="H273" s="28">
        <v>28</v>
      </c>
    </row>
    <row r="274" spans="1:8" x14ac:dyDescent="0.3">
      <c r="A274">
        <v>269</v>
      </c>
      <c r="B274" t="s">
        <v>669</v>
      </c>
      <c r="C274" s="28">
        <v>23180</v>
      </c>
      <c r="D274" s="28">
        <v>5.5</v>
      </c>
      <c r="E274" s="28">
        <v>9</v>
      </c>
      <c r="F274" s="28">
        <v>0.45</v>
      </c>
      <c r="G274" s="28">
        <v>48</v>
      </c>
      <c r="H274" s="28">
        <v>13</v>
      </c>
    </row>
    <row r="275" spans="1:8" x14ac:dyDescent="0.3">
      <c r="A275">
        <v>270</v>
      </c>
      <c r="B275" t="s">
        <v>2340</v>
      </c>
      <c r="C275" s="28">
        <v>23180</v>
      </c>
      <c r="D275" s="28">
        <v>5.5</v>
      </c>
      <c r="E275" s="28">
        <v>9</v>
      </c>
      <c r="F275" s="28">
        <v>0.45</v>
      </c>
      <c r="G275" s="28">
        <v>48</v>
      </c>
      <c r="H275" s="28">
        <v>22</v>
      </c>
    </row>
    <row r="276" spans="1:8" x14ac:dyDescent="0.3">
      <c r="A276">
        <v>271</v>
      </c>
      <c r="B276" t="s">
        <v>670</v>
      </c>
      <c r="C276" s="28">
        <v>3</v>
      </c>
      <c r="D276" s="28">
        <v>26</v>
      </c>
      <c r="E276" s="28">
        <v>8</v>
      </c>
      <c r="F276" s="28">
        <v>0.65</v>
      </c>
      <c r="G276" s="28">
        <v>1816</v>
      </c>
      <c r="H276" s="28">
        <v>49</v>
      </c>
    </row>
    <row r="277" spans="1:8" x14ac:dyDescent="0.3">
      <c r="A277">
        <v>272</v>
      </c>
      <c r="B277" t="s">
        <v>2341</v>
      </c>
      <c r="C277" s="28">
        <v>1240000</v>
      </c>
      <c r="D277" s="28">
        <v>7</v>
      </c>
      <c r="E277" s="28">
        <v>5</v>
      </c>
      <c r="F277" s="28">
        <v>0.95</v>
      </c>
      <c r="G277" s="28">
        <v>1</v>
      </c>
      <c r="H277" s="28">
        <v>16</v>
      </c>
    </row>
    <row r="278" spans="1:8" x14ac:dyDescent="0.3">
      <c r="A278">
        <v>273</v>
      </c>
      <c r="B278" t="s">
        <v>2342</v>
      </c>
      <c r="C278" s="28">
        <v>22000</v>
      </c>
      <c r="D278" s="28">
        <v>26</v>
      </c>
      <c r="E278" s="28">
        <v>3</v>
      </c>
      <c r="F278" s="28">
        <v>1</v>
      </c>
      <c r="G278" s="28">
        <v>30</v>
      </c>
      <c r="H278" s="28">
        <v>334.74</v>
      </c>
    </row>
    <row r="279" spans="1:8" x14ac:dyDescent="0.3">
      <c r="A279">
        <v>274</v>
      </c>
      <c r="B279" t="s">
        <v>2343</v>
      </c>
      <c r="C279" s="28">
        <v>70</v>
      </c>
      <c r="D279" s="28">
        <v>10</v>
      </c>
      <c r="E279" s="28">
        <v>3</v>
      </c>
      <c r="F279" s="28">
        <v>1</v>
      </c>
      <c r="G279" s="28">
        <v>50</v>
      </c>
      <c r="H279" s="28">
        <v>261.72000000000003</v>
      </c>
    </row>
    <row r="280" spans="1:8" x14ac:dyDescent="0.3">
      <c r="A280">
        <v>275</v>
      </c>
      <c r="B280" t="s">
        <v>2344</v>
      </c>
      <c r="C280" s="28">
        <v>200</v>
      </c>
      <c r="D280" s="28">
        <v>60</v>
      </c>
      <c r="E280" s="28">
        <v>5</v>
      </c>
      <c r="F280" s="28">
        <v>0.4</v>
      </c>
      <c r="G280" s="28">
        <v>31000</v>
      </c>
      <c r="H280" s="28">
        <v>45.45</v>
      </c>
    </row>
    <row r="281" spans="1:8" x14ac:dyDescent="0.3">
      <c r="A281">
        <v>276</v>
      </c>
      <c r="B281" t="s">
        <v>2210</v>
      </c>
      <c r="C281" s="28">
        <v>110</v>
      </c>
      <c r="D281" s="28">
        <v>189</v>
      </c>
      <c r="E281" s="28">
        <v>3</v>
      </c>
      <c r="F281" s="28">
        <v>0.8</v>
      </c>
      <c r="G281" s="28">
        <v>100</v>
      </c>
      <c r="H281" s="28">
        <v>25.75</v>
      </c>
    </row>
    <row r="282" spans="1:8" x14ac:dyDescent="0.3">
      <c r="A282">
        <v>277</v>
      </c>
      <c r="B282" t="s">
        <v>2345</v>
      </c>
      <c r="C282" s="28">
        <v>33</v>
      </c>
      <c r="D282" s="28">
        <v>146</v>
      </c>
      <c r="E282" s="28">
        <v>5</v>
      </c>
      <c r="F282" s="28">
        <v>0.45</v>
      </c>
      <c r="G282" s="28">
        <v>147</v>
      </c>
      <c r="H282" s="28">
        <v>7.95</v>
      </c>
    </row>
    <row r="283" spans="1:8" x14ac:dyDescent="0.3">
      <c r="A283">
        <v>278</v>
      </c>
      <c r="B283" t="s">
        <v>2346</v>
      </c>
      <c r="C283" s="28">
        <v>620000</v>
      </c>
      <c r="D283" s="28">
        <v>1067</v>
      </c>
      <c r="E283" s="28">
        <v>3</v>
      </c>
      <c r="F283" s="28">
        <v>0.6</v>
      </c>
      <c r="G283" s="28">
        <v>16200</v>
      </c>
      <c r="H283" s="28">
        <v>35.83</v>
      </c>
    </row>
    <row r="284" spans="1:8" x14ac:dyDescent="0.3">
      <c r="A284">
        <v>279</v>
      </c>
      <c r="B284" t="s">
        <v>2347</v>
      </c>
      <c r="C284" s="28">
        <v>818000</v>
      </c>
      <c r="D284" s="28">
        <v>3</v>
      </c>
      <c r="E284" s="28">
        <v>2.5</v>
      </c>
      <c r="F284" s="28">
        <v>0.7</v>
      </c>
      <c r="G284" s="28">
        <v>3</v>
      </c>
      <c r="H284" s="28">
        <v>5.26</v>
      </c>
    </row>
    <row r="285" spans="1:8" x14ac:dyDescent="0.3">
      <c r="A285">
        <v>280</v>
      </c>
      <c r="B285" t="s">
        <v>2348</v>
      </c>
      <c r="C285" s="28">
        <v>29</v>
      </c>
      <c r="D285" s="28">
        <v>17</v>
      </c>
      <c r="E285" s="28">
        <v>3</v>
      </c>
      <c r="F285" s="28">
        <v>1</v>
      </c>
      <c r="G285" s="28">
        <v>412</v>
      </c>
      <c r="H285" s="28">
        <v>142.13999999999999</v>
      </c>
    </row>
    <row r="286" spans="1:8" x14ac:dyDescent="0.3">
      <c r="A286">
        <v>281</v>
      </c>
      <c r="B286" t="s">
        <v>2349</v>
      </c>
      <c r="C286" s="28">
        <v>22</v>
      </c>
      <c r="D286" s="28">
        <v>37</v>
      </c>
      <c r="E286" s="28">
        <v>2</v>
      </c>
      <c r="F286" s="28">
        <v>0.6</v>
      </c>
      <c r="G286" s="28">
        <v>1057</v>
      </c>
      <c r="H286" s="28">
        <v>22</v>
      </c>
    </row>
    <row r="287" spans="1:8" x14ac:dyDescent="0.3">
      <c r="A287">
        <v>282</v>
      </c>
      <c r="B287" t="s">
        <v>2350</v>
      </c>
      <c r="C287" s="28">
        <v>728</v>
      </c>
      <c r="D287" s="28">
        <v>60</v>
      </c>
      <c r="E287" s="28">
        <v>3</v>
      </c>
      <c r="F287" s="28">
        <v>1</v>
      </c>
      <c r="G287" s="28">
        <v>70</v>
      </c>
      <c r="H287" s="28">
        <v>205.26</v>
      </c>
    </row>
    <row r="288" spans="1:8" x14ac:dyDescent="0.3">
      <c r="A288">
        <v>283</v>
      </c>
      <c r="B288" t="s">
        <v>2351</v>
      </c>
      <c r="C288" s="28">
        <v>580</v>
      </c>
      <c r="D288" s="28">
        <v>127</v>
      </c>
      <c r="E288" s="28">
        <v>3</v>
      </c>
      <c r="F288" s="28">
        <v>1</v>
      </c>
      <c r="G288" s="28">
        <v>440</v>
      </c>
      <c r="H288" s="28">
        <v>886.13</v>
      </c>
    </row>
    <row r="289" spans="1:8" x14ac:dyDescent="0.3">
      <c r="A289">
        <v>284</v>
      </c>
      <c r="B289" t="s">
        <v>2352</v>
      </c>
      <c r="C289" s="28">
        <v>20</v>
      </c>
      <c r="D289" s="28">
        <v>10</v>
      </c>
      <c r="E289" s="28">
        <v>3</v>
      </c>
      <c r="F289" s="28">
        <v>1</v>
      </c>
      <c r="G289" s="28">
        <v>110</v>
      </c>
      <c r="H289" s="28">
        <v>232</v>
      </c>
    </row>
    <row r="290" spans="1:8" x14ac:dyDescent="0.3">
      <c r="A290">
        <v>285</v>
      </c>
      <c r="B290" t="s">
        <v>2353</v>
      </c>
      <c r="C290" s="28">
        <v>42</v>
      </c>
      <c r="D290" s="28">
        <v>90</v>
      </c>
      <c r="E290" s="28">
        <v>30</v>
      </c>
      <c r="F290" s="28">
        <v>0.45</v>
      </c>
      <c r="G290" s="28">
        <v>477</v>
      </c>
      <c r="H290" s="28">
        <v>10</v>
      </c>
    </row>
    <row r="291" spans="1:8" ht="15.75" customHeight="1" x14ac:dyDescent="0.3">
      <c r="A291">
        <v>286</v>
      </c>
      <c r="B291" t="s">
        <v>2354</v>
      </c>
      <c r="C291" s="28">
        <v>70</v>
      </c>
      <c r="D291" s="28">
        <v>30</v>
      </c>
      <c r="E291" s="28">
        <v>3</v>
      </c>
      <c r="F291" s="28">
        <v>1</v>
      </c>
      <c r="G291" s="28">
        <v>50</v>
      </c>
      <c r="H291" s="28">
        <v>1.43</v>
      </c>
    </row>
    <row r="292" spans="1:8" ht="15.75" customHeight="1" x14ac:dyDescent="0.3">
      <c r="A292">
        <v>287</v>
      </c>
      <c r="B292" t="s">
        <v>2355</v>
      </c>
      <c r="C292" s="28">
        <v>33</v>
      </c>
      <c r="D292" s="28">
        <v>146</v>
      </c>
      <c r="E292" s="28">
        <v>5</v>
      </c>
      <c r="F292" s="28">
        <v>0.45</v>
      </c>
      <c r="G292" s="28">
        <v>147</v>
      </c>
      <c r="H292" s="28">
        <v>43</v>
      </c>
    </row>
    <row r="293" spans="1:8" ht="15.75" customHeight="1" x14ac:dyDescent="0.3">
      <c r="A293">
        <v>288</v>
      </c>
      <c r="B293" t="s">
        <v>2356</v>
      </c>
      <c r="C293" s="28">
        <v>488</v>
      </c>
      <c r="D293" s="28">
        <v>26</v>
      </c>
      <c r="E293" s="28">
        <v>5</v>
      </c>
      <c r="F293" s="28">
        <v>0.6</v>
      </c>
      <c r="G293" s="28">
        <v>70</v>
      </c>
      <c r="H293" s="28">
        <v>11</v>
      </c>
    </row>
    <row r="294" spans="1:8" ht="15.75" customHeight="1" x14ac:dyDescent="0.3">
      <c r="A294">
        <v>289</v>
      </c>
      <c r="B294" t="s">
        <v>2357</v>
      </c>
      <c r="C294" s="28">
        <v>1</v>
      </c>
      <c r="D294" s="28">
        <v>1</v>
      </c>
      <c r="E294" s="28">
        <v>5</v>
      </c>
      <c r="F294" s="28">
        <v>0.2</v>
      </c>
      <c r="G294" s="28">
        <v>9490</v>
      </c>
      <c r="H294" s="28">
        <v>629.55999999999995</v>
      </c>
    </row>
    <row r="295" spans="1:8" ht="15.75" customHeight="1" x14ac:dyDescent="0.3">
      <c r="A295">
        <v>290</v>
      </c>
      <c r="B295" t="s">
        <v>2358</v>
      </c>
      <c r="C295" s="28">
        <v>1</v>
      </c>
      <c r="D295" s="28">
        <v>21</v>
      </c>
      <c r="E295" s="28">
        <v>4</v>
      </c>
      <c r="F295" s="28">
        <v>0.4</v>
      </c>
      <c r="G295" s="28">
        <v>5700</v>
      </c>
      <c r="H295" s="28">
        <v>110</v>
      </c>
    </row>
    <row r="296" spans="1:8" x14ac:dyDescent="0.3">
      <c r="A296">
        <v>291</v>
      </c>
      <c r="B296" t="s">
        <v>2359</v>
      </c>
      <c r="C296" s="28">
        <v>0</v>
      </c>
      <c r="D296" s="28">
        <v>0.1</v>
      </c>
      <c r="E296" s="28">
        <v>0.1</v>
      </c>
      <c r="F296" s="28">
        <v>0.5</v>
      </c>
      <c r="G296" s="28">
        <v>100</v>
      </c>
      <c r="H296" s="28">
        <v>17</v>
      </c>
    </row>
    <row r="297" spans="1:8" x14ac:dyDescent="0.3">
      <c r="A297">
        <v>292</v>
      </c>
      <c r="B297" t="s">
        <v>2360</v>
      </c>
      <c r="C297" s="28">
        <v>240</v>
      </c>
      <c r="D297" s="28">
        <v>15</v>
      </c>
      <c r="E297" s="28">
        <v>3</v>
      </c>
      <c r="F297" s="28">
        <v>0.4</v>
      </c>
      <c r="G297" s="28">
        <v>170</v>
      </c>
      <c r="H297" s="28">
        <v>89</v>
      </c>
    </row>
    <row r="298" spans="1:8" x14ac:dyDescent="0.3">
      <c r="A298">
        <v>293</v>
      </c>
      <c r="B298" t="s">
        <v>2361</v>
      </c>
      <c r="C298" s="28">
        <v>33</v>
      </c>
      <c r="D298" s="28">
        <v>60</v>
      </c>
      <c r="E298" s="28">
        <v>5</v>
      </c>
      <c r="F298" s="28">
        <v>0.45</v>
      </c>
      <c r="G298" s="28">
        <v>100</v>
      </c>
      <c r="H298" s="28">
        <v>12</v>
      </c>
    </row>
    <row r="299" spans="1:8" x14ac:dyDescent="0.3">
      <c r="A299">
        <v>294</v>
      </c>
      <c r="B299" t="s">
        <v>2362</v>
      </c>
      <c r="C299" s="28">
        <v>240</v>
      </c>
      <c r="D299" s="28">
        <v>15</v>
      </c>
      <c r="E299" s="28">
        <v>3</v>
      </c>
      <c r="F299" s="28">
        <v>0.4</v>
      </c>
      <c r="G299" s="28">
        <v>170</v>
      </c>
      <c r="H299" s="28">
        <v>16.760000000000002</v>
      </c>
    </row>
    <row r="300" spans="1:8" x14ac:dyDescent="0.3">
      <c r="A300">
        <v>295</v>
      </c>
      <c r="B300" t="s">
        <v>2363</v>
      </c>
      <c r="C300" s="28">
        <v>0</v>
      </c>
      <c r="D300" s="28">
        <v>26</v>
      </c>
      <c r="E300" s="28">
        <v>7</v>
      </c>
      <c r="F300" s="28">
        <v>0.4</v>
      </c>
      <c r="G300" s="28">
        <v>240000</v>
      </c>
      <c r="H300" s="28">
        <v>9212</v>
      </c>
    </row>
    <row r="301" spans="1:8" x14ac:dyDescent="0.3">
      <c r="A301">
        <v>296</v>
      </c>
      <c r="B301" t="s">
        <v>2364</v>
      </c>
      <c r="C301" s="28">
        <v>530</v>
      </c>
      <c r="D301" s="28">
        <v>90</v>
      </c>
      <c r="E301" s="28">
        <v>5</v>
      </c>
      <c r="F301" s="28">
        <v>0.6</v>
      </c>
      <c r="G301" s="28">
        <v>200</v>
      </c>
      <c r="H301" s="28">
        <v>38.119999999999997</v>
      </c>
    </row>
    <row r="302" spans="1:8" x14ac:dyDescent="0.3">
      <c r="A302">
        <v>297</v>
      </c>
      <c r="B302" t="s">
        <v>2365</v>
      </c>
      <c r="C302" s="28">
        <v>36000</v>
      </c>
      <c r="D302" s="28">
        <v>232</v>
      </c>
      <c r="E302" s="28">
        <v>9</v>
      </c>
      <c r="F302" s="28">
        <v>0.4</v>
      </c>
      <c r="G302" s="28">
        <v>137</v>
      </c>
      <c r="H302" s="28">
        <v>7.0000000000000007E-2</v>
      </c>
    </row>
    <row r="303" spans="1:8" x14ac:dyDescent="0.3">
      <c r="A303">
        <v>298</v>
      </c>
      <c r="B303" t="s">
        <v>2366</v>
      </c>
      <c r="C303" s="28">
        <v>6</v>
      </c>
      <c r="D303" s="28">
        <v>75</v>
      </c>
      <c r="E303" s="28">
        <v>3</v>
      </c>
      <c r="F303" s="28">
        <v>0.4</v>
      </c>
      <c r="G303" s="28">
        <v>55</v>
      </c>
      <c r="H303" s="28">
        <v>2.11</v>
      </c>
    </row>
    <row r="304" spans="1:8" x14ac:dyDescent="0.3">
      <c r="A304">
        <v>299</v>
      </c>
      <c r="B304" t="s">
        <v>2367</v>
      </c>
      <c r="C304" s="28">
        <v>250000</v>
      </c>
      <c r="D304" s="28">
        <v>14</v>
      </c>
      <c r="E304" s="28">
        <v>5</v>
      </c>
      <c r="F304" s="28">
        <v>0.95</v>
      </c>
      <c r="G304" s="28">
        <v>113</v>
      </c>
      <c r="H304" s="28">
        <v>96</v>
      </c>
    </row>
    <row r="305" spans="1:8" x14ac:dyDescent="0.3">
      <c r="A305">
        <v>300</v>
      </c>
      <c r="B305" t="s">
        <v>2368</v>
      </c>
      <c r="C305" s="28">
        <v>250000</v>
      </c>
      <c r="D305" s="28">
        <v>14</v>
      </c>
      <c r="E305" s="28">
        <v>5</v>
      </c>
      <c r="F305" s="28">
        <v>0.95</v>
      </c>
      <c r="G305" s="28">
        <v>113</v>
      </c>
      <c r="H305" s="28">
        <v>186.75</v>
      </c>
    </row>
    <row r="306" spans="1:8" x14ac:dyDescent="0.3">
      <c r="A306">
        <v>301</v>
      </c>
      <c r="B306" t="s">
        <v>2369</v>
      </c>
      <c r="C306" s="28">
        <v>2300000</v>
      </c>
      <c r="D306" s="28">
        <v>20</v>
      </c>
      <c r="E306" s="28">
        <v>2</v>
      </c>
      <c r="F306" s="28">
        <v>0.6</v>
      </c>
      <c r="G306" s="28">
        <v>34</v>
      </c>
      <c r="H306" s="28">
        <v>285</v>
      </c>
    </row>
    <row r="307" spans="1:8" x14ac:dyDescent="0.3">
      <c r="A307">
        <v>302</v>
      </c>
      <c r="B307" t="s">
        <v>2370</v>
      </c>
      <c r="C307" s="28">
        <v>7</v>
      </c>
      <c r="D307" s="28">
        <v>65</v>
      </c>
      <c r="E307" s="28">
        <v>3</v>
      </c>
      <c r="F307" s="28">
        <v>1</v>
      </c>
      <c r="G307" s="28">
        <v>1590</v>
      </c>
      <c r="H307" s="28">
        <v>251</v>
      </c>
    </row>
    <row r="308" spans="1:8" x14ac:dyDescent="0.3">
      <c r="A308">
        <v>303</v>
      </c>
      <c r="B308" t="s">
        <v>2371</v>
      </c>
      <c r="C308" s="28">
        <v>10</v>
      </c>
      <c r="D308" s="28">
        <v>116</v>
      </c>
      <c r="E308" s="28">
        <v>3</v>
      </c>
      <c r="F308" s="28">
        <v>1</v>
      </c>
      <c r="G308" s="28">
        <v>800</v>
      </c>
      <c r="H308" s="28">
        <v>31</v>
      </c>
    </row>
    <row r="309" spans="1:8" x14ac:dyDescent="0.3">
      <c r="A309">
        <v>304</v>
      </c>
      <c r="B309" t="s">
        <v>2372</v>
      </c>
      <c r="C309" s="28">
        <v>110</v>
      </c>
      <c r="D309" s="28">
        <v>110</v>
      </c>
      <c r="E309" s="28">
        <v>30</v>
      </c>
      <c r="F309" s="28">
        <v>0.7</v>
      </c>
      <c r="G309" s="28">
        <v>1000</v>
      </c>
      <c r="H309" s="28">
        <v>48</v>
      </c>
    </row>
    <row r="310" spans="1:8" x14ac:dyDescent="0.3">
      <c r="A310">
        <v>305</v>
      </c>
      <c r="B310" t="s">
        <v>2373</v>
      </c>
      <c r="C310" s="28">
        <v>1</v>
      </c>
      <c r="D310" s="28">
        <v>5</v>
      </c>
      <c r="E310" s="28">
        <v>5</v>
      </c>
      <c r="F310" s="28">
        <v>0.4</v>
      </c>
      <c r="G310" s="28">
        <v>2709</v>
      </c>
      <c r="H310" s="28">
        <v>166</v>
      </c>
    </row>
    <row r="311" spans="1:8" x14ac:dyDescent="0.3">
      <c r="A311">
        <v>306</v>
      </c>
      <c r="B311" t="s">
        <v>2374</v>
      </c>
      <c r="C311" s="28">
        <v>110</v>
      </c>
      <c r="D311" s="28">
        <v>110</v>
      </c>
      <c r="E311" s="28">
        <v>30</v>
      </c>
      <c r="F311" s="28">
        <v>0.7</v>
      </c>
      <c r="G311" s="28">
        <v>1000</v>
      </c>
      <c r="H311" s="28">
        <v>166</v>
      </c>
    </row>
    <row r="312" spans="1:8" x14ac:dyDescent="0.3">
      <c r="A312">
        <v>307</v>
      </c>
      <c r="B312" t="s">
        <v>2375</v>
      </c>
      <c r="C312" s="28">
        <v>0</v>
      </c>
      <c r="D312" s="28">
        <v>45</v>
      </c>
      <c r="E312" s="28">
        <v>4</v>
      </c>
      <c r="F312" s="28">
        <v>0.4</v>
      </c>
      <c r="G312" s="28">
        <v>5120</v>
      </c>
      <c r="H312" s="28">
        <v>22.71</v>
      </c>
    </row>
    <row r="313" spans="1:8" x14ac:dyDescent="0.3">
      <c r="A313">
        <v>308</v>
      </c>
      <c r="B313" t="s">
        <v>2376</v>
      </c>
      <c r="C313" s="28">
        <v>1174</v>
      </c>
      <c r="D313" s="28">
        <v>20</v>
      </c>
      <c r="E313" s="28">
        <v>5</v>
      </c>
      <c r="F313" s="28">
        <v>0.4</v>
      </c>
      <c r="G313" s="28">
        <v>160</v>
      </c>
      <c r="H313" s="28">
        <v>37.76</v>
      </c>
    </row>
    <row r="314" spans="1:8" x14ac:dyDescent="0.3">
      <c r="A314">
        <v>309</v>
      </c>
      <c r="B314" t="s">
        <v>2377</v>
      </c>
      <c r="C314" s="28">
        <v>250000</v>
      </c>
      <c r="D314" s="28">
        <v>30</v>
      </c>
      <c r="E314" s="28">
        <v>5</v>
      </c>
      <c r="F314" s="28">
        <v>0.95</v>
      </c>
      <c r="G314" s="28">
        <v>113</v>
      </c>
      <c r="H314" s="28">
        <v>87</v>
      </c>
    </row>
    <row r="315" spans="1:8" x14ac:dyDescent="0.3">
      <c r="A315">
        <v>310</v>
      </c>
      <c r="B315" t="s">
        <v>2378</v>
      </c>
      <c r="C315" s="28">
        <v>2</v>
      </c>
      <c r="D315" s="28">
        <v>6</v>
      </c>
      <c r="E315" s="28">
        <v>3</v>
      </c>
      <c r="F315" s="28">
        <v>1</v>
      </c>
      <c r="G315" s="28">
        <v>190</v>
      </c>
      <c r="H315" s="28">
        <v>51.33</v>
      </c>
    </row>
    <row r="316" spans="1:8" x14ac:dyDescent="0.3">
      <c r="A316">
        <v>311</v>
      </c>
      <c r="B316" t="s">
        <v>2379</v>
      </c>
      <c r="C316" s="28">
        <v>8</v>
      </c>
      <c r="D316" s="28">
        <v>7</v>
      </c>
      <c r="E316" s="28">
        <v>9</v>
      </c>
      <c r="F316" s="28">
        <v>0.45</v>
      </c>
      <c r="G316" s="28">
        <v>201</v>
      </c>
      <c r="H316" s="28">
        <v>6</v>
      </c>
    </row>
    <row r="317" spans="1:8" x14ac:dyDescent="0.3">
      <c r="A317">
        <v>312</v>
      </c>
      <c r="B317" t="s">
        <v>2380</v>
      </c>
      <c r="C317" s="28">
        <v>4390</v>
      </c>
      <c r="D317" s="28">
        <v>5</v>
      </c>
      <c r="E317" s="28">
        <v>3</v>
      </c>
      <c r="F317" s="28">
        <v>0.7</v>
      </c>
      <c r="G317" s="28">
        <v>100</v>
      </c>
      <c r="H317" s="28">
        <v>133.16999999999999</v>
      </c>
    </row>
    <row r="318" spans="1:8" x14ac:dyDescent="0.3">
      <c r="A318">
        <v>313</v>
      </c>
      <c r="B318" t="s">
        <v>2381</v>
      </c>
      <c r="C318" s="28">
        <v>5400</v>
      </c>
      <c r="D318" s="28">
        <v>3</v>
      </c>
      <c r="E318" s="28">
        <v>7</v>
      </c>
      <c r="F318" s="28">
        <v>0.5</v>
      </c>
      <c r="G318" s="28">
        <v>10</v>
      </c>
      <c r="H318" s="28">
        <v>225.11</v>
      </c>
    </row>
    <row r="319" spans="1:8" x14ac:dyDescent="0.3">
      <c r="A319">
        <v>314</v>
      </c>
      <c r="B319" t="s">
        <v>2382</v>
      </c>
      <c r="C319" s="28">
        <v>2270</v>
      </c>
      <c r="D319" s="28">
        <v>1</v>
      </c>
      <c r="E319" s="28">
        <v>5</v>
      </c>
      <c r="F319" s="28">
        <v>0.4</v>
      </c>
      <c r="G319" s="28">
        <v>62</v>
      </c>
      <c r="H319" s="28">
        <v>2</v>
      </c>
    </row>
    <row r="320" spans="1:8" x14ac:dyDescent="0.3">
      <c r="A320">
        <v>315</v>
      </c>
      <c r="B320" t="s">
        <v>2383</v>
      </c>
      <c r="C320" s="28">
        <v>2270</v>
      </c>
      <c r="D320" s="28">
        <v>1</v>
      </c>
      <c r="E320" s="28">
        <v>5</v>
      </c>
      <c r="F320" s="28">
        <v>0.4</v>
      </c>
      <c r="G320" s="28">
        <v>62</v>
      </c>
      <c r="H320" s="28">
        <v>8</v>
      </c>
    </row>
    <row r="321" spans="1:8" x14ac:dyDescent="0.3">
      <c r="A321">
        <v>316</v>
      </c>
      <c r="B321" t="s">
        <v>2383</v>
      </c>
      <c r="C321" s="28">
        <v>2250</v>
      </c>
      <c r="D321" s="28">
        <v>10</v>
      </c>
      <c r="E321" s="28">
        <v>99</v>
      </c>
      <c r="F321" s="28">
        <v>0.9</v>
      </c>
      <c r="G321" s="28">
        <v>66</v>
      </c>
      <c r="H321" s="28">
        <v>4</v>
      </c>
    </row>
    <row r="322" spans="1:8" x14ac:dyDescent="0.3">
      <c r="A322">
        <v>317</v>
      </c>
      <c r="B322" t="s">
        <v>2384</v>
      </c>
      <c r="C322" s="28">
        <v>110</v>
      </c>
      <c r="D322" s="28">
        <v>17</v>
      </c>
      <c r="E322" s="28">
        <v>7</v>
      </c>
      <c r="F322" s="28">
        <v>0.55000000000000004</v>
      </c>
      <c r="G322" s="28">
        <v>288</v>
      </c>
      <c r="H322" s="28">
        <v>43</v>
      </c>
    </row>
    <row r="323" spans="1:8" x14ac:dyDescent="0.3">
      <c r="A323">
        <v>318</v>
      </c>
      <c r="B323" t="s">
        <v>2385</v>
      </c>
      <c r="C323" s="28">
        <v>0</v>
      </c>
      <c r="D323" s="28">
        <v>5</v>
      </c>
      <c r="E323" s="28">
        <v>5</v>
      </c>
      <c r="F323" s="28">
        <v>0.4</v>
      </c>
      <c r="G323" s="28">
        <v>5000</v>
      </c>
      <c r="H323" s="28">
        <v>145</v>
      </c>
    </row>
    <row r="324" spans="1:8" x14ac:dyDescent="0.3">
      <c r="A324">
        <v>319</v>
      </c>
      <c r="B324" t="s">
        <v>2386</v>
      </c>
      <c r="C324" s="28">
        <v>1</v>
      </c>
      <c r="D324" s="28">
        <v>56</v>
      </c>
      <c r="E324" s="28">
        <v>5</v>
      </c>
      <c r="F324" s="28">
        <v>0.2</v>
      </c>
      <c r="G324" s="28">
        <v>4000</v>
      </c>
      <c r="H324" s="28">
        <v>40</v>
      </c>
    </row>
    <row r="325" spans="1:8" x14ac:dyDescent="0.3">
      <c r="A325">
        <v>320</v>
      </c>
      <c r="B325" t="s">
        <v>2387</v>
      </c>
      <c r="C325" s="28">
        <v>12</v>
      </c>
      <c r="D325" s="28">
        <v>2.2000000000000002</v>
      </c>
      <c r="E325" s="28">
        <v>3</v>
      </c>
      <c r="F325" s="28">
        <v>0.5</v>
      </c>
      <c r="G325" s="28">
        <v>1345</v>
      </c>
      <c r="H325" s="28">
        <v>6.21</v>
      </c>
    </row>
    <row r="326" spans="1:8" x14ac:dyDescent="0.3">
      <c r="A326">
        <v>321</v>
      </c>
      <c r="B326" t="s">
        <v>2388</v>
      </c>
      <c r="C326" s="28">
        <v>1</v>
      </c>
      <c r="D326" s="28">
        <v>30.5</v>
      </c>
      <c r="E326" s="28">
        <v>3.3</v>
      </c>
      <c r="F326" s="28">
        <v>0.65</v>
      </c>
      <c r="G326" s="28">
        <v>9930</v>
      </c>
      <c r="H326" s="28">
        <v>5.7</v>
      </c>
    </row>
    <row r="327" spans="1:8" x14ac:dyDescent="0.3">
      <c r="A327">
        <v>322</v>
      </c>
      <c r="B327" t="s">
        <v>2389</v>
      </c>
      <c r="C327" s="28">
        <v>843</v>
      </c>
      <c r="D327" s="28">
        <v>24</v>
      </c>
      <c r="E327" s="28">
        <v>99</v>
      </c>
      <c r="F327" s="28">
        <v>0.9</v>
      </c>
      <c r="G327" s="28">
        <v>104</v>
      </c>
      <c r="H327" s="28">
        <v>26</v>
      </c>
    </row>
  </sheetData>
  <pageMargins left="0.7" right="0.7" top="0.75" bottom="0.75" header="0.3" footer="0.3"/>
  <drawing r:id="rId1"/>
  <legacyDrawing r:id="rId2"/>
  <controls>
    <mc:AlternateContent xmlns:mc="http://schemas.openxmlformats.org/markup-compatibility/2006">
      <mc:Choice Requires="x14">
        <control shapeId="18443" r:id="rId3" name="cmdRun">
          <controlPr defaultSize="0" autoLine="0" r:id="rId4">
            <anchor moveWithCells="1">
              <from>
                <xdr:col>9</xdr:col>
                <xdr:colOff>0</xdr:colOff>
                <xdr:row>0</xdr:row>
                <xdr:rowOff>251460</xdr:rowOff>
              </from>
              <to>
                <xdr:col>10</xdr:col>
                <xdr:colOff>403860</xdr:colOff>
                <xdr:row>1</xdr:row>
                <xdr:rowOff>243840</xdr:rowOff>
              </to>
            </anchor>
          </controlPr>
        </control>
      </mc:Choice>
      <mc:Fallback>
        <control shapeId="18443" r:id="rId3" name="cmdRun"/>
      </mc:Fallback>
    </mc:AlternateContent>
    <mc:AlternateContent xmlns:mc="http://schemas.openxmlformats.org/markup-compatibility/2006">
      <mc:Choice Requires="x14">
        <control shapeId="18441" r:id="rId5" name="cmdReadPest">
          <controlPr defaultSize="0" autoLine="0" r:id="rId6">
            <anchor moveWithCells="1">
              <from>
                <xdr:col>5</xdr:col>
                <xdr:colOff>518160</xdr:colOff>
                <xdr:row>0</xdr:row>
                <xdr:rowOff>251460</xdr:rowOff>
              </from>
              <to>
                <xdr:col>7</xdr:col>
                <xdr:colOff>167640</xdr:colOff>
                <xdr:row>1</xdr:row>
                <xdr:rowOff>243840</xdr:rowOff>
              </to>
            </anchor>
          </controlPr>
        </control>
      </mc:Choice>
      <mc:Fallback>
        <control shapeId="18441" r:id="rId5" name="cmdReadPest"/>
      </mc:Fallback>
    </mc:AlternateContent>
    <mc:AlternateContent xmlns:mc="http://schemas.openxmlformats.org/markup-compatibility/2006">
      <mc:Choice Requires="x14">
        <control shapeId="18442" r:id="rId7" name="cmdWritePest">
          <controlPr defaultSize="0" autoLine="0" r:id="rId8">
            <anchor moveWithCells="1">
              <from>
                <xdr:col>7</xdr:col>
                <xdr:colOff>213360</xdr:colOff>
                <xdr:row>0</xdr:row>
                <xdr:rowOff>251460</xdr:rowOff>
              </from>
              <to>
                <xdr:col>8</xdr:col>
                <xdr:colOff>548640</xdr:colOff>
                <xdr:row>1</xdr:row>
                <xdr:rowOff>243840</xdr:rowOff>
              </to>
            </anchor>
          </controlPr>
        </control>
      </mc:Choice>
      <mc:Fallback>
        <control shapeId="18442" r:id="rId7" name="cmdWritePest"/>
      </mc:Fallback>
    </mc:AlternateContent>
    <mc:AlternateContent xmlns:mc="http://schemas.openxmlformats.org/markup-compatibility/2006">
      <mc:Choice Requires="x14">
        <control shapeId="18445" r:id="rId9" name="cmbBoxPest">
          <controlPr defaultSize="0" autoLine="0" linkedCell="B2" r:id="rId10">
            <anchor moveWithCells="1">
              <from>
                <xdr:col>1</xdr:col>
                <xdr:colOff>22860</xdr:colOff>
                <xdr:row>1</xdr:row>
                <xdr:rowOff>22860</xdr:rowOff>
              </from>
              <to>
                <xdr:col>2</xdr:col>
                <xdr:colOff>15240</xdr:colOff>
                <xdr:row>2</xdr:row>
                <xdr:rowOff>7620</xdr:rowOff>
              </to>
            </anchor>
          </controlPr>
        </control>
      </mc:Choice>
      <mc:Fallback>
        <control shapeId="18445" r:id="rId9" name="cmbBoxPest"/>
      </mc:Fallback>
    </mc:AlternateContent>
    <mc:AlternateContent xmlns:mc="http://schemas.openxmlformats.org/markup-compatibility/2006">
      <mc:Choice Requires="x14">
        <control shapeId="18446" r:id="rId11" name="cmdGetPest">
          <controlPr defaultSize="0" autoLine="0" r:id="rId12">
            <anchor moveWithCells="1">
              <from>
                <xdr:col>4</xdr:col>
                <xdr:colOff>60960</xdr:colOff>
                <xdr:row>0</xdr:row>
                <xdr:rowOff>251460</xdr:rowOff>
              </from>
              <to>
                <xdr:col>5</xdr:col>
                <xdr:colOff>419100</xdr:colOff>
                <xdr:row>1</xdr:row>
                <xdr:rowOff>243840</xdr:rowOff>
              </to>
            </anchor>
          </controlPr>
        </control>
      </mc:Choice>
      <mc:Fallback>
        <control shapeId="18446" r:id="rId11" name="cmdGetPes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XFD268"/>
  <sheetViews>
    <sheetView zoomScaleNormal="100" workbookViewId="0">
      <pane ySplit="3" topLeftCell="A4" activePane="bottomLeft" state="frozen"/>
      <selection pane="bottomLeft"/>
    </sheetView>
  </sheetViews>
  <sheetFormatPr defaultColWidth="8.88671875" defaultRowHeight="14.4" x14ac:dyDescent="0.3"/>
  <cols>
    <col min="1" max="1" width="12.33203125" style="9" customWidth="1"/>
    <col min="2" max="2" width="9.6640625" style="9" customWidth="1"/>
    <col min="3" max="3" width="9.6640625" style="148" customWidth="1"/>
    <col min="4" max="4" width="8.88671875" style="9" customWidth="1"/>
    <col min="5" max="5" width="8.88671875" style="111"/>
    <col min="6" max="21" width="8.88671875" style="9"/>
    <col min="35" max="35" width="8.88671875" style="9"/>
    <col min="39" max="16380" width="8.88671875" style="9"/>
    <col min="16381" max="16381" width="4" style="9" bestFit="1" customWidth="1"/>
    <col min="16382" max="16382" width="40" style="9" bestFit="1" customWidth="1"/>
    <col min="16383" max="16383" width="4" style="9" bestFit="1" customWidth="1"/>
    <col min="16384" max="16384" width="27" style="9" bestFit="1" customWidth="1"/>
  </cols>
  <sheetData>
    <row r="1" spans="1:48 16381:16384" ht="25.2" customHeight="1" x14ac:dyDescent="0.3">
      <c r="A1" s="125" t="s">
        <v>1836</v>
      </c>
      <c r="XFA1" s="8" t="s">
        <v>141</v>
      </c>
      <c r="XFB1" s="8" t="s">
        <v>1464</v>
      </c>
      <c r="XFC1" s="8" t="s">
        <v>386</v>
      </c>
      <c r="XFD1" s="98" t="s">
        <v>1465</v>
      </c>
    </row>
    <row r="2" spans="1:48 16381:16384" ht="19.95" customHeight="1" x14ac:dyDescent="0.3">
      <c r="A2" s="31" t="s">
        <v>1637</v>
      </c>
      <c r="B2" s="116" t="s">
        <v>2153</v>
      </c>
      <c r="C2" s="149"/>
      <c r="D2" s="31"/>
      <c r="E2" s="117"/>
      <c r="XFA2">
        <v>0</v>
      </c>
      <c r="XFB2" t="s">
        <v>1466</v>
      </c>
      <c r="XFC2">
        <v>1</v>
      </c>
      <c r="XFD2" t="s">
        <v>1467</v>
      </c>
    </row>
    <row r="3" spans="1:48 16381:16384" ht="15.6" customHeight="1" x14ac:dyDescent="0.3">
      <c r="A3" s="120" t="s">
        <v>1462</v>
      </c>
      <c r="B3" s="121"/>
      <c r="C3" s="150"/>
      <c r="D3" s="116"/>
      <c r="XFA3">
        <v>1</v>
      </c>
      <c r="XFB3" t="s">
        <v>1468</v>
      </c>
      <c r="XFC3">
        <v>2</v>
      </c>
      <c r="XFD3" t="s">
        <v>1469</v>
      </c>
    </row>
    <row r="4" spans="1:48 16381:16384" s="3" customFormat="1" x14ac:dyDescent="0.3">
      <c r="A4" s="22" t="s">
        <v>1120</v>
      </c>
      <c r="C4" s="151"/>
      <c r="D4" s="3" t="s">
        <v>1638</v>
      </c>
      <c r="E4" s="21"/>
      <c r="XFA4">
        <v>2</v>
      </c>
      <c r="XFB4" t="s">
        <v>1470</v>
      </c>
      <c r="XFC4">
        <v>3</v>
      </c>
      <c r="XFD4" t="s">
        <v>1471</v>
      </c>
    </row>
    <row r="5" spans="1:48 16381:16384" s="3" customFormat="1" x14ac:dyDescent="0.3">
      <c r="B5" s="14" t="s">
        <v>1121</v>
      </c>
      <c r="C5" s="151"/>
      <c r="D5" s="3" t="s">
        <v>1639</v>
      </c>
      <c r="E5" s="112"/>
      <c r="AU5" s="3" t="s">
        <v>1279</v>
      </c>
      <c r="AV5" s="9" t="s">
        <v>1271</v>
      </c>
      <c r="XFA5">
        <v>3</v>
      </c>
      <c r="XFB5" t="s">
        <v>1472</v>
      </c>
      <c r="XFC5">
        <v>4</v>
      </c>
      <c r="XFD5" t="s">
        <v>1473</v>
      </c>
    </row>
    <row r="6" spans="1:48 16381:16384" x14ac:dyDescent="0.3">
      <c r="A6" s="19" t="s">
        <v>1119</v>
      </c>
      <c r="B6" s="41">
        <v>90.05</v>
      </c>
      <c r="C6" s="41">
        <v>99.95</v>
      </c>
      <c r="D6" s="9" t="s">
        <v>1640</v>
      </c>
      <c r="E6" s="41"/>
      <c r="F6" s="41"/>
      <c r="G6" s="23"/>
      <c r="H6" s="23"/>
      <c r="I6" s="23"/>
      <c r="J6" s="23"/>
      <c r="K6" s="23"/>
      <c r="L6" s="23"/>
      <c r="M6" s="23"/>
      <c r="N6" s="23"/>
      <c r="O6" s="23"/>
      <c r="P6" s="23"/>
      <c r="Q6" s="23"/>
      <c r="R6" s="23"/>
      <c r="S6" s="23"/>
      <c r="T6" s="23"/>
      <c r="AM6" s="39" t="s">
        <v>1281</v>
      </c>
      <c r="AN6" s="40">
        <v>4.3</v>
      </c>
      <c r="AR6" s="36" t="s">
        <v>1272</v>
      </c>
      <c r="AS6" s="37">
        <f>INT(AN6)</f>
        <v>4</v>
      </c>
      <c r="AU6" s="9">
        <f>0*($AS$13/20)</f>
        <v>0</v>
      </c>
      <c r="AV6" s="38">
        <f>AU6/(AU6+EXP($AS$12-$AS$11*AU6))</f>
        <v>0</v>
      </c>
      <c r="XFA6">
        <v>4</v>
      </c>
      <c r="XFB6" t="s">
        <v>1474</v>
      </c>
      <c r="XFC6">
        <v>5</v>
      </c>
      <c r="XFD6" t="s">
        <v>1475</v>
      </c>
    </row>
    <row r="7" spans="1:48 16381:16384" x14ac:dyDescent="0.3">
      <c r="A7" s="19" t="s">
        <v>1118</v>
      </c>
      <c r="B7" s="42">
        <v>10.5</v>
      </c>
      <c r="C7" s="42">
        <v>100.95</v>
      </c>
      <c r="D7" s="9" t="s">
        <v>1641</v>
      </c>
      <c r="E7" s="42"/>
      <c r="F7" s="42"/>
      <c r="G7" s="23"/>
      <c r="H7" s="23"/>
      <c r="I7" s="23"/>
      <c r="J7" s="23"/>
      <c r="K7" s="23"/>
      <c r="L7" s="23"/>
      <c r="M7" s="23"/>
      <c r="N7" s="23"/>
      <c r="O7" s="23"/>
      <c r="P7" s="23"/>
      <c r="Q7" s="23"/>
      <c r="R7" s="23"/>
      <c r="S7" s="23"/>
      <c r="T7" s="23"/>
      <c r="AM7" s="39" t="s">
        <v>1282</v>
      </c>
      <c r="AN7" s="40">
        <v>7.77</v>
      </c>
      <c r="AR7" s="36" t="s">
        <v>1273</v>
      </c>
      <c r="AS7" s="37">
        <f>INT(AN7)</f>
        <v>7</v>
      </c>
      <c r="AU7" s="9">
        <f>1*($AS$13/20)</f>
        <v>0.7</v>
      </c>
      <c r="AV7" s="38">
        <f>AU7/(AU7+EXP($AS$12-$AS$11*AU7))</f>
        <v>1.4261046436132766E-2</v>
      </c>
      <c r="XFA7">
        <v>5</v>
      </c>
      <c r="XFB7" t="s">
        <v>1476</v>
      </c>
      <c r="XFC7">
        <v>6</v>
      </c>
      <c r="XFD7" t="s">
        <v>1477</v>
      </c>
    </row>
    <row r="8" spans="1:48 16381:16384" x14ac:dyDescent="0.3">
      <c r="A8" s="19" t="s">
        <v>1117</v>
      </c>
      <c r="B8" s="42">
        <v>50.1</v>
      </c>
      <c r="C8" s="42">
        <v>95.95</v>
      </c>
      <c r="D8" s="9" t="s">
        <v>1642</v>
      </c>
      <c r="E8" s="42"/>
      <c r="F8" s="42"/>
      <c r="G8" s="23"/>
      <c r="H8" s="23"/>
      <c r="I8" s="23"/>
      <c r="J8" s="23"/>
      <c r="K8" s="23"/>
      <c r="L8" s="23"/>
      <c r="M8" s="23"/>
      <c r="N8" s="23"/>
      <c r="O8" s="23"/>
      <c r="P8" s="23"/>
      <c r="Q8" s="23"/>
      <c r="R8" s="23"/>
      <c r="S8" s="23"/>
      <c r="T8" s="23"/>
      <c r="AR8" s="36" t="s">
        <v>1274</v>
      </c>
      <c r="AS8" s="37">
        <f>AN6-AS6</f>
        <v>0.29999999999999982</v>
      </c>
      <c r="AU8" s="9">
        <f>2*($AS$13/20)</f>
        <v>1.4</v>
      </c>
      <c r="AV8" s="38">
        <f>AU8/(AU8+EXP($AS$12-$AS$11*AU8))</f>
        <v>3.9405479951089575E-2</v>
      </c>
      <c r="XFA8">
        <v>6</v>
      </c>
      <c r="XFB8" t="s">
        <v>1478</v>
      </c>
      <c r="XFC8">
        <v>7</v>
      </c>
      <c r="XFD8" t="s">
        <v>1479</v>
      </c>
    </row>
    <row r="9" spans="1:48 16381:16384" x14ac:dyDescent="0.3">
      <c r="A9" s="19" t="s">
        <v>1116</v>
      </c>
      <c r="B9" s="42">
        <v>0</v>
      </c>
      <c r="C9" s="42">
        <v>0</v>
      </c>
      <c r="D9" s="9" t="s">
        <v>1643</v>
      </c>
      <c r="E9" s="42"/>
      <c r="F9" s="42"/>
      <c r="G9" s="23"/>
      <c r="H9" s="23"/>
      <c r="I9" s="23"/>
      <c r="J9" s="23"/>
      <c r="K9" s="23"/>
      <c r="L9" s="23"/>
      <c r="M9" s="23"/>
      <c r="N9" s="23"/>
      <c r="O9" s="23"/>
      <c r="P9" s="23"/>
      <c r="Q9" s="23"/>
      <c r="R9" s="23"/>
      <c r="S9" s="23"/>
      <c r="T9" s="23"/>
      <c r="AR9" s="36" t="s">
        <v>1275</v>
      </c>
      <c r="AS9" s="37">
        <f>AN7-AS7</f>
        <v>0.76999999999999957</v>
      </c>
      <c r="AU9" s="9">
        <f>3*($AS$13/20)</f>
        <v>2.0999999999999996</v>
      </c>
      <c r="AV9" s="38">
        <f>AU9/(AU9+EXP($AS$12-$AS$11*AU9))</f>
        <v>8.0238032205428966E-2</v>
      </c>
      <c r="XFA9">
        <v>7</v>
      </c>
      <c r="XFB9" t="s">
        <v>1480</v>
      </c>
      <c r="XFC9">
        <v>8</v>
      </c>
      <c r="XFD9" t="s">
        <v>1481</v>
      </c>
    </row>
    <row r="10" spans="1:48 16381:16384" x14ac:dyDescent="0.3">
      <c r="A10" s="19" t="s">
        <v>1115</v>
      </c>
      <c r="B10" s="42">
        <v>1.3</v>
      </c>
      <c r="C10" s="42">
        <v>8.9499999999999993</v>
      </c>
      <c r="D10" s="9" t="s">
        <v>1644</v>
      </c>
      <c r="E10" s="42"/>
      <c r="F10" s="42"/>
      <c r="G10" s="23"/>
      <c r="H10" s="23"/>
      <c r="I10" s="23"/>
      <c r="J10" s="23"/>
      <c r="K10" s="23"/>
      <c r="L10" s="23"/>
      <c r="M10" s="23"/>
      <c r="N10" s="23"/>
      <c r="O10" s="23"/>
      <c r="P10" s="23"/>
      <c r="Q10" s="23"/>
      <c r="R10" s="23"/>
      <c r="S10" s="23"/>
      <c r="T10" s="23"/>
      <c r="AR10" s="36" t="s">
        <v>1276</v>
      </c>
      <c r="AS10" s="37">
        <f>LN(AS6/AS8-AS6)</f>
        <v>2.2335922215070951</v>
      </c>
      <c r="AU10" s="9">
        <f>4*($AS$13/20)</f>
        <v>2.8</v>
      </c>
      <c r="AV10" s="38">
        <f>AU10/(AU10+EXP($AS$12-$AS$11*AU10))</f>
        <v>0.14156279711511155</v>
      </c>
      <c r="XFA10">
        <v>8</v>
      </c>
      <c r="XFB10" t="s">
        <v>1482</v>
      </c>
      <c r="XFC10">
        <v>9</v>
      </c>
      <c r="XFD10" t="s">
        <v>1483</v>
      </c>
    </row>
    <row r="11" spans="1:48 16381:16384" x14ac:dyDescent="0.3">
      <c r="A11" s="19" t="s">
        <v>1114</v>
      </c>
      <c r="B11" s="42">
        <v>5.0999999999999996</v>
      </c>
      <c r="C11" s="42">
        <v>100.95</v>
      </c>
      <c r="D11" s="9" t="s">
        <v>1645</v>
      </c>
      <c r="E11" s="42"/>
      <c r="F11" s="42"/>
      <c r="G11" s="23"/>
      <c r="H11" s="23"/>
      <c r="I11" s="23"/>
      <c r="J11" s="23"/>
      <c r="K11" s="23"/>
      <c r="L11" s="23"/>
      <c r="M11" s="23"/>
      <c r="N11" s="23"/>
      <c r="O11" s="23"/>
      <c r="P11" s="23"/>
      <c r="Q11" s="23"/>
      <c r="R11" s="23"/>
      <c r="S11" s="23"/>
      <c r="T11" s="23"/>
      <c r="AR11" s="36" t="s">
        <v>1277</v>
      </c>
      <c r="AS11" s="37">
        <f>(AS10-LN(AS7/AS9-AS7))/(AS7-AS6)</f>
        <v>0.49866442612543799</v>
      </c>
      <c r="AU11" s="9">
        <f>5*($AS$13/20)</f>
        <v>3.5</v>
      </c>
      <c r="AV11" s="38">
        <f>AU11/(AU11+EXP($AS$12-$AS$11*AU11))</f>
        <v>0.22615316664055121</v>
      </c>
      <c r="XFA11">
        <v>9</v>
      </c>
      <c r="XFB11" t="s">
        <v>1484</v>
      </c>
      <c r="XFC11">
        <v>10</v>
      </c>
      <c r="XFD11" t="s">
        <v>1485</v>
      </c>
    </row>
    <row r="12" spans="1:48 16381:16384" x14ac:dyDescent="0.3">
      <c r="A12" s="19" t="s">
        <v>1113</v>
      </c>
      <c r="B12" s="42">
        <v>5.25</v>
      </c>
      <c r="C12" s="42">
        <v>50.95</v>
      </c>
      <c r="D12" s="9" t="s">
        <v>1646</v>
      </c>
      <c r="E12" s="42"/>
      <c r="F12" s="42"/>
      <c r="G12" s="23"/>
      <c r="H12" s="23"/>
      <c r="I12" s="23"/>
      <c r="J12" s="23"/>
      <c r="K12" s="23"/>
      <c r="L12" s="23"/>
      <c r="M12" s="23"/>
      <c r="N12" s="23"/>
      <c r="O12" s="23"/>
      <c r="P12" s="23"/>
      <c r="Q12" s="23"/>
      <c r="R12" s="23"/>
      <c r="S12" s="23"/>
      <c r="T12" s="23"/>
      <c r="AR12" s="36" t="s">
        <v>1278</v>
      </c>
      <c r="AS12" s="37">
        <f>AS10+AS6*AS11</f>
        <v>4.2282499260088473</v>
      </c>
      <c r="AU12" s="9">
        <f>6*($AS$13/20)</f>
        <v>4.1999999999999993</v>
      </c>
      <c r="AV12" s="38">
        <f>AU12/(AU12+EXP($AS$12-$AS$11*AU12))</f>
        <v>0.33208392395918168</v>
      </c>
      <c r="XFA12">
        <v>10</v>
      </c>
      <c r="XFB12" t="s">
        <v>1486</v>
      </c>
      <c r="XFC12">
        <v>11</v>
      </c>
      <c r="XFD12" t="s">
        <v>1487</v>
      </c>
    </row>
    <row r="13" spans="1:48 16381:16384" x14ac:dyDescent="0.3">
      <c r="A13" s="19" t="s">
        <v>1112</v>
      </c>
      <c r="B13" s="42">
        <v>20.5</v>
      </c>
      <c r="C13" s="42">
        <v>80.989999999999995</v>
      </c>
      <c r="D13" s="9" t="s">
        <v>1647</v>
      </c>
      <c r="E13" s="42"/>
      <c r="F13" s="42"/>
      <c r="G13" s="23"/>
      <c r="H13" s="23"/>
      <c r="I13" s="23"/>
      <c r="J13" s="23"/>
      <c r="K13" s="23"/>
      <c r="L13" s="23"/>
      <c r="M13" s="23"/>
      <c r="N13" s="23"/>
      <c r="O13" s="23"/>
      <c r="P13" s="23"/>
      <c r="Q13" s="23"/>
      <c r="R13" s="23"/>
      <c r="S13" s="23"/>
      <c r="T13" s="23"/>
      <c r="AR13" s="3" t="s">
        <v>1280</v>
      </c>
      <c r="AS13" s="3">
        <f>AS7*2</f>
        <v>14</v>
      </c>
      <c r="AU13" s="9">
        <f>7*($AS$13/20)</f>
        <v>4.8999999999999995</v>
      </c>
      <c r="AV13" s="38">
        <f>AU13/(AU13+EXP($AS$12-$AS$11*AU13))</f>
        <v>0.45126545716373684</v>
      </c>
      <c r="XFA13">
        <v>11</v>
      </c>
      <c r="XFB13" t="s">
        <v>1488</v>
      </c>
      <c r="XFC13"/>
      <c r="XFD13" s="92"/>
    </row>
    <row r="14" spans="1:48 16381:16384" x14ac:dyDescent="0.3">
      <c r="A14" s="19" t="s">
        <v>1111</v>
      </c>
      <c r="B14" s="42">
        <v>1.1000000000000001</v>
      </c>
      <c r="C14" s="42">
        <v>10.99</v>
      </c>
      <c r="D14" s="9" t="s">
        <v>1648</v>
      </c>
      <c r="E14" s="42"/>
      <c r="F14" s="42"/>
      <c r="G14" s="23"/>
      <c r="H14" s="23"/>
      <c r="I14" s="23"/>
      <c r="J14" s="23"/>
      <c r="K14" s="23"/>
      <c r="L14" s="23"/>
      <c r="M14" s="23"/>
      <c r="N14" s="23"/>
      <c r="O14" s="23"/>
      <c r="P14" s="23"/>
      <c r="Q14" s="23"/>
      <c r="R14" s="23"/>
      <c r="S14" s="23"/>
      <c r="T14" s="23"/>
      <c r="AU14" s="9">
        <f>8*($AS$13/20)</f>
        <v>5.6</v>
      </c>
      <c r="AV14" s="38">
        <f>AU14/(AU14+EXP($AS$12-$AS$11*AU14))</f>
        <v>0.57127069940979536</v>
      </c>
      <c r="XFA14">
        <v>12</v>
      </c>
      <c r="XFB14" t="s">
        <v>1489</v>
      </c>
      <c r="XFC14"/>
      <c r="XFD14" s="92"/>
    </row>
    <row r="15" spans="1:48 16381:16384" x14ac:dyDescent="0.3">
      <c r="A15" s="19" t="s">
        <v>1110</v>
      </c>
      <c r="B15" s="42">
        <v>10.050000000000001</v>
      </c>
      <c r="C15" s="42">
        <v>100.9</v>
      </c>
      <c r="D15" s="9" t="s">
        <v>1649</v>
      </c>
      <c r="E15" s="42"/>
      <c r="F15" s="42"/>
      <c r="G15" s="23"/>
      <c r="H15" s="23"/>
      <c r="I15" s="23"/>
      <c r="J15" s="23"/>
      <c r="K15" s="23"/>
      <c r="L15" s="23"/>
      <c r="M15" s="23"/>
      <c r="N15" s="23"/>
      <c r="O15" s="23"/>
      <c r="P15" s="23"/>
      <c r="Q15" s="23"/>
      <c r="R15" s="23"/>
      <c r="S15" s="23"/>
      <c r="T15" s="23"/>
      <c r="AU15" s="9">
        <f>9*($AS$13/20)</f>
        <v>6.3</v>
      </c>
      <c r="AV15" s="38">
        <f>AU15/(AU15+EXP($AS$12-$AS$11*AU15))</f>
        <v>0.68002476011034163</v>
      </c>
      <c r="XFA15">
        <v>13</v>
      </c>
      <c r="XFB15" t="s">
        <v>1490</v>
      </c>
      <c r="XFC15"/>
      <c r="XFD15" s="92"/>
    </row>
    <row r="16" spans="1:48 16381:16384" x14ac:dyDescent="0.3">
      <c r="A16" s="19" t="s">
        <v>1109</v>
      </c>
      <c r="B16" s="42">
        <v>5.01</v>
      </c>
      <c r="C16" s="42">
        <v>20.9</v>
      </c>
      <c r="D16" s="9" t="s">
        <v>1650</v>
      </c>
      <c r="E16" s="42"/>
      <c r="F16" s="42"/>
      <c r="G16" s="23"/>
      <c r="H16" s="23"/>
      <c r="I16" s="23"/>
      <c r="J16" s="23"/>
      <c r="K16" s="23"/>
      <c r="L16" s="23"/>
      <c r="M16" s="23"/>
      <c r="N16" s="23"/>
      <c r="O16" s="23"/>
      <c r="P16" s="23"/>
      <c r="Q16" s="23"/>
      <c r="R16" s="23"/>
      <c r="S16" s="23"/>
      <c r="T16" s="23"/>
      <c r="AU16" s="35">
        <f>10*($AS$13/20)</f>
        <v>7</v>
      </c>
      <c r="AV16" s="44">
        <f>AU16/(AU16+EXP($AS$12-$AS$11*AU16))</f>
        <v>0.76999999999999968</v>
      </c>
      <c r="XFA16">
        <v>14</v>
      </c>
      <c r="XFB16" t="s">
        <v>1491</v>
      </c>
      <c r="XFC16"/>
      <c r="XFD16" s="99"/>
    </row>
    <row r="17" spans="1:48 16381:16384" x14ac:dyDescent="0.3">
      <c r="A17" s="19" t="s">
        <v>1108</v>
      </c>
      <c r="B17" s="42">
        <v>5.05</v>
      </c>
      <c r="C17" s="42">
        <v>100.5</v>
      </c>
      <c r="D17" s="9" t="s">
        <v>1651</v>
      </c>
      <c r="E17" s="42"/>
      <c r="F17" s="42"/>
      <c r="G17" s="23"/>
      <c r="H17" s="23"/>
      <c r="I17" s="23"/>
      <c r="J17" s="23"/>
      <c r="K17" s="23"/>
      <c r="L17" s="23"/>
      <c r="M17" s="23"/>
      <c r="N17" s="23"/>
      <c r="O17" s="23"/>
      <c r="P17" s="23"/>
      <c r="Q17" s="23"/>
      <c r="R17" s="23"/>
      <c r="S17" s="23"/>
      <c r="T17" s="23"/>
      <c r="AU17" s="35">
        <f>11*($AS$13/20)</f>
        <v>7.6999999999999993</v>
      </c>
      <c r="AV17" s="44">
        <f>AU17/(AU17+EXP($AS$12-$AS$11*AU17))</f>
        <v>0.8392538059307143</v>
      </c>
      <c r="XFA17">
        <v>15</v>
      </c>
      <c r="XFB17" t="s">
        <v>1492</v>
      </c>
      <c r="XFC17"/>
      <c r="XFD17" s="92"/>
    </row>
    <row r="18" spans="1:48 16381:16384" x14ac:dyDescent="0.3">
      <c r="A18" s="19" t="s">
        <v>1107</v>
      </c>
      <c r="B18" s="42">
        <v>1.8</v>
      </c>
      <c r="C18" s="42">
        <v>3.99</v>
      </c>
      <c r="D18" s="9" t="s">
        <v>1652</v>
      </c>
      <c r="E18" s="42"/>
      <c r="F18" s="42"/>
      <c r="G18" s="23"/>
      <c r="H18" s="23"/>
      <c r="I18" s="23"/>
      <c r="J18" s="23"/>
      <c r="K18" s="23"/>
      <c r="L18" s="23"/>
      <c r="M18" s="23"/>
      <c r="N18" s="23"/>
      <c r="O18" s="23"/>
      <c r="P18" s="23"/>
      <c r="Q18" s="23"/>
      <c r="R18" s="23"/>
      <c r="S18" s="23"/>
      <c r="T18" s="23"/>
      <c r="AU18" s="35">
        <f>12*($AS$13/20)</f>
        <v>8.3999999999999986</v>
      </c>
      <c r="AV18" s="44">
        <f>AU18/(AU18+EXP($AS$12-$AS$11*AU18))</f>
        <v>0.88980619086963175</v>
      </c>
      <c r="XFA18">
        <v>16</v>
      </c>
      <c r="XFB18" t="s">
        <v>1493</v>
      </c>
      <c r="XFC18"/>
      <c r="XFD18" s="92"/>
    </row>
    <row r="19" spans="1:48 16381:16384" x14ac:dyDescent="0.3">
      <c r="A19" s="19" t="s">
        <v>1106</v>
      </c>
      <c r="B19" s="42">
        <v>5.0999999999999996</v>
      </c>
      <c r="C19" s="42">
        <v>20.95</v>
      </c>
      <c r="D19" s="9" t="s">
        <v>1653</v>
      </c>
      <c r="E19" s="42"/>
      <c r="F19" s="42"/>
      <c r="G19" s="23"/>
      <c r="H19" s="23"/>
      <c r="I19" s="23"/>
      <c r="J19" s="23"/>
      <c r="K19" s="23"/>
      <c r="L19" s="23"/>
      <c r="M19" s="23"/>
      <c r="N19" s="23"/>
      <c r="O19" s="23"/>
      <c r="P19" s="23"/>
      <c r="Q19" s="23"/>
      <c r="R19" s="23"/>
      <c r="S19" s="23"/>
      <c r="T19" s="23"/>
      <c r="AU19" s="35">
        <f>13*($AS$13/20)</f>
        <v>9.1</v>
      </c>
      <c r="AV19" s="44">
        <f>AU19/(AU19+EXP($AS$12-$AS$11*AU19))</f>
        <v>0.92538516968459239</v>
      </c>
      <c r="XFA19">
        <v>17</v>
      </c>
      <c r="XFB19" t="s">
        <v>1494</v>
      </c>
      <c r="XFC19"/>
      <c r="XFD19" s="92"/>
    </row>
    <row r="20" spans="1:48 16381:16384" x14ac:dyDescent="0.3">
      <c r="A20" s="19" t="s">
        <v>1105</v>
      </c>
      <c r="B20" s="42">
        <v>10.1</v>
      </c>
      <c r="C20" s="42">
        <v>100.95</v>
      </c>
      <c r="D20" s="9" t="s">
        <v>1654</v>
      </c>
      <c r="E20" s="42"/>
      <c r="F20" s="42"/>
      <c r="G20" s="23"/>
      <c r="H20" s="23"/>
      <c r="I20" s="23"/>
      <c r="J20" s="23"/>
      <c r="K20" s="23"/>
      <c r="L20" s="23"/>
      <c r="M20" s="23"/>
      <c r="N20" s="23"/>
      <c r="O20" s="23"/>
      <c r="P20" s="23"/>
      <c r="Q20" s="23"/>
      <c r="R20" s="23"/>
      <c r="S20" s="23"/>
      <c r="T20" s="23"/>
      <c r="AU20" s="35">
        <f>14*($AS$13/20)</f>
        <v>9.7999999999999989</v>
      </c>
      <c r="AV20" s="44">
        <f>AU20/(AU20+EXP($AS$12-$AS$11*AU20))</f>
        <v>0.94983848407396587</v>
      </c>
      <c r="XFA20">
        <v>18</v>
      </c>
      <c r="XFB20" t="s">
        <v>1495</v>
      </c>
      <c r="XFC20"/>
      <c r="XFD20" s="92"/>
    </row>
    <row r="21" spans="1:48 16381:16384" x14ac:dyDescent="0.3">
      <c r="A21" s="19" t="s">
        <v>1104</v>
      </c>
      <c r="B21" s="42">
        <v>3.1</v>
      </c>
      <c r="C21" s="42">
        <v>20.99</v>
      </c>
      <c r="D21" s="9" t="s">
        <v>1655</v>
      </c>
      <c r="E21" s="42"/>
      <c r="F21" s="42"/>
      <c r="G21" s="23"/>
      <c r="H21" s="23"/>
      <c r="I21" s="23"/>
      <c r="J21" s="23"/>
      <c r="K21" s="23"/>
      <c r="L21" s="23"/>
      <c r="M21" s="23"/>
      <c r="N21" s="23"/>
      <c r="O21" s="23"/>
      <c r="P21" s="23"/>
      <c r="Q21" s="23"/>
      <c r="R21" s="23"/>
      <c r="S21" s="23"/>
      <c r="T21" s="23"/>
      <c r="AU21" s="35">
        <f>15*($AS$13/20)</f>
        <v>10.5</v>
      </c>
      <c r="AV21" s="44">
        <f>AU21/(AU21+EXP($AS$12-$AS$11*AU21))</f>
        <v>0.96640162498372095</v>
      </c>
      <c r="XFA21">
        <v>19</v>
      </c>
      <c r="XFB21" t="s">
        <v>1496</v>
      </c>
      <c r="XFC21"/>
      <c r="XFD21" s="92"/>
    </row>
    <row r="22" spans="1:48 16381:16384" x14ac:dyDescent="0.3">
      <c r="A22" s="19" t="s">
        <v>1103</v>
      </c>
      <c r="B22" s="42">
        <v>20.100000000000001</v>
      </c>
      <c r="C22" s="42">
        <v>50.95</v>
      </c>
      <c r="D22" s="9" t="s">
        <v>1656</v>
      </c>
      <c r="E22" s="42"/>
      <c r="F22" s="42"/>
      <c r="G22" s="23"/>
      <c r="H22" s="23"/>
      <c r="I22" s="23"/>
      <c r="J22" s="23"/>
      <c r="K22" s="23"/>
      <c r="L22" s="23"/>
      <c r="M22" s="23"/>
      <c r="N22" s="23"/>
      <c r="O22" s="23"/>
      <c r="P22" s="23"/>
      <c r="Q22" s="23"/>
      <c r="R22" s="23"/>
      <c r="S22" s="23"/>
      <c r="T22" s="23"/>
      <c r="AU22" s="35">
        <f>16*($AS$13/20)</f>
        <v>11.2</v>
      </c>
      <c r="AV22" s="44">
        <f>AU22/(AU22+EXP($AS$12-$AS$11*AU22))</f>
        <v>0.97752687040115716</v>
      </c>
      <c r="XFA22">
        <v>20</v>
      </c>
      <c r="XFB22" t="s">
        <v>1497</v>
      </c>
      <c r="XFC22"/>
      <c r="XFD22" s="92"/>
    </row>
    <row r="23" spans="1:48 16381:16384" x14ac:dyDescent="0.3">
      <c r="A23" s="19" t="s">
        <v>1102</v>
      </c>
      <c r="B23" s="42">
        <v>5.0999999999999996</v>
      </c>
      <c r="C23" s="42">
        <v>50.3</v>
      </c>
      <c r="D23" s="9" t="s">
        <v>1657</v>
      </c>
      <c r="E23" s="42"/>
      <c r="F23" s="42"/>
      <c r="G23" s="23"/>
      <c r="H23" s="23"/>
      <c r="I23" s="23"/>
      <c r="J23" s="23"/>
      <c r="K23" s="23"/>
      <c r="L23" s="23"/>
      <c r="M23" s="23"/>
      <c r="N23" s="23"/>
      <c r="O23" s="23"/>
      <c r="P23" s="23"/>
      <c r="Q23" s="23"/>
      <c r="R23" s="23"/>
      <c r="S23" s="23"/>
      <c r="T23" s="23"/>
      <c r="AU23" s="35">
        <f>17*($AS$13/20)</f>
        <v>11.899999999999999</v>
      </c>
      <c r="AV23" s="44">
        <f>AU23/(AU23+EXP($AS$12-$AS$11*AU23))</f>
        <v>0.98496751515045788</v>
      </c>
      <c r="XFA23">
        <v>21</v>
      </c>
      <c r="XFB23" t="s">
        <v>1498</v>
      </c>
      <c r="XFC23"/>
      <c r="XFD23" s="92"/>
    </row>
    <row r="24" spans="1:48 16381:16384" x14ac:dyDescent="0.3">
      <c r="A24" s="19" t="s">
        <v>1101</v>
      </c>
      <c r="B24" s="42">
        <v>10.01</v>
      </c>
      <c r="C24" s="42">
        <v>25.95</v>
      </c>
      <c r="D24" s="9" t="s">
        <v>1658</v>
      </c>
      <c r="E24" s="42"/>
      <c r="F24" s="42"/>
      <c r="G24" s="23"/>
      <c r="H24" s="23"/>
      <c r="I24" s="23"/>
      <c r="J24" s="23"/>
      <c r="K24" s="23"/>
      <c r="L24" s="23"/>
      <c r="M24" s="23"/>
      <c r="N24" s="23"/>
      <c r="O24" s="23"/>
      <c r="P24" s="23"/>
      <c r="Q24" s="23"/>
      <c r="R24" s="23"/>
      <c r="S24" s="23"/>
      <c r="T24" s="23"/>
      <c r="AU24" s="35">
        <f>18*($AS$13/20)</f>
        <v>12.6</v>
      </c>
      <c r="AV24" s="44">
        <f>AU24/(AU24+EXP($AS$12-$AS$11*AU24))</f>
        <v>0.98993543273216722</v>
      </c>
      <c r="XFA24">
        <v>22</v>
      </c>
      <c r="XFB24" t="s">
        <v>1499</v>
      </c>
      <c r="XFC24"/>
      <c r="XFD24" s="92"/>
    </row>
    <row r="25" spans="1:48 16381:16384" x14ac:dyDescent="0.3">
      <c r="A25" s="19" t="s">
        <v>1100</v>
      </c>
      <c r="B25" s="42">
        <v>400.05</v>
      </c>
      <c r="C25" s="42">
        <v>600.79999999999995</v>
      </c>
      <c r="D25" s="9" t="s">
        <v>1659</v>
      </c>
      <c r="E25" s="42"/>
      <c r="F25" s="42"/>
      <c r="G25" s="23"/>
      <c r="H25" s="23"/>
      <c r="I25" s="23"/>
      <c r="J25" s="23"/>
      <c r="K25" s="23"/>
      <c r="L25" s="23"/>
      <c r="M25" s="23"/>
      <c r="N25" s="23"/>
      <c r="O25" s="23"/>
      <c r="P25" s="23"/>
      <c r="Q25" s="23"/>
      <c r="R25" s="23"/>
      <c r="S25" s="23"/>
      <c r="T25" s="23"/>
      <c r="AU25" s="35">
        <f>19*($AS$13/20)</f>
        <v>13.299999999999999</v>
      </c>
      <c r="AV25" s="44">
        <f>AU25/(AU25+EXP($AS$12-$AS$11*AU25))</f>
        <v>0.99325208534252396</v>
      </c>
      <c r="XFA25">
        <v>23</v>
      </c>
      <c r="XFB25" t="s">
        <v>1500</v>
      </c>
      <c r="XFC25"/>
      <c r="XFD25" s="92"/>
    </row>
    <row r="26" spans="1:48 16381:16384" x14ac:dyDescent="0.3">
      <c r="A26" s="19" t="s">
        <v>1099</v>
      </c>
      <c r="B26" s="42">
        <v>10.5</v>
      </c>
      <c r="C26" s="42">
        <v>100.9</v>
      </c>
      <c r="D26" s="9" t="s">
        <v>1660</v>
      </c>
      <c r="E26" s="42"/>
      <c r="F26" s="42"/>
      <c r="G26" s="23"/>
      <c r="H26" s="23"/>
      <c r="I26" s="23"/>
      <c r="J26" s="23"/>
      <c r="K26" s="23"/>
      <c r="L26" s="23"/>
      <c r="M26" s="23"/>
      <c r="N26" s="23"/>
      <c r="O26" s="23"/>
      <c r="P26" s="23"/>
      <c r="Q26" s="23"/>
      <c r="R26" s="23"/>
      <c r="S26" s="23"/>
      <c r="T26" s="23"/>
      <c r="AU26" s="35">
        <f>20*($AS$13/20)</f>
        <v>14</v>
      </c>
      <c r="AV26" s="44">
        <f>AU26/(AU26+EXP($AS$12-$AS$11*AU26))</f>
        <v>0.99546826948049871</v>
      </c>
      <c r="XFA26">
        <v>24</v>
      </c>
      <c r="XFB26" t="s">
        <v>1501</v>
      </c>
      <c r="XFC26"/>
      <c r="XFD26" s="92"/>
    </row>
    <row r="27" spans="1:48 16381:16384" x14ac:dyDescent="0.3">
      <c r="A27" s="19" t="s">
        <v>1098</v>
      </c>
      <c r="B27" s="42">
        <v>100.01</v>
      </c>
      <c r="C27" s="42">
        <v>1000.9</v>
      </c>
      <c r="D27" s="9" t="s">
        <v>1661</v>
      </c>
      <c r="E27" s="42"/>
      <c r="F27" s="42"/>
      <c r="G27" s="23"/>
      <c r="H27" s="23"/>
      <c r="I27" s="23"/>
      <c r="J27" s="23"/>
      <c r="K27" s="23"/>
      <c r="L27" s="23"/>
      <c r="M27" s="23"/>
      <c r="N27" s="23"/>
      <c r="O27" s="23"/>
      <c r="P27" s="23"/>
      <c r="Q27" s="23"/>
      <c r="R27" s="23"/>
      <c r="S27" s="23"/>
      <c r="T27" s="23"/>
      <c r="AU27" s="35"/>
      <c r="AV27" s="35"/>
      <c r="XFA27">
        <v>25</v>
      </c>
      <c r="XFB27" t="s">
        <v>1502</v>
      </c>
      <c r="XFC27"/>
      <c r="XFD27" s="92"/>
    </row>
    <row r="28" spans="1:48 16381:16384" x14ac:dyDescent="0.3">
      <c r="A28" s="19" t="s">
        <v>1097</v>
      </c>
      <c r="B28" s="42">
        <v>1.5</v>
      </c>
      <c r="C28" s="42">
        <v>3.99</v>
      </c>
      <c r="D28" s="9" t="s">
        <v>1662</v>
      </c>
      <c r="E28" s="42"/>
      <c r="F28" s="42"/>
      <c r="G28" s="23"/>
      <c r="H28" s="23"/>
      <c r="I28" s="23"/>
      <c r="J28" s="23"/>
      <c r="K28" s="23"/>
      <c r="L28" s="23"/>
      <c r="M28" s="23"/>
      <c r="N28" s="23"/>
      <c r="O28" s="23"/>
      <c r="P28" s="23"/>
      <c r="Q28" s="23"/>
      <c r="R28" s="23"/>
      <c r="S28" s="23"/>
      <c r="T28" s="23"/>
      <c r="XFA28">
        <v>26</v>
      </c>
      <c r="XFB28" t="s">
        <v>1503</v>
      </c>
      <c r="XFC28"/>
      <c r="XFD28" s="92"/>
    </row>
    <row r="29" spans="1:48 16381:16384" x14ac:dyDescent="0.3">
      <c r="A29" s="19" t="s">
        <v>1096</v>
      </c>
      <c r="B29" s="42">
        <v>1.25</v>
      </c>
      <c r="C29" s="42">
        <v>5.95</v>
      </c>
      <c r="D29" s="9" t="s">
        <v>1663</v>
      </c>
      <c r="E29" s="42"/>
      <c r="F29" s="42"/>
      <c r="G29" s="23"/>
      <c r="H29" s="23"/>
      <c r="I29" s="23"/>
      <c r="J29" s="23"/>
      <c r="K29" s="23"/>
      <c r="L29" s="23"/>
      <c r="M29" s="23"/>
      <c r="N29" s="23"/>
      <c r="O29" s="23"/>
      <c r="P29" s="23"/>
      <c r="Q29" s="23"/>
      <c r="R29" s="23"/>
      <c r="S29" s="23"/>
      <c r="T29" s="23"/>
      <c r="XFA29">
        <v>27</v>
      </c>
      <c r="XFB29" t="s">
        <v>1504</v>
      </c>
      <c r="XFC29"/>
      <c r="XFD29" s="92"/>
    </row>
    <row r="30" spans="1:48 16381:16384" x14ac:dyDescent="0.3">
      <c r="A30" s="19" t="s">
        <v>1095</v>
      </c>
      <c r="B30" s="42">
        <v>10.1</v>
      </c>
      <c r="C30" s="42">
        <v>55.9</v>
      </c>
      <c r="D30" s="9" t="s">
        <v>1664</v>
      </c>
      <c r="E30" s="42"/>
      <c r="F30" s="42"/>
      <c r="G30" s="23"/>
      <c r="H30" s="23"/>
      <c r="I30" s="23"/>
      <c r="J30" s="23"/>
      <c r="K30" s="23"/>
      <c r="L30" s="23"/>
      <c r="M30" s="23"/>
      <c r="N30" s="23"/>
      <c r="O30" s="23"/>
      <c r="P30" s="23"/>
      <c r="Q30" s="23"/>
      <c r="R30" s="23"/>
      <c r="S30" s="23"/>
      <c r="T30" s="23"/>
    </row>
    <row r="31" spans="1:48 16381:16384" x14ac:dyDescent="0.3">
      <c r="A31" s="19" t="s">
        <v>1094</v>
      </c>
      <c r="B31" s="43">
        <v>0</v>
      </c>
      <c r="C31" s="43">
        <v>0</v>
      </c>
      <c r="E31" s="43"/>
      <c r="F31" s="43"/>
      <c r="G31" s="23"/>
      <c r="H31" s="23"/>
      <c r="I31" s="23"/>
      <c r="J31" s="23"/>
      <c r="K31" s="23"/>
      <c r="L31" s="23"/>
      <c r="M31" s="23"/>
      <c r="N31" s="23"/>
      <c r="O31" s="23"/>
      <c r="P31" s="23"/>
      <c r="Q31" s="23"/>
      <c r="R31" s="23"/>
      <c r="S31" s="23"/>
      <c r="T31" s="23"/>
    </row>
    <row r="32" spans="1:48 16381:16384" x14ac:dyDescent="0.3">
      <c r="A32" s="19" t="s">
        <v>1093</v>
      </c>
      <c r="B32" s="43">
        <v>0</v>
      </c>
      <c r="C32" s="43">
        <v>0</v>
      </c>
      <c r="E32" s="43"/>
      <c r="F32" s="43"/>
      <c r="G32" s="23"/>
      <c r="H32" s="23"/>
      <c r="I32" s="23"/>
      <c r="J32" s="23"/>
      <c r="K32" s="23"/>
      <c r="L32" s="23"/>
      <c r="M32" s="23"/>
      <c r="N32" s="23"/>
      <c r="O32" s="23"/>
      <c r="P32" s="23"/>
      <c r="Q32" s="23"/>
      <c r="R32" s="23"/>
      <c r="S32" s="23"/>
      <c r="T32" s="23"/>
    </row>
    <row r="33" spans="1:20" x14ac:dyDescent="0.3">
      <c r="A33" s="19" t="s">
        <v>1092</v>
      </c>
      <c r="B33" s="43">
        <v>0</v>
      </c>
      <c r="C33" s="43">
        <v>0</v>
      </c>
      <c r="D33" s="9" t="s">
        <v>1665</v>
      </c>
      <c r="E33" s="43"/>
      <c r="F33" s="43"/>
      <c r="G33" s="23"/>
      <c r="H33" s="23"/>
      <c r="I33" s="23"/>
      <c r="J33" s="23"/>
      <c r="K33" s="23"/>
      <c r="L33" s="23"/>
      <c r="M33" s="23"/>
      <c r="N33" s="23"/>
      <c r="O33" s="23"/>
      <c r="P33" s="23"/>
      <c r="Q33" s="23"/>
      <c r="R33" s="23"/>
      <c r="S33" s="23"/>
      <c r="T33" s="23"/>
    </row>
    <row r="34" spans="1:20" x14ac:dyDescent="0.3">
      <c r="A34" s="19" t="s">
        <v>1091</v>
      </c>
      <c r="B34" s="43">
        <v>0</v>
      </c>
      <c r="C34" s="43">
        <v>0</v>
      </c>
      <c r="D34" s="9" t="s">
        <v>1665</v>
      </c>
      <c r="E34" s="43"/>
      <c r="F34" s="43"/>
      <c r="G34" s="23"/>
      <c r="H34" s="23"/>
      <c r="I34" s="23"/>
      <c r="J34" s="23"/>
      <c r="K34" s="23"/>
      <c r="L34" s="23"/>
      <c r="M34" s="23"/>
      <c r="N34" s="23"/>
      <c r="O34" s="23"/>
      <c r="P34" s="23"/>
      <c r="Q34" s="23"/>
      <c r="R34" s="23"/>
      <c r="S34" s="23"/>
      <c r="T34" s="23"/>
    </row>
    <row r="35" spans="1:20" x14ac:dyDescent="0.3">
      <c r="A35" s="19" t="s">
        <v>1089</v>
      </c>
      <c r="B35" s="42">
        <v>50</v>
      </c>
      <c r="C35" s="42">
        <v>10</v>
      </c>
      <c r="D35" s="9" t="s">
        <v>1666</v>
      </c>
      <c r="E35" s="42"/>
      <c r="F35" s="42"/>
      <c r="G35" s="23"/>
      <c r="H35" s="23"/>
      <c r="I35" s="23"/>
      <c r="J35" s="23"/>
      <c r="K35" s="23"/>
      <c r="L35" s="23"/>
      <c r="M35" s="23"/>
      <c r="N35" s="23"/>
      <c r="O35" s="23"/>
      <c r="P35" s="23"/>
      <c r="Q35" s="23"/>
      <c r="R35" s="23"/>
      <c r="S35" s="23"/>
      <c r="T35" s="23"/>
    </row>
    <row r="36" spans="1:20" x14ac:dyDescent="0.3">
      <c r="A36" s="19"/>
      <c r="B36" s="10"/>
      <c r="C36" s="152"/>
      <c r="E36" s="20"/>
      <c r="F36" s="3"/>
    </row>
    <row r="37" spans="1:20" x14ac:dyDescent="0.3">
      <c r="A37" s="22" t="s">
        <v>1122</v>
      </c>
      <c r="B37" s="18"/>
      <c r="C37" s="153"/>
      <c r="F37" s="3"/>
    </row>
    <row r="38" spans="1:20" x14ac:dyDescent="0.3">
      <c r="A38" s="19" t="s">
        <v>1140</v>
      </c>
      <c r="B38" s="18"/>
      <c r="C38" s="153"/>
      <c r="F38" s="3"/>
    </row>
    <row r="39" spans="1:20" x14ac:dyDescent="0.3">
      <c r="A39" s="19" t="s">
        <v>1139</v>
      </c>
      <c r="B39" s="18"/>
      <c r="C39" s="153"/>
      <c r="F39" s="3"/>
    </row>
    <row r="40" spans="1:20" x14ac:dyDescent="0.3">
      <c r="A40" s="19" t="s">
        <v>29</v>
      </c>
      <c r="B40" s="27" t="s">
        <v>1123</v>
      </c>
      <c r="D40" s="9" t="s">
        <v>1667</v>
      </c>
      <c r="E40" s="20"/>
      <c r="F40" s="3"/>
      <c r="H40" s="10"/>
    </row>
    <row r="41" spans="1:20" x14ac:dyDescent="0.3">
      <c r="A41" s="19" t="s">
        <v>1124</v>
      </c>
      <c r="B41" s="20"/>
      <c r="D41" s="20"/>
      <c r="F41" s="3"/>
      <c r="H41" s="10"/>
    </row>
    <row r="42" spans="1:20" s="12" customFormat="1" x14ac:dyDescent="0.3">
      <c r="A42" s="108">
        <v>1</v>
      </c>
      <c r="B42" s="109">
        <v>1</v>
      </c>
      <c r="C42" s="154">
        <v>2</v>
      </c>
      <c r="D42" s="12" t="s">
        <v>1668</v>
      </c>
      <c r="E42" s="10"/>
      <c r="F42" s="3"/>
      <c r="G42" s="110"/>
    </row>
    <row r="43" spans="1:20" x14ac:dyDescent="0.3">
      <c r="A43" s="108">
        <v>2</v>
      </c>
      <c r="B43" s="109">
        <v>2</v>
      </c>
      <c r="C43" s="154">
        <v>2</v>
      </c>
      <c r="D43" s="9" t="s">
        <v>1669</v>
      </c>
      <c r="E43" s="10"/>
      <c r="F43" s="3"/>
      <c r="G43" s="4"/>
    </row>
    <row r="44" spans="1:20" x14ac:dyDescent="0.3">
      <c r="A44" s="108">
        <v>3</v>
      </c>
      <c r="B44" s="109">
        <v>3</v>
      </c>
      <c r="C44" s="154">
        <v>0.5</v>
      </c>
      <c r="D44" s="9" t="s">
        <v>1670</v>
      </c>
      <c r="F44" s="3"/>
      <c r="G44" s="4"/>
    </row>
    <row r="45" spans="1:20" x14ac:dyDescent="0.3">
      <c r="A45" s="108">
        <v>4</v>
      </c>
      <c r="B45" s="109">
        <v>4</v>
      </c>
      <c r="C45" s="154">
        <v>0.5</v>
      </c>
      <c r="D45" s="9" t="s">
        <v>1671</v>
      </c>
      <c r="F45" s="3"/>
      <c r="G45" s="4"/>
    </row>
    <row r="46" spans="1:20" x14ac:dyDescent="0.3">
      <c r="A46" s="108">
        <v>5</v>
      </c>
      <c r="B46" s="109">
        <v>5</v>
      </c>
      <c r="C46" s="154">
        <v>0.5</v>
      </c>
      <c r="D46" s="9" t="s">
        <v>1672</v>
      </c>
      <c r="E46" s="10"/>
      <c r="F46" s="3"/>
      <c r="G46" s="4"/>
    </row>
    <row r="47" spans="1:20" x14ac:dyDescent="0.3">
      <c r="A47" s="108">
        <v>6</v>
      </c>
      <c r="B47" s="109">
        <v>6</v>
      </c>
      <c r="C47" s="154">
        <v>1</v>
      </c>
      <c r="D47" s="9" t="s">
        <v>1673</v>
      </c>
      <c r="E47" s="10"/>
      <c r="F47" s="3"/>
      <c r="G47" s="4"/>
    </row>
    <row r="48" spans="1:20" x14ac:dyDescent="0.3">
      <c r="A48" s="108">
        <v>7</v>
      </c>
      <c r="B48" s="109">
        <v>7</v>
      </c>
      <c r="C48" s="154">
        <v>0.9</v>
      </c>
      <c r="D48" s="9" t="s">
        <v>1674</v>
      </c>
      <c r="E48" s="10"/>
      <c r="F48" s="3"/>
      <c r="G48" s="4"/>
    </row>
    <row r="49" spans="1:7" x14ac:dyDescent="0.3">
      <c r="A49" s="108">
        <v>8</v>
      </c>
      <c r="B49" s="109">
        <v>8</v>
      </c>
      <c r="C49" s="154">
        <v>15</v>
      </c>
      <c r="D49" s="9" t="s">
        <v>1675</v>
      </c>
      <c r="E49" s="10"/>
      <c r="F49" s="3"/>
      <c r="G49" s="4"/>
    </row>
    <row r="50" spans="1:7" x14ac:dyDescent="0.3">
      <c r="A50" s="108">
        <v>9</v>
      </c>
      <c r="B50" s="109">
        <v>9</v>
      </c>
      <c r="C50" s="154">
        <v>20</v>
      </c>
      <c r="D50" s="9" t="s">
        <v>1676</v>
      </c>
      <c r="E50" s="10"/>
      <c r="F50" s="3"/>
      <c r="G50" s="4"/>
    </row>
    <row r="51" spans="1:7" x14ac:dyDescent="0.3">
      <c r="A51" s="108">
        <v>10</v>
      </c>
      <c r="B51" s="109">
        <v>10</v>
      </c>
      <c r="C51" s="154">
        <v>20</v>
      </c>
      <c r="D51" s="9" t="s">
        <v>1677</v>
      </c>
      <c r="E51" s="10"/>
      <c r="F51" s="3"/>
      <c r="G51" s="4"/>
    </row>
    <row r="52" spans="1:7" x14ac:dyDescent="0.3">
      <c r="A52" s="163" t="s">
        <v>1125</v>
      </c>
      <c r="B52" s="164"/>
      <c r="C52" s="154"/>
      <c r="E52" s="10"/>
      <c r="F52" s="3"/>
      <c r="G52" s="4"/>
    </row>
    <row r="53" spans="1:7" x14ac:dyDescent="0.3">
      <c r="A53" s="108">
        <v>1</v>
      </c>
      <c r="B53" s="109">
        <v>11</v>
      </c>
      <c r="C53" s="154">
        <v>-100</v>
      </c>
      <c r="D53" s="9" t="s">
        <v>1678</v>
      </c>
      <c r="E53" s="10"/>
      <c r="F53" s="3"/>
      <c r="G53" s="4"/>
    </row>
    <row r="54" spans="1:7" x14ac:dyDescent="0.3">
      <c r="A54" s="108">
        <v>2</v>
      </c>
      <c r="B54" s="109">
        <v>12</v>
      </c>
      <c r="C54" s="154">
        <v>1.5</v>
      </c>
      <c r="D54" s="9" t="s">
        <v>1679</v>
      </c>
      <c r="E54" s="10"/>
      <c r="F54" s="3"/>
      <c r="G54" s="4"/>
    </row>
    <row r="55" spans="1:7" x14ac:dyDescent="0.3">
      <c r="A55" s="108">
        <v>3</v>
      </c>
      <c r="B55" s="109">
        <v>13</v>
      </c>
      <c r="C55" s="154">
        <v>2</v>
      </c>
      <c r="D55" s="9" t="s">
        <v>1680</v>
      </c>
      <c r="E55" s="10"/>
      <c r="F55" s="3"/>
      <c r="G55" s="4"/>
    </row>
    <row r="56" spans="1:7" x14ac:dyDescent="0.3">
      <c r="A56" s="108">
        <v>4</v>
      </c>
      <c r="B56" s="109">
        <v>14</v>
      </c>
      <c r="C56" s="154">
        <v>0.2</v>
      </c>
      <c r="D56" s="9" t="s">
        <v>1681</v>
      </c>
      <c r="E56" s="10"/>
      <c r="F56" s="3"/>
      <c r="G56" s="4"/>
    </row>
    <row r="57" spans="1:7" x14ac:dyDescent="0.3">
      <c r="A57" s="108">
        <v>5</v>
      </c>
      <c r="B57" s="109">
        <v>15</v>
      </c>
      <c r="C57" s="154">
        <v>0</v>
      </c>
      <c r="D57" s="9" t="s">
        <v>1682</v>
      </c>
      <c r="E57" s="10"/>
      <c r="F57" s="3"/>
      <c r="G57" s="4"/>
    </row>
    <row r="58" spans="1:7" x14ac:dyDescent="0.3">
      <c r="A58" s="108">
        <v>6</v>
      </c>
      <c r="B58" s="109">
        <v>16</v>
      </c>
      <c r="C58" s="154">
        <v>1</v>
      </c>
      <c r="D58" s="9" t="s">
        <v>1683</v>
      </c>
      <c r="E58" s="10"/>
      <c r="F58" s="3"/>
      <c r="G58" s="4"/>
    </row>
    <row r="59" spans="1:7" x14ac:dyDescent="0.3">
      <c r="A59" s="108">
        <v>7</v>
      </c>
      <c r="B59" s="109">
        <v>17</v>
      </c>
      <c r="C59" s="154">
        <v>0.1</v>
      </c>
      <c r="D59" s="9" t="s">
        <v>1684</v>
      </c>
      <c r="E59" s="10"/>
      <c r="F59" s="3"/>
      <c r="G59" s="4"/>
    </row>
    <row r="60" spans="1:7" x14ac:dyDescent="0.3">
      <c r="A60" s="108">
        <v>8</v>
      </c>
      <c r="B60" s="109">
        <v>18</v>
      </c>
      <c r="C60" s="154">
        <v>1.5</v>
      </c>
      <c r="D60" s="9" t="s">
        <v>1685</v>
      </c>
      <c r="E60" s="10"/>
      <c r="F60" s="3"/>
      <c r="G60" s="4"/>
    </row>
    <row r="61" spans="1:7" x14ac:dyDescent="0.3">
      <c r="A61" s="108">
        <v>9</v>
      </c>
      <c r="B61" s="109">
        <v>19</v>
      </c>
      <c r="C61" s="154">
        <v>5.0000000000000001E-4</v>
      </c>
      <c r="D61" s="9" t="s">
        <v>1686</v>
      </c>
      <c r="E61" s="10"/>
      <c r="F61" s="3"/>
      <c r="G61" s="4"/>
    </row>
    <row r="62" spans="1:7" x14ac:dyDescent="0.3">
      <c r="A62" s="108">
        <v>10</v>
      </c>
      <c r="B62" s="109">
        <v>20</v>
      </c>
      <c r="C62" s="154">
        <v>0.2</v>
      </c>
      <c r="D62" s="9" t="s">
        <v>1687</v>
      </c>
      <c r="E62" s="10"/>
      <c r="F62" s="3"/>
      <c r="G62" s="4"/>
    </row>
    <row r="63" spans="1:7" x14ac:dyDescent="0.3">
      <c r="A63" s="163" t="s">
        <v>1126</v>
      </c>
      <c r="B63" s="164"/>
      <c r="C63" s="154"/>
      <c r="E63" s="10"/>
      <c r="F63" s="3"/>
      <c r="G63" s="4"/>
    </row>
    <row r="64" spans="1:7" x14ac:dyDescent="0.3">
      <c r="A64" s="108">
        <v>1</v>
      </c>
      <c r="B64" s="109">
        <v>21</v>
      </c>
      <c r="C64" s="154">
        <v>10</v>
      </c>
      <c r="D64" s="9" t="s">
        <v>1688</v>
      </c>
      <c r="E64" s="10"/>
      <c r="F64" s="3"/>
      <c r="G64" s="4"/>
    </row>
    <row r="65" spans="1:7" x14ac:dyDescent="0.3">
      <c r="A65" s="108">
        <v>2</v>
      </c>
      <c r="B65" s="109">
        <v>22</v>
      </c>
      <c r="C65" s="154">
        <v>0.05</v>
      </c>
      <c r="D65" s="9" t="s">
        <v>1689</v>
      </c>
      <c r="E65" s="10"/>
      <c r="F65" s="3"/>
      <c r="G65" s="4"/>
    </row>
    <row r="66" spans="1:7" x14ac:dyDescent="0.3">
      <c r="A66" s="108">
        <v>3</v>
      </c>
      <c r="B66" s="109">
        <v>23</v>
      </c>
      <c r="C66" s="154">
        <v>3.2000000000000002E-3</v>
      </c>
      <c r="D66" s="9" t="s">
        <v>1690</v>
      </c>
      <c r="E66" s="10"/>
      <c r="F66" s="3"/>
      <c r="G66" s="4"/>
    </row>
    <row r="67" spans="1:7" x14ac:dyDescent="0.3">
      <c r="A67" s="108">
        <v>4</v>
      </c>
      <c r="B67" s="109">
        <v>24</v>
      </c>
      <c r="C67" s="154">
        <v>0.1</v>
      </c>
      <c r="D67" s="9" t="s">
        <v>1691</v>
      </c>
      <c r="E67" s="10"/>
      <c r="F67" s="3"/>
      <c r="G67" s="4"/>
    </row>
    <row r="68" spans="1:7" x14ac:dyDescent="0.3">
      <c r="A68" s="108">
        <v>5</v>
      </c>
      <c r="B68" s="109">
        <v>25</v>
      </c>
      <c r="C68" s="154">
        <v>0</v>
      </c>
      <c r="D68" s="9" t="s">
        <v>1692</v>
      </c>
      <c r="E68" s="10"/>
      <c r="F68" s="3"/>
      <c r="G68" s="4"/>
    </row>
    <row r="69" spans="1:7" x14ac:dyDescent="0.3">
      <c r="A69" s="108">
        <v>6</v>
      </c>
      <c r="B69" s="109">
        <v>26</v>
      </c>
      <c r="C69" s="154">
        <v>0.05</v>
      </c>
      <c r="D69" s="9" t="s">
        <v>1693</v>
      </c>
      <c r="E69" s="10"/>
      <c r="F69" s="3"/>
      <c r="G69" s="4"/>
    </row>
    <row r="70" spans="1:7" x14ac:dyDescent="0.3">
      <c r="A70" s="108">
        <v>7</v>
      </c>
      <c r="B70" s="109">
        <v>27</v>
      </c>
      <c r="C70" s="154">
        <v>0.3</v>
      </c>
      <c r="D70" s="9" t="s">
        <v>1694</v>
      </c>
      <c r="E70" s="10"/>
      <c r="F70" s="3"/>
      <c r="G70" s="4"/>
    </row>
    <row r="71" spans="1:7" x14ac:dyDescent="0.3">
      <c r="A71" s="108">
        <v>8</v>
      </c>
      <c r="B71" s="109">
        <v>28</v>
      </c>
      <c r="C71" s="154">
        <v>10</v>
      </c>
      <c r="D71" s="9" t="s">
        <v>1695</v>
      </c>
      <c r="E71" s="10"/>
      <c r="F71" s="3"/>
      <c r="G71" s="4"/>
    </row>
    <row r="72" spans="1:7" x14ac:dyDescent="0.3">
      <c r="A72" s="108">
        <v>9</v>
      </c>
      <c r="B72" s="109">
        <v>29</v>
      </c>
      <c r="C72" s="154">
        <v>0.1</v>
      </c>
      <c r="D72" s="9" t="s">
        <v>1696</v>
      </c>
      <c r="E72" s="10"/>
      <c r="F72" s="3"/>
      <c r="G72" s="4"/>
    </row>
    <row r="73" spans="1:7" x14ac:dyDescent="0.3">
      <c r="A73" s="108">
        <v>10</v>
      </c>
      <c r="B73" s="109">
        <v>30</v>
      </c>
      <c r="C73" s="154">
        <v>1.3</v>
      </c>
      <c r="D73" s="9" t="s">
        <v>1697</v>
      </c>
      <c r="E73" s="10"/>
      <c r="F73" s="3"/>
      <c r="G73" s="4"/>
    </row>
    <row r="74" spans="1:7" x14ac:dyDescent="0.3">
      <c r="A74" s="163" t="s">
        <v>1127</v>
      </c>
      <c r="B74" s="164"/>
      <c r="C74" s="154"/>
      <c r="E74" s="10"/>
      <c r="F74" s="3"/>
      <c r="G74" s="4"/>
    </row>
    <row r="75" spans="1:7" x14ac:dyDescent="0.3">
      <c r="A75" s="108">
        <v>1</v>
      </c>
      <c r="B75" s="109">
        <v>31</v>
      </c>
      <c r="C75" s="154">
        <v>0.3</v>
      </c>
      <c r="D75" s="9" t="s">
        <v>1698</v>
      </c>
      <c r="E75" s="10"/>
      <c r="F75" s="3"/>
      <c r="G75" s="4"/>
    </row>
    <row r="76" spans="1:7" x14ac:dyDescent="0.3">
      <c r="A76" s="108">
        <v>2</v>
      </c>
      <c r="B76" s="109">
        <v>32</v>
      </c>
      <c r="C76" s="154">
        <v>1</v>
      </c>
      <c r="D76" s="9" t="s">
        <v>1699</v>
      </c>
      <c r="E76" s="10"/>
      <c r="F76" s="3"/>
      <c r="G76" s="4"/>
    </row>
    <row r="77" spans="1:7" x14ac:dyDescent="0.3">
      <c r="A77" s="108">
        <v>3</v>
      </c>
      <c r="B77" s="109">
        <v>33</v>
      </c>
      <c r="C77" s="154">
        <v>2</v>
      </c>
      <c r="D77" s="9" t="s">
        <v>1700</v>
      </c>
      <c r="E77" s="10"/>
      <c r="F77" s="3"/>
      <c r="G77" s="4"/>
    </row>
    <row r="78" spans="1:7" x14ac:dyDescent="0.3">
      <c r="A78" s="108">
        <v>4</v>
      </c>
      <c r="B78" s="109">
        <v>34</v>
      </c>
      <c r="C78" s="154">
        <v>0.6</v>
      </c>
      <c r="D78" s="9" t="s">
        <v>1701</v>
      </c>
      <c r="E78" s="10"/>
      <c r="F78" s="3"/>
      <c r="G78" s="4"/>
    </row>
    <row r="79" spans="1:7" x14ac:dyDescent="0.3">
      <c r="A79" s="108">
        <v>5</v>
      </c>
      <c r="B79" s="109">
        <v>35</v>
      </c>
      <c r="C79" s="154">
        <v>1.01</v>
      </c>
      <c r="D79" s="9" t="s">
        <v>1702</v>
      </c>
      <c r="E79" s="10"/>
      <c r="F79" s="3"/>
      <c r="G79" s="4"/>
    </row>
    <row r="80" spans="1:7" x14ac:dyDescent="0.3">
      <c r="A80" s="108">
        <v>6</v>
      </c>
      <c r="B80" s="109">
        <v>36</v>
      </c>
      <c r="C80" s="154">
        <v>1E-3</v>
      </c>
      <c r="D80" s="9" t="s">
        <v>1703</v>
      </c>
      <c r="E80" s="10"/>
      <c r="F80" s="3"/>
      <c r="G80" s="4"/>
    </row>
    <row r="81" spans="1:7" x14ac:dyDescent="0.3">
      <c r="A81" s="108">
        <v>7</v>
      </c>
      <c r="B81" s="109">
        <v>37</v>
      </c>
      <c r="C81" s="154">
        <v>0.1</v>
      </c>
      <c r="D81" s="9" t="s">
        <v>1704</v>
      </c>
      <c r="E81" s="10"/>
      <c r="F81" s="3"/>
      <c r="G81" s="4"/>
    </row>
    <row r="82" spans="1:7" s="106" customFormat="1" x14ac:dyDescent="0.3">
      <c r="A82" s="108">
        <v>8</v>
      </c>
      <c r="B82" s="109">
        <v>38</v>
      </c>
      <c r="C82" s="154">
        <v>1</v>
      </c>
      <c r="D82" s="12" t="s">
        <v>1705</v>
      </c>
      <c r="E82" s="10"/>
      <c r="F82" s="3"/>
      <c r="G82" s="107"/>
    </row>
    <row r="83" spans="1:7" x14ac:dyDescent="0.3">
      <c r="A83" s="108">
        <v>9</v>
      </c>
      <c r="B83" s="109">
        <v>39</v>
      </c>
      <c r="C83" s="154">
        <v>2</v>
      </c>
      <c r="D83" s="9" t="s">
        <v>1706</v>
      </c>
      <c r="E83" s="10"/>
      <c r="F83" s="3"/>
      <c r="G83" s="10"/>
    </row>
    <row r="84" spans="1:7" x14ac:dyDescent="0.3">
      <c r="A84" s="108">
        <v>10</v>
      </c>
      <c r="B84" s="109">
        <v>40</v>
      </c>
      <c r="C84" s="154">
        <v>0.01</v>
      </c>
      <c r="D84" s="9" t="s">
        <v>1707</v>
      </c>
      <c r="E84" s="10"/>
      <c r="F84" s="3"/>
      <c r="G84" s="10"/>
    </row>
    <row r="85" spans="1:7" x14ac:dyDescent="0.3">
      <c r="A85" s="163" t="s">
        <v>1128</v>
      </c>
      <c r="B85" s="164"/>
      <c r="C85" s="154"/>
      <c r="E85" s="10"/>
      <c r="F85" s="3"/>
      <c r="G85" s="10"/>
    </row>
    <row r="86" spans="1:7" x14ac:dyDescent="0.3">
      <c r="A86" s="108">
        <v>1</v>
      </c>
      <c r="B86" s="109">
        <v>41</v>
      </c>
      <c r="C86" s="154">
        <v>0.5</v>
      </c>
      <c r="D86" s="9" t="s">
        <v>1708</v>
      </c>
      <c r="E86" s="10"/>
      <c r="F86" s="3"/>
      <c r="G86" s="4"/>
    </row>
    <row r="87" spans="1:7" x14ac:dyDescent="0.3">
      <c r="A87" s="108">
        <v>2</v>
      </c>
      <c r="B87" s="109">
        <v>42</v>
      </c>
      <c r="C87" s="154">
        <v>1</v>
      </c>
      <c r="D87" s="9" t="s">
        <v>1709</v>
      </c>
      <c r="E87" s="10"/>
      <c r="F87" s="3"/>
      <c r="G87" s="4"/>
    </row>
    <row r="88" spans="1:7" x14ac:dyDescent="0.3">
      <c r="A88" s="108">
        <v>3</v>
      </c>
      <c r="B88" s="109">
        <v>43</v>
      </c>
      <c r="C88" s="154">
        <v>0.05</v>
      </c>
      <c r="D88" s="9" t="s">
        <v>1710</v>
      </c>
      <c r="F88" s="3"/>
      <c r="G88" s="4"/>
    </row>
    <row r="89" spans="1:7" x14ac:dyDescent="0.3">
      <c r="A89" s="108">
        <v>4</v>
      </c>
      <c r="B89" s="109">
        <v>44</v>
      </c>
      <c r="C89" s="154">
        <v>1.5</v>
      </c>
      <c r="D89" s="9" t="s">
        <v>1711</v>
      </c>
      <c r="F89" s="3"/>
      <c r="G89" s="4"/>
    </row>
    <row r="90" spans="1:7" x14ac:dyDescent="0.3">
      <c r="A90" s="108">
        <v>5</v>
      </c>
      <c r="B90" s="109">
        <v>45</v>
      </c>
      <c r="C90" s="154">
        <v>3</v>
      </c>
      <c r="D90" s="9" t="s">
        <v>1712</v>
      </c>
      <c r="F90" s="3"/>
      <c r="G90" s="4"/>
    </row>
    <row r="91" spans="1:7" x14ac:dyDescent="0.3">
      <c r="A91" s="108">
        <v>6</v>
      </c>
      <c r="B91" s="109">
        <v>46</v>
      </c>
      <c r="C91" s="154">
        <v>0.5</v>
      </c>
      <c r="D91" s="9" t="s">
        <v>1713</v>
      </c>
      <c r="E91" s="10"/>
      <c r="F91" s="3"/>
      <c r="G91" s="4"/>
    </row>
    <row r="92" spans="1:7" x14ac:dyDescent="0.3">
      <c r="A92" s="108">
        <v>7</v>
      </c>
      <c r="B92" s="109">
        <v>47</v>
      </c>
      <c r="C92" s="154">
        <v>0.5</v>
      </c>
      <c r="D92" s="9" t="s">
        <v>1714</v>
      </c>
      <c r="E92" s="10"/>
      <c r="F92" s="3"/>
      <c r="G92" s="4"/>
    </row>
    <row r="93" spans="1:7" x14ac:dyDescent="0.3">
      <c r="A93" s="108">
        <v>8</v>
      </c>
      <c r="B93" s="109">
        <v>48</v>
      </c>
      <c r="C93" s="154">
        <v>0</v>
      </c>
      <c r="D93" s="9" t="s">
        <v>1715</v>
      </c>
      <c r="E93" s="10"/>
      <c r="F93" s="3"/>
      <c r="G93" s="4"/>
    </row>
    <row r="94" spans="1:7" x14ac:dyDescent="0.3">
      <c r="A94" s="108">
        <v>9</v>
      </c>
      <c r="B94" s="109">
        <v>49</v>
      </c>
      <c r="C94" s="154">
        <v>7</v>
      </c>
      <c r="D94" s="9" t="s">
        <v>1716</v>
      </c>
      <c r="E94" s="10"/>
      <c r="F94" s="3"/>
      <c r="G94" s="4"/>
    </row>
    <row r="95" spans="1:7" x14ac:dyDescent="0.3">
      <c r="A95" s="108">
        <v>10</v>
      </c>
      <c r="B95" s="109">
        <v>50</v>
      </c>
      <c r="C95" s="154">
        <v>0.1</v>
      </c>
      <c r="D95" s="9" t="s">
        <v>1717</v>
      </c>
      <c r="E95" s="10"/>
      <c r="F95" s="3"/>
      <c r="G95" s="4"/>
    </row>
    <row r="96" spans="1:7" x14ac:dyDescent="0.3">
      <c r="A96" s="163" t="s">
        <v>1129</v>
      </c>
      <c r="B96" s="164"/>
      <c r="C96" s="154"/>
      <c r="E96" s="10"/>
      <c r="F96" s="3"/>
      <c r="G96" s="4"/>
    </row>
    <row r="97" spans="1:7" x14ac:dyDescent="0.3">
      <c r="A97" s="108">
        <v>1</v>
      </c>
      <c r="B97" s="109">
        <v>51</v>
      </c>
      <c r="C97" s="154">
        <v>0.5</v>
      </c>
      <c r="D97" s="9" t="s">
        <v>1718</v>
      </c>
      <c r="E97" s="10"/>
      <c r="F97" s="3"/>
      <c r="G97" s="4"/>
    </row>
    <row r="98" spans="1:7" x14ac:dyDescent="0.3">
      <c r="A98" s="108">
        <v>2</v>
      </c>
      <c r="B98" s="109">
        <v>52</v>
      </c>
      <c r="C98" s="154">
        <v>10</v>
      </c>
      <c r="D98" s="9" t="s">
        <v>1719</v>
      </c>
      <c r="E98" s="10"/>
      <c r="F98" s="3"/>
      <c r="G98" s="4"/>
    </row>
    <row r="99" spans="1:7" x14ac:dyDescent="0.3">
      <c r="A99" s="108">
        <v>3</v>
      </c>
      <c r="B99" s="109">
        <v>53</v>
      </c>
      <c r="C99" s="154">
        <v>0.9</v>
      </c>
      <c r="D99" s="9" t="s">
        <v>1720</v>
      </c>
      <c r="E99" s="10"/>
      <c r="F99" s="3"/>
      <c r="G99" s="4"/>
    </row>
    <row r="100" spans="1:7" x14ac:dyDescent="0.3">
      <c r="A100" s="108">
        <v>4</v>
      </c>
      <c r="B100" s="109">
        <v>54</v>
      </c>
      <c r="C100" s="154">
        <v>0.78</v>
      </c>
      <c r="D100" s="9" t="s">
        <v>1721</v>
      </c>
      <c r="E100" s="10"/>
      <c r="F100" s="3"/>
      <c r="G100" s="4"/>
    </row>
    <row r="101" spans="1:7" x14ac:dyDescent="0.3">
      <c r="A101" s="108">
        <v>5</v>
      </c>
      <c r="B101" s="109">
        <v>55</v>
      </c>
      <c r="C101" s="154">
        <v>0.24679999999999999</v>
      </c>
      <c r="D101" s="9" t="s">
        <v>1722</v>
      </c>
      <c r="E101" s="10"/>
      <c r="F101" s="3"/>
      <c r="G101" s="4"/>
    </row>
    <row r="102" spans="1:7" x14ac:dyDescent="0.3">
      <c r="A102" s="108">
        <v>6</v>
      </c>
      <c r="B102" s="109">
        <v>56</v>
      </c>
      <c r="C102" s="154">
        <v>0.9</v>
      </c>
      <c r="D102" s="9" t="s">
        <v>1723</v>
      </c>
      <c r="E102" s="10"/>
      <c r="F102" s="3"/>
      <c r="G102" s="4"/>
    </row>
    <row r="103" spans="1:7" ht="15" customHeight="1" x14ac:dyDescent="0.3">
      <c r="A103" s="108">
        <v>7</v>
      </c>
      <c r="B103" s="109">
        <v>57</v>
      </c>
      <c r="C103" s="154">
        <v>0.78</v>
      </c>
      <c r="D103" s="9" t="s">
        <v>1724</v>
      </c>
      <c r="E103" s="10"/>
      <c r="F103" s="3"/>
      <c r="G103" s="4"/>
    </row>
    <row r="104" spans="1:7" x14ac:dyDescent="0.3">
      <c r="A104" s="108">
        <v>8</v>
      </c>
      <c r="B104" s="109">
        <v>58</v>
      </c>
      <c r="C104" s="154">
        <v>0.24679999999999999</v>
      </c>
      <c r="D104" s="9" t="s">
        <v>1725</v>
      </c>
      <c r="E104" s="10"/>
      <c r="F104" s="3"/>
      <c r="G104" s="4"/>
    </row>
    <row r="105" spans="1:7" x14ac:dyDescent="0.3">
      <c r="A105" s="108">
        <v>9</v>
      </c>
      <c r="B105" s="109">
        <v>59</v>
      </c>
      <c r="C105" s="154">
        <v>10</v>
      </c>
      <c r="D105" s="9" t="s">
        <v>1726</v>
      </c>
      <c r="E105" s="10"/>
      <c r="F105" s="3"/>
      <c r="G105" s="4"/>
    </row>
    <row r="106" spans="1:7" x14ac:dyDescent="0.3">
      <c r="A106" s="108">
        <v>10</v>
      </c>
      <c r="B106" s="109">
        <v>60</v>
      </c>
      <c r="C106" s="154">
        <v>7</v>
      </c>
      <c r="D106" s="9" t="s">
        <v>1727</v>
      </c>
      <c r="E106" s="10"/>
      <c r="F106" s="3"/>
      <c r="G106" s="4"/>
    </row>
    <row r="107" spans="1:7" x14ac:dyDescent="0.3">
      <c r="A107" s="163" t="s">
        <v>1130</v>
      </c>
      <c r="B107" s="164"/>
      <c r="C107" s="154"/>
      <c r="E107" s="10"/>
      <c r="F107" s="3"/>
      <c r="G107" s="4"/>
    </row>
    <row r="108" spans="1:7" x14ac:dyDescent="0.3">
      <c r="A108" s="108">
        <v>1</v>
      </c>
      <c r="B108" s="109">
        <v>61</v>
      </c>
      <c r="C108" s="154">
        <v>0.2</v>
      </c>
      <c r="D108" s="9" t="s">
        <v>1728</v>
      </c>
      <c r="E108" s="10"/>
      <c r="F108" s="3"/>
      <c r="G108" s="4"/>
    </row>
    <row r="109" spans="1:7" x14ac:dyDescent="0.3">
      <c r="A109" s="108">
        <v>2</v>
      </c>
      <c r="B109" s="109">
        <v>62</v>
      </c>
      <c r="C109" s="154">
        <v>0.02</v>
      </c>
      <c r="D109" s="9" t="s">
        <v>1729</v>
      </c>
      <c r="E109" s="10"/>
      <c r="F109" s="3"/>
      <c r="G109" s="4"/>
    </row>
    <row r="110" spans="1:7" x14ac:dyDescent="0.3">
      <c r="A110" s="108">
        <v>3</v>
      </c>
      <c r="B110" s="109">
        <v>63</v>
      </c>
      <c r="C110" s="154">
        <v>0.1</v>
      </c>
      <c r="D110" s="9" t="s">
        <v>1730</v>
      </c>
      <c r="E110" s="10"/>
      <c r="F110" s="3"/>
      <c r="G110" s="4"/>
    </row>
    <row r="111" spans="1:7" x14ac:dyDescent="0.3">
      <c r="A111" s="108">
        <v>4</v>
      </c>
      <c r="B111" s="109">
        <v>64</v>
      </c>
      <c r="C111" s="154">
        <v>1</v>
      </c>
      <c r="D111" s="9" t="s">
        <v>1731</v>
      </c>
      <c r="E111" s="10"/>
      <c r="F111" s="3"/>
      <c r="G111" s="4"/>
    </row>
    <row r="112" spans="1:7" x14ac:dyDescent="0.3">
      <c r="A112" s="108">
        <v>5</v>
      </c>
      <c r="B112" s="109">
        <v>65</v>
      </c>
      <c r="C112" s="154">
        <v>1E-3</v>
      </c>
      <c r="D112" s="9" t="s">
        <v>1732</v>
      </c>
      <c r="E112" s="10"/>
      <c r="F112" s="3"/>
      <c r="G112" s="4"/>
    </row>
    <row r="113" spans="1:7" x14ac:dyDescent="0.3">
      <c r="A113" s="108">
        <v>6</v>
      </c>
      <c r="B113" s="109">
        <v>66</v>
      </c>
      <c r="C113" s="154">
        <v>3</v>
      </c>
      <c r="D113" s="9" t="s">
        <v>1733</v>
      </c>
      <c r="E113" s="10"/>
      <c r="F113" s="3"/>
      <c r="G113" s="4"/>
    </row>
    <row r="114" spans="1:7" x14ac:dyDescent="0.3">
      <c r="A114" s="108">
        <v>7</v>
      </c>
      <c r="B114" s="109">
        <v>67</v>
      </c>
      <c r="C114" s="154">
        <v>10</v>
      </c>
      <c r="D114" s="9" t="s">
        <v>1734</v>
      </c>
      <c r="E114" s="10"/>
      <c r="F114" s="3"/>
      <c r="G114" s="4"/>
    </row>
    <row r="115" spans="1:7" x14ac:dyDescent="0.3">
      <c r="A115" s="108">
        <v>8</v>
      </c>
      <c r="B115" s="109">
        <v>68</v>
      </c>
      <c r="C115" s="154">
        <v>0.5</v>
      </c>
      <c r="D115" s="9" t="s">
        <v>1735</v>
      </c>
      <c r="E115" s="10"/>
      <c r="F115" s="3"/>
      <c r="G115" s="4"/>
    </row>
    <row r="116" spans="1:7" s="12" customFormat="1" x14ac:dyDescent="0.3">
      <c r="A116" s="108">
        <v>9</v>
      </c>
      <c r="B116" s="109">
        <v>69</v>
      </c>
      <c r="C116" s="154">
        <v>1</v>
      </c>
      <c r="D116" s="12" t="s">
        <v>1736</v>
      </c>
      <c r="E116" s="10"/>
      <c r="F116" s="3"/>
      <c r="G116" s="110"/>
    </row>
    <row r="117" spans="1:7" x14ac:dyDescent="0.3">
      <c r="A117" s="108">
        <v>10</v>
      </c>
      <c r="B117" s="109">
        <v>70</v>
      </c>
      <c r="C117" s="154">
        <v>0.5</v>
      </c>
      <c r="D117" s="9" t="s">
        <v>1737</v>
      </c>
      <c r="E117" s="10"/>
      <c r="F117" s="3"/>
      <c r="G117" s="4"/>
    </row>
    <row r="118" spans="1:7" x14ac:dyDescent="0.3">
      <c r="A118" s="163" t="s">
        <v>1131</v>
      </c>
      <c r="B118" s="164"/>
      <c r="C118" s="154"/>
      <c r="E118" s="10"/>
      <c r="F118" s="3"/>
      <c r="G118" s="4"/>
    </row>
    <row r="119" spans="1:7" x14ac:dyDescent="0.3">
      <c r="A119" s="108">
        <v>1</v>
      </c>
      <c r="B119" s="109">
        <v>71</v>
      </c>
      <c r="C119" s="154">
        <v>1.1499999999999999</v>
      </c>
      <c r="D119" s="9" t="s">
        <v>1738</v>
      </c>
      <c r="E119" s="10"/>
      <c r="F119" s="3"/>
      <c r="G119" s="4"/>
    </row>
    <row r="120" spans="1:7" x14ac:dyDescent="0.3">
      <c r="A120" s="108">
        <v>2</v>
      </c>
      <c r="B120" s="109">
        <v>72</v>
      </c>
      <c r="C120" s="154">
        <v>0.4</v>
      </c>
      <c r="D120" s="9" t="s">
        <v>1739</v>
      </c>
      <c r="E120" s="10"/>
      <c r="F120" s="3"/>
      <c r="G120" s="4"/>
    </row>
    <row r="121" spans="1:7" x14ac:dyDescent="0.3">
      <c r="A121" s="108">
        <v>3</v>
      </c>
      <c r="B121" s="109">
        <v>73</v>
      </c>
      <c r="C121" s="154">
        <v>0.5</v>
      </c>
      <c r="D121" s="9" t="s">
        <v>1740</v>
      </c>
      <c r="E121" s="10"/>
      <c r="F121" s="3"/>
      <c r="G121" s="4"/>
    </row>
    <row r="122" spans="1:7" x14ac:dyDescent="0.3">
      <c r="A122" s="108">
        <v>4</v>
      </c>
      <c r="B122" s="109">
        <v>74</v>
      </c>
      <c r="C122" s="154">
        <v>10</v>
      </c>
      <c r="D122" s="9" t="s">
        <v>1741</v>
      </c>
      <c r="E122" s="10"/>
      <c r="F122" s="3"/>
      <c r="G122" s="4"/>
    </row>
    <row r="123" spans="1:7" x14ac:dyDescent="0.3">
      <c r="A123" s="108">
        <v>5</v>
      </c>
      <c r="B123" s="109">
        <v>75</v>
      </c>
      <c r="C123" s="154">
        <v>0.05</v>
      </c>
      <c r="D123" s="9" t="s">
        <v>1742</v>
      </c>
      <c r="E123" s="10"/>
      <c r="F123" s="3"/>
      <c r="G123" s="4"/>
    </row>
    <row r="124" spans="1:7" x14ac:dyDescent="0.3">
      <c r="A124" s="108">
        <v>6</v>
      </c>
      <c r="B124" s="109">
        <v>76</v>
      </c>
      <c r="C124" s="154">
        <v>0.01</v>
      </c>
      <c r="D124" s="9" t="s">
        <v>1743</v>
      </c>
      <c r="E124" s="10"/>
      <c r="F124" s="3"/>
      <c r="G124" s="4"/>
    </row>
    <row r="125" spans="1:7" x14ac:dyDescent="0.3">
      <c r="A125" s="108">
        <v>7</v>
      </c>
      <c r="B125" s="109">
        <v>77</v>
      </c>
      <c r="C125" s="154">
        <v>0</v>
      </c>
      <c r="D125" s="9" t="s">
        <v>1744</v>
      </c>
      <c r="E125" s="10"/>
      <c r="F125" s="3"/>
      <c r="G125" s="4"/>
    </row>
    <row r="126" spans="1:7" x14ac:dyDescent="0.3">
      <c r="A126" s="108">
        <v>8</v>
      </c>
      <c r="B126" s="109">
        <v>78</v>
      </c>
      <c r="C126" s="154">
        <v>10</v>
      </c>
      <c r="D126" s="9" t="s">
        <v>1745</v>
      </c>
      <c r="E126" s="10"/>
      <c r="F126" s="3"/>
      <c r="G126" s="4"/>
    </row>
    <row r="127" spans="1:7" x14ac:dyDescent="0.3">
      <c r="A127" s="108">
        <v>9</v>
      </c>
      <c r="B127" s="109">
        <v>79</v>
      </c>
      <c r="C127" s="154">
        <v>1</v>
      </c>
      <c r="D127" s="9" t="s">
        <v>1746</v>
      </c>
      <c r="E127" s="10"/>
      <c r="F127" s="3"/>
      <c r="G127" s="4"/>
    </row>
    <row r="128" spans="1:7" ht="15" customHeight="1" x14ac:dyDescent="0.3">
      <c r="A128" s="108">
        <v>10</v>
      </c>
      <c r="B128" s="109">
        <v>80</v>
      </c>
      <c r="C128" s="154">
        <v>0.5</v>
      </c>
      <c r="D128" s="9" t="s">
        <v>1747</v>
      </c>
      <c r="E128" s="10"/>
      <c r="F128" s="3"/>
      <c r="G128" s="4"/>
    </row>
    <row r="129" spans="1:10" x14ac:dyDescent="0.3">
      <c r="A129" s="163" t="s">
        <v>1132</v>
      </c>
      <c r="B129" s="164"/>
      <c r="C129" s="154"/>
      <c r="E129" s="10"/>
      <c r="F129" s="3"/>
      <c r="G129" s="4"/>
      <c r="J129" s="10"/>
    </row>
    <row r="130" spans="1:10" x14ac:dyDescent="0.3">
      <c r="A130" s="108">
        <v>1</v>
      </c>
      <c r="B130" s="109">
        <v>81</v>
      </c>
      <c r="C130" s="154">
        <v>0</v>
      </c>
      <c r="D130" s="9" t="s">
        <v>1748</v>
      </c>
      <c r="E130" s="10"/>
      <c r="F130" s="10"/>
      <c r="G130" s="4"/>
      <c r="J130" s="10"/>
    </row>
    <row r="131" spans="1:10" x14ac:dyDescent="0.3">
      <c r="A131" s="108">
        <v>2</v>
      </c>
      <c r="B131" s="109">
        <v>82</v>
      </c>
      <c r="C131" s="154">
        <v>0</v>
      </c>
      <c r="D131" s="9" t="s">
        <v>1749</v>
      </c>
      <c r="E131" s="10"/>
      <c r="F131" s="3"/>
      <c r="G131" s="4"/>
      <c r="J131" s="10"/>
    </row>
    <row r="132" spans="1:10" x14ac:dyDescent="0.3">
      <c r="A132" s="108">
        <v>3</v>
      </c>
      <c r="B132" s="109">
        <v>83</v>
      </c>
      <c r="C132" s="154">
        <v>0.01</v>
      </c>
      <c r="D132" s="9" t="s">
        <v>1750</v>
      </c>
      <c r="F132" s="3"/>
      <c r="G132" s="4"/>
      <c r="J132" s="10"/>
    </row>
    <row r="133" spans="1:10" x14ac:dyDescent="0.3">
      <c r="A133" s="108">
        <v>4</v>
      </c>
      <c r="B133" s="109">
        <v>84</v>
      </c>
      <c r="C133" s="154">
        <v>1E-4</v>
      </c>
      <c r="D133" s="9" t="s">
        <v>1751</v>
      </c>
      <c r="E133" s="10"/>
      <c r="F133" s="3"/>
      <c r="G133" s="4"/>
    </row>
    <row r="134" spans="1:10" x14ac:dyDescent="0.3">
      <c r="A134" s="108">
        <v>5</v>
      </c>
      <c r="B134" s="109">
        <v>85</v>
      </c>
      <c r="C134" s="154">
        <v>1E-4</v>
      </c>
      <c r="D134" s="9" t="s">
        <v>1752</v>
      </c>
      <c r="E134" s="10"/>
      <c r="F134" s="3"/>
      <c r="G134" s="4"/>
    </row>
    <row r="135" spans="1:10" x14ac:dyDescent="0.3">
      <c r="A135" s="108">
        <v>6</v>
      </c>
      <c r="B135" s="109">
        <v>86</v>
      </c>
      <c r="C135" s="154">
        <v>1E-3</v>
      </c>
      <c r="D135" s="9" t="s">
        <v>1753</v>
      </c>
      <c r="E135" s="10"/>
      <c r="F135" s="3"/>
      <c r="G135" s="4"/>
    </row>
    <row r="136" spans="1:10" x14ac:dyDescent="0.3">
      <c r="A136" s="108">
        <v>7</v>
      </c>
      <c r="B136" s="109">
        <v>87</v>
      </c>
      <c r="C136" s="154">
        <v>1E-3</v>
      </c>
      <c r="D136" s="9" t="s">
        <v>1754</v>
      </c>
      <c r="F136" s="3"/>
      <c r="G136" s="4"/>
    </row>
    <row r="137" spans="1:10" x14ac:dyDescent="0.3">
      <c r="A137" s="108">
        <v>8</v>
      </c>
      <c r="B137" s="109">
        <v>88</v>
      </c>
      <c r="C137" s="154">
        <v>1E-3</v>
      </c>
      <c r="D137" s="9" t="s">
        <v>1755</v>
      </c>
      <c r="F137" s="3"/>
      <c r="G137" s="4"/>
    </row>
    <row r="138" spans="1:10" x14ac:dyDescent="0.3">
      <c r="A138" s="108">
        <v>9</v>
      </c>
      <c r="B138" s="109">
        <v>89</v>
      </c>
      <c r="C138" s="154">
        <v>0.1</v>
      </c>
      <c r="D138" s="9" t="s">
        <v>1756</v>
      </c>
      <c r="F138" s="3"/>
      <c r="G138" s="4"/>
    </row>
    <row r="139" spans="1:10" x14ac:dyDescent="0.3">
      <c r="A139" s="108">
        <v>10</v>
      </c>
      <c r="B139" s="109">
        <v>90</v>
      </c>
      <c r="C139" s="154">
        <v>2</v>
      </c>
      <c r="D139" s="9" t="s">
        <v>1757</v>
      </c>
      <c r="F139" s="3"/>
      <c r="G139" s="4"/>
    </row>
    <row r="140" spans="1:10" x14ac:dyDescent="0.3">
      <c r="A140" s="163" t="s">
        <v>1133</v>
      </c>
      <c r="B140" s="164"/>
      <c r="C140" s="154"/>
      <c r="E140" s="10"/>
      <c r="F140" s="3"/>
      <c r="G140" s="4"/>
    </row>
    <row r="141" spans="1:10" x14ac:dyDescent="0.3">
      <c r="A141" s="108">
        <v>1</v>
      </c>
      <c r="B141" s="109">
        <v>91</v>
      </c>
      <c r="C141" s="154">
        <v>0.28999999999999998</v>
      </c>
      <c r="D141" s="9" t="s">
        <v>1758</v>
      </c>
      <c r="E141" s="10"/>
      <c r="F141" s="3"/>
      <c r="G141" s="4"/>
    </row>
    <row r="142" spans="1:10" x14ac:dyDescent="0.3">
      <c r="A142" s="108">
        <v>2</v>
      </c>
      <c r="B142" s="109">
        <v>92</v>
      </c>
      <c r="C142" s="154">
        <v>0.4</v>
      </c>
      <c r="D142" s="9" t="s">
        <v>1759</v>
      </c>
      <c r="E142" s="10"/>
      <c r="F142" s="3"/>
      <c r="G142" s="4"/>
    </row>
    <row r="143" spans="1:10" x14ac:dyDescent="0.3">
      <c r="A143" s="108">
        <v>3</v>
      </c>
      <c r="B143" s="109">
        <v>93</v>
      </c>
      <c r="C143" s="154">
        <v>0.51</v>
      </c>
      <c r="D143" s="9" t="s">
        <v>1760</v>
      </c>
      <c r="E143" s="10"/>
      <c r="F143" s="3"/>
      <c r="G143" s="4"/>
    </row>
    <row r="144" spans="1:10" x14ac:dyDescent="0.3">
      <c r="A144" s="108">
        <v>4</v>
      </c>
      <c r="B144" s="109">
        <v>94</v>
      </c>
      <c r="C144" s="154">
        <v>0.56999999999999995</v>
      </c>
      <c r="D144" s="9" t="s">
        <v>1761</v>
      </c>
      <c r="E144" s="10"/>
      <c r="F144" s="3"/>
      <c r="G144" s="4"/>
    </row>
    <row r="145" spans="1:9" x14ac:dyDescent="0.3">
      <c r="A145" s="108">
        <v>5</v>
      </c>
      <c r="B145" s="109">
        <v>95</v>
      </c>
      <c r="C145" s="154">
        <v>10</v>
      </c>
      <c r="D145" s="9" t="s">
        <v>1762</v>
      </c>
      <c r="E145" s="10"/>
      <c r="F145" s="3"/>
      <c r="G145" s="4"/>
    </row>
    <row r="146" spans="1:9" x14ac:dyDescent="0.3">
      <c r="A146" s="108">
        <v>6</v>
      </c>
      <c r="B146" s="109">
        <v>96</v>
      </c>
      <c r="C146" s="154">
        <v>1</v>
      </c>
      <c r="D146" s="9" t="s">
        <v>1763</v>
      </c>
      <c r="E146" s="10"/>
      <c r="F146" s="3"/>
      <c r="G146" s="4"/>
    </row>
    <row r="147" spans="1:9" x14ac:dyDescent="0.3">
      <c r="A147" s="108">
        <v>7</v>
      </c>
      <c r="B147" s="109">
        <v>97</v>
      </c>
      <c r="C147" s="154">
        <v>0</v>
      </c>
      <c r="D147" s="9" t="s">
        <v>2516</v>
      </c>
      <c r="E147" s="10"/>
      <c r="F147" s="3"/>
      <c r="G147" s="4"/>
    </row>
    <row r="148" spans="1:9" x14ac:dyDescent="0.3">
      <c r="A148" s="108">
        <v>8</v>
      </c>
      <c r="B148" s="109">
        <v>98</v>
      </c>
      <c r="C148" s="154">
        <v>0</v>
      </c>
      <c r="D148" s="9" t="s">
        <v>2396</v>
      </c>
      <c r="E148" s="10"/>
      <c r="F148" s="3"/>
      <c r="G148" s="4"/>
    </row>
    <row r="149" spans="1:9" x14ac:dyDescent="0.3">
      <c r="A149" s="108">
        <v>9</v>
      </c>
      <c r="B149" s="109">
        <v>99</v>
      </c>
      <c r="C149" s="154">
        <v>0</v>
      </c>
      <c r="D149" s="9" t="s">
        <v>2397</v>
      </c>
      <c r="E149" s="10"/>
      <c r="F149" s="3"/>
      <c r="G149" s="4"/>
    </row>
    <row r="150" spans="1:9" x14ac:dyDescent="0.3">
      <c r="A150" s="108">
        <v>10</v>
      </c>
      <c r="B150" s="109">
        <v>100</v>
      </c>
      <c r="C150" s="154">
        <v>0</v>
      </c>
      <c r="D150" s="9" t="s">
        <v>2398</v>
      </c>
      <c r="E150" s="10"/>
      <c r="F150" s="3"/>
      <c r="G150" s="4"/>
    </row>
    <row r="151" spans="1:9" x14ac:dyDescent="0.3">
      <c r="A151" s="163" t="s">
        <v>1134</v>
      </c>
      <c r="B151" s="12"/>
      <c r="C151" s="154"/>
      <c r="E151" s="10"/>
      <c r="F151" s="3"/>
      <c r="G151" s="4"/>
    </row>
    <row r="152" spans="1:9" x14ac:dyDescent="0.3">
      <c r="A152" s="108">
        <v>1</v>
      </c>
      <c r="B152" s="109">
        <v>101</v>
      </c>
      <c r="C152" s="154">
        <v>0</v>
      </c>
      <c r="D152" s="9" t="s">
        <v>2399</v>
      </c>
      <c r="E152" s="10"/>
      <c r="F152" s="3"/>
      <c r="G152" s="4"/>
      <c r="I152" s="27"/>
    </row>
    <row r="153" spans="1:9" x14ac:dyDescent="0.3">
      <c r="A153" s="108">
        <v>2</v>
      </c>
      <c r="B153" s="109">
        <v>102</v>
      </c>
      <c r="C153" s="154">
        <v>6.6699999999999995E-2</v>
      </c>
      <c r="D153" s="9" t="s">
        <v>2400</v>
      </c>
      <c r="E153" s="10"/>
      <c r="F153" s="3"/>
      <c r="G153" s="4"/>
      <c r="I153" s="27"/>
    </row>
    <row r="154" spans="1:9" x14ac:dyDescent="0.3">
      <c r="A154" s="108">
        <v>3</v>
      </c>
      <c r="B154" s="109">
        <v>103</v>
      </c>
      <c r="C154" s="154">
        <v>0.2</v>
      </c>
      <c r="D154" s="9" t="s">
        <v>2401</v>
      </c>
      <c r="E154" s="10"/>
      <c r="F154" s="3"/>
      <c r="G154" s="4"/>
      <c r="I154" s="27"/>
    </row>
    <row r="155" spans="1:9" x14ac:dyDescent="0.3">
      <c r="A155" s="108">
        <v>4</v>
      </c>
      <c r="B155" s="109">
        <v>104</v>
      </c>
      <c r="C155" s="154">
        <v>0.3</v>
      </c>
      <c r="D155" s="9" t="s">
        <v>2402</v>
      </c>
      <c r="E155" s="10"/>
      <c r="F155" s="3"/>
      <c r="G155" s="4"/>
      <c r="I155" s="27"/>
    </row>
    <row r="156" spans="1:9" x14ac:dyDescent="0.3">
      <c r="A156" s="108">
        <v>5</v>
      </c>
      <c r="B156" s="109">
        <v>105</v>
      </c>
      <c r="C156" s="154">
        <v>6.6699999999999995E-2</v>
      </c>
      <c r="D156" s="9" t="s">
        <v>2403</v>
      </c>
      <c r="E156" s="10"/>
      <c r="F156" s="3"/>
      <c r="G156" s="4"/>
    </row>
    <row r="157" spans="1:9" x14ac:dyDescent="0.3">
      <c r="A157" s="108">
        <v>6</v>
      </c>
      <c r="B157" s="109">
        <v>106</v>
      </c>
      <c r="C157" s="154">
        <v>0.2</v>
      </c>
      <c r="D157" s="9" t="s">
        <v>2404</v>
      </c>
      <c r="E157" s="10"/>
      <c r="F157" s="3"/>
      <c r="G157" s="4"/>
    </row>
    <row r="158" spans="1:9" x14ac:dyDescent="0.3">
      <c r="A158" s="108">
        <v>7</v>
      </c>
      <c r="B158" s="109">
        <v>107</v>
      </c>
      <c r="C158" s="154">
        <v>7.4999999999999997E-3</v>
      </c>
      <c r="D158" s="9" t="s">
        <v>2405</v>
      </c>
      <c r="E158" s="10"/>
      <c r="F158" s="3"/>
      <c r="G158" s="4"/>
    </row>
    <row r="159" spans="1:9" x14ac:dyDescent="0.3">
      <c r="A159" s="108">
        <v>8</v>
      </c>
      <c r="B159" s="109">
        <v>108</v>
      </c>
      <c r="C159" s="154">
        <v>2</v>
      </c>
      <c r="D159" s="9" t="s">
        <v>2406</v>
      </c>
      <c r="E159" s="10"/>
      <c r="F159" s="3"/>
      <c r="G159" s="4"/>
    </row>
    <row r="160" spans="1:9" x14ac:dyDescent="0.3">
      <c r="A160" s="108">
        <v>9</v>
      </c>
      <c r="B160" s="109">
        <v>109</v>
      </c>
      <c r="C160" s="154">
        <v>1</v>
      </c>
      <c r="D160" s="9" t="s">
        <v>2407</v>
      </c>
      <c r="E160" s="10"/>
      <c r="F160" s="3"/>
      <c r="G160" s="4"/>
    </row>
    <row r="161" spans="1:7" x14ac:dyDescent="0.3">
      <c r="A161" s="108">
        <v>10</v>
      </c>
      <c r="B161" s="109">
        <v>110</v>
      </c>
      <c r="C161" s="154">
        <v>1</v>
      </c>
      <c r="D161" s="9" t="s">
        <v>2408</v>
      </c>
      <c r="E161" s="10"/>
      <c r="F161" s="3"/>
      <c r="G161" s="4"/>
    </row>
    <row r="162" spans="1:7" x14ac:dyDescent="0.3">
      <c r="A162" s="163" t="s">
        <v>2391</v>
      </c>
      <c r="B162" s="12"/>
      <c r="C162" s="154"/>
      <c r="D162" s="20"/>
      <c r="E162" s="10"/>
      <c r="F162" s="3"/>
      <c r="G162" s="4"/>
    </row>
    <row r="163" spans="1:7" x14ac:dyDescent="0.3">
      <c r="A163" s="108">
        <v>1</v>
      </c>
      <c r="B163" s="109" t="s">
        <v>1135</v>
      </c>
      <c r="C163" s="154">
        <v>4.3999999999999997E-2</v>
      </c>
      <c r="D163" s="9" t="s">
        <v>1764</v>
      </c>
      <c r="E163" s="10"/>
      <c r="F163" s="3"/>
      <c r="G163" s="4"/>
    </row>
    <row r="164" spans="1:7" x14ac:dyDescent="0.3">
      <c r="A164" s="108">
        <v>2</v>
      </c>
      <c r="B164" s="109" t="s">
        <v>1136</v>
      </c>
      <c r="C164" s="154">
        <v>31</v>
      </c>
      <c r="D164" s="9" t="s">
        <v>1765</v>
      </c>
      <c r="E164" s="10"/>
      <c r="F164" s="3"/>
      <c r="G164" s="4"/>
    </row>
    <row r="165" spans="1:7" x14ac:dyDescent="0.3">
      <c r="A165" s="108">
        <v>3</v>
      </c>
      <c r="B165" s="109" t="s">
        <v>1137</v>
      </c>
      <c r="C165" s="154">
        <v>0.51</v>
      </c>
      <c r="D165" s="9" t="s">
        <v>1766</v>
      </c>
      <c r="E165" s="10"/>
      <c r="F165" s="3"/>
      <c r="G165" s="4"/>
    </row>
    <row r="166" spans="1:7" x14ac:dyDescent="0.3">
      <c r="A166" s="108">
        <v>4</v>
      </c>
      <c r="B166" s="109" t="s">
        <v>1138</v>
      </c>
      <c r="C166" s="154">
        <v>10</v>
      </c>
      <c r="D166" s="9" t="s">
        <v>1767</v>
      </c>
      <c r="E166" s="10"/>
      <c r="F166" s="3"/>
      <c r="G166" s="4"/>
    </row>
    <row r="167" spans="1:7" x14ac:dyDescent="0.3">
      <c r="A167" s="108">
        <v>5</v>
      </c>
      <c r="B167" s="109"/>
      <c r="C167" s="154"/>
      <c r="D167" s="155" t="s">
        <v>1665</v>
      </c>
      <c r="F167" s="3"/>
    </row>
    <row r="168" spans="1:7" x14ac:dyDescent="0.3">
      <c r="A168" s="108">
        <v>6</v>
      </c>
      <c r="B168" s="109"/>
      <c r="C168" s="154"/>
      <c r="D168" s="20"/>
      <c r="F168" s="3"/>
    </row>
    <row r="169" spans="1:7" x14ac:dyDescent="0.3">
      <c r="A169" s="108">
        <v>7</v>
      </c>
      <c r="B169" s="109"/>
      <c r="C169" s="154"/>
      <c r="D169" s="20"/>
      <c r="F169" s="3"/>
    </row>
    <row r="170" spans="1:7" x14ac:dyDescent="0.3">
      <c r="A170" s="108">
        <v>8</v>
      </c>
      <c r="B170" s="109"/>
      <c r="C170" s="154"/>
      <c r="D170" s="20"/>
      <c r="F170" s="3"/>
    </row>
    <row r="171" spans="1:7" x14ac:dyDescent="0.3">
      <c r="A171" s="108">
        <v>9</v>
      </c>
      <c r="B171" s="109"/>
      <c r="C171" s="154"/>
      <c r="F171" s="3"/>
    </row>
    <row r="172" spans="1:7" x14ac:dyDescent="0.3">
      <c r="A172" s="108">
        <v>10</v>
      </c>
      <c r="B172" s="109"/>
      <c r="C172" s="154"/>
      <c r="F172" s="3"/>
    </row>
    <row r="173" spans="1:7" x14ac:dyDescent="0.3">
      <c r="A173" s="163" t="s">
        <v>2390</v>
      </c>
      <c r="B173" s="164"/>
      <c r="C173" s="154"/>
      <c r="F173" s="3"/>
    </row>
    <row r="174" spans="1:7" x14ac:dyDescent="0.3">
      <c r="A174" s="108">
        <v>1</v>
      </c>
      <c r="B174" s="109" t="s">
        <v>2392</v>
      </c>
      <c r="C174" s="152">
        <v>5</v>
      </c>
      <c r="D174" t="s">
        <v>2517</v>
      </c>
      <c r="F174" s="3"/>
    </row>
    <row r="175" spans="1:7" x14ac:dyDescent="0.3">
      <c r="A175" s="108">
        <v>2</v>
      </c>
      <c r="B175" s="109" t="s">
        <v>2393</v>
      </c>
      <c r="C175" s="152">
        <v>0.5</v>
      </c>
      <c r="D175" t="s">
        <v>2518</v>
      </c>
      <c r="F175" s="3"/>
    </row>
    <row r="176" spans="1:7" x14ac:dyDescent="0.3">
      <c r="A176" s="108">
        <v>3</v>
      </c>
      <c r="B176" s="109" t="s">
        <v>2394</v>
      </c>
      <c r="C176" s="152">
        <v>0.01</v>
      </c>
      <c r="D176" t="s">
        <v>2519</v>
      </c>
      <c r="F176" s="3"/>
    </row>
    <row r="177" spans="1:6" x14ac:dyDescent="0.3">
      <c r="A177" s="108">
        <v>4</v>
      </c>
      <c r="B177" s="109" t="s">
        <v>2395</v>
      </c>
      <c r="C177" s="152">
        <v>0.01</v>
      </c>
      <c r="D177" s="20" t="s">
        <v>2520</v>
      </c>
      <c r="F177" s="3"/>
    </row>
    <row r="178" spans="1:6" x14ac:dyDescent="0.3">
      <c r="A178" s="108">
        <v>5</v>
      </c>
      <c r="B178" s="109"/>
      <c r="C178" s="152"/>
      <c r="D178" s="20"/>
      <c r="F178" s="3"/>
    </row>
    <row r="179" spans="1:6" x14ac:dyDescent="0.3">
      <c r="A179" s="108">
        <v>6</v>
      </c>
      <c r="B179" s="109"/>
      <c r="C179" s="152"/>
      <c r="D179" s="20"/>
      <c r="F179" s="3"/>
    </row>
    <row r="180" spans="1:6" x14ac:dyDescent="0.3">
      <c r="A180" s="108">
        <v>7</v>
      </c>
      <c r="B180" s="109"/>
      <c r="C180" s="152"/>
      <c r="D180" s="20"/>
      <c r="F180" s="3"/>
    </row>
    <row r="181" spans="1:6" x14ac:dyDescent="0.3">
      <c r="A181" s="108">
        <v>8</v>
      </c>
      <c r="B181" s="109"/>
      <c r="C181" s="152"/>
      <c r="D181" s="20"/>
      <c r="F181" s="3"/>
    </row>
    <row r="182" spans="1:6" x14ac:dyDescent="0.3">
      <c r="A182" s="108">
        <v>9</v>
      </c>
      <c r="B182" s="109"/>
      <c r="C182" s="152"/>
      <c r="D182" s="20"/>
      <c r="F182" s="3"/>
    </row>
    <row r="183" spans="1:6" x14ac:dyDescent="0.3">
      <c r="A183" s="108">
        <v>10</v>
      </c>
      <c r="B183" s="109"/>
      <c r="C183" s="152"/>
      <c r="D183" s="20"/>
      <c r="F183" s="3"/>
    </row>
    <row r="184" spans="1:6" x14ac:dyDescent="0.3">
      <c r="A184" s="163"/>
      <c r="B184" s="164"/>
      <c r="C184" s="152"/>
      <c r="D184" s="20"/>
      <c r="F184" s="3"/>
    </row>
    <row r="185" spans="1:6" x14ac:dyDescent="0.3">
      <c r="A185" s="163"/>
      <c r="B185" s="165"/>
      <c r="C185" s="152"/>
      <c r="D185" s="18"/>
      <c r="F185" s="3"/>
    </row>
    <row r="186" spans="1:6" x14ac:dyDescent="0.3">
      <c r="A186" s="19"/>
      <c r="B186" s="27"/>
      <c r="C186" s="152"/>
      <c r="D186" s="20"/>
      <c r="F186" s="3"/>
    </row>
    <row r="187" spans="1:6" x14ac:dyDescent="0.3">
      <c r="A187" s="19"/>
      <c r="B187" s="27"/>
      <c r="C187" s="152"/>
      <c r="D187" s="20"/>
      <c r="F187" s="3"/>
    </row>
    <row r="188" spans="1:6" x14ac:dyDescent="0.3">
      <c r="A188" s="19"/>
      <c r="B188" s="27"/>
      <c r="C188" s="152"/>
      <c r="D188" s="20"/>
      <c r="F188" s="3"/>
    </row>
    <row r="189" spans="1:6" x14ac:dyDescent="0.3">
      <c r="A189" s="23"/>
      <c r="B189" s="24"/>
      <c r="C189" s="152"/>
      <c r="D189" s="20"/>
      <c r="F189" s="3"/>
    </row>
    <row r="190" spans="1:6" x14ac:dyDescent="0.3">
      <c r="A190" s="19"/>
      <c r="B190" s="27"/>
      <c r="C190" s="152"/>
      <c r="D190" s="20"/>
      <c r="F190" s="3"/>
    </row>
    <row r="191" spans="1:6" x14ac:dyDescent="0.3">
      <c r="A191" s="19"/>
      <c r="B191" s="27"/>
      <c r="C191" s="152"/>
      <c r="D191" s="20"/>
      <c r="F191" s="3"/>
    </row>
    <row r="192" spans="1:6" x14ac:dyDescent="0.3">
      <c r="A192" s="19"/>
      <c r="B192" s="27"/>
      <c r="C192" s="152"/>
      <c r="D192" s="20"/>
      <c r="F192" s="3"/>
    </row>
    <row r="193" spans="1:6" x14ac:dyDescent="0.3">
      <c r="A193" s="19"/>
      <c r="B193" s="27"/>
      <c r="C193" s="152"/>
      <c r="D193" s="20"/>
      <c r="F193" s="3"/>
    </row>
    <row r="194" spans="1:6" x14ac:dyDescent="0.3">
      <c r="A194" s="19"/>
      <c r="B194" s="27"/>
      <c r="C194" s="152"/>
      <c r="D194" s="20"/>
      <c r="F194" s="3"/>
    </row>
    <row r="195" spans="1:6" x14ac:dyDescent="0.3">
      <c r="A195" s="19"/>
      <c r="B195" s="27"/>
      <c r="C195" s="152"/>
      <c r="D195" s="20"/>
      <c r="F195" s="3"/>
    </row>
    <row r="196" spans="1:6" x14ac:dyDescent="0.3">
      <c r="A196" s="19"/>
      <c r="B196" s="27"/>
      <c r="C196" s="152"/>
      <c r="D196" s="20"/>
      <c r="F196" s="3"/>
    </row>
    <row r="197" spans="1:6" x14ac:dyDescent="0.3">
      <c r="A197" s="19"/>
      <c r="B197" s="27"/>
      <c r="C197" s="152"/>
      <c r="D197" s="20"/>
      <c r="F197" s="3"/>
    </row>
    <row r="198" spans="1:6" x14ac:dyDescent="0.3">
      <c r="A198" s="19"/>
      <c r="B198" s="27"/>
      <c r="C198" s="152"/>
      <c r="D198" s="20"/>
      <c r="F198" s="3"/>
    </row>
    <row r="199" spans="1:6" x14ac:dyDescent="0.3">
      <c r="A199" s="19"/>
      <c r="B199" s="27"/>
      <c r="C199" s="152"/>
      <c r="D199" s="20"/>
      <c r="F199" s="3"/>
    </row>
    <row r="200" spans="1:6" x14ac:dyDescent="0.3">
      <c r="A200" s="19"/>
      <c r="B200" s="27"/>
      <c r="C200" s="152"/>
      <c r="D200" s="20"/>
      <c r="F200" s="3"/>
    </row>
    <row r="201" spans="1:6" x14ac:dyDescent="0.3">
      <c r="A201" s="19"/>
      <c r="B201" s="27"/>
      <c r="C201" s="152"/>
      <c r="D201" s="20"/>
      <c r="F201" s="3"/>
    </row>
    <row r="202" spans="1:6" x14ac:dyDescent="0.3">
      <c r="A202" s="19"/>
      <c r="B202" s="27"/>
      <c r="C202" s="152"/>
      <c r="D202" s="20"/>
      <c r="F202" s="3"/>
    </row>
    <row r="203" spans="1:6" x14ac:dyDescent="0.3">
      <c r="A203" s="19"/>
      <c r="B203" s="27"/>
      <c r="C203" s="152"/>
      <c r="D203" s="20"/>
      <c r="F203" s="3"/>
    </row>
    <row r="204" spans="1:6" x14ac:dyDescent="0.3">
      <c r="A204" s="19"/>
      <c r="B204" s="27"/>
      <c r="C204" s="152"/>
      <c r="D204" s="20"/>
      <c r="F204" s="3"/>
    </row>
    <row r="205" spans="1:6" x14ac:dyDescent="0.3">
      <c r="A205" s="19"/>
      <c r="B205" s="27"/>
      <c r="C205" s="152"/>
      <c r="D205" s="20"/>
      <c r="F205" s="3"/>
    </row>
    <row r="206" spans="1:6" x14ac:dyDescent="0.3">
      <c r="A206" s="19"/>
      <c r="B206" s="27"/>
      <c r="C206" s="152"/>
      <c r="D206" s="20"/>
      <c r="F206" s="3"/>
    </row>
    <row r="207" spans="1:6" x14ac:dyDescent="0.3">
      <c r="A207" s="19"/>
      <c r="B207" s="27"/>
      <c r="C207" s="152"/>
      <c r="D207" s="20"/>
      <c r="F207" s="3"/>
    </row>
    <row r="208" spans="1:6" x14ac:dyDescent="0.3">
      <c r="A208" s="19"/>
      <c r="B208" s="27"/>
      <c r="C208" s="152"/>
      <c r="D208" s="20"/>
      <c r="F208" s="3"/>
    </row>
    <row r="209" spans="1:6" x14ac:dyDescent="0.3">
      <c r="A209" s="19"/>
      <c r="B209" s="27"/>
      <c r="C209" s="152"/>
      <c r="D209" s="20"/>
      <c r="F209" s="3"/>
    </row>
    <row r="210" spans="1:6" x14ac:dyDescent="0.3">
      <c r="A210" s="19"/>
      <c r="B210" s="27"/>
      <c r="C210" s="152"/>
      <c r="D210" s="20"/>
      <c r="F210" s="3"/>
    </row>
    <row r="211" spans="1:6" x14ac:dyDescent="0.3">
      <c r="A211" s="19"/>
      <c r="B211" s="27"/>
      <c r="C211" s="152"/>
      <c r="D211" s="20"/>
      <c r="F211" s="3"/>
    </row>
    <row r="212" spans="1:6" x14ac:dyDescent="0.3">
      <c r="A212" s="19"/>
      <c r="B212" s="27"/>
      <c r="C212" s="152"/>
      <c r="D212" s="20"/>
      <c r="F212" s="3"/>
    </row>
    <row r="213" spans="1:6" x14ac:dyDescent="0.3">
      <c r="A213" s="19"/>
      <c r="B213" s="27"/>
      <c r="C213" s="152"/>
      <c r="D213" s="20"/>
      <c r="F213" s="3"/>
    </row>
    <row r="214" spans="1:6" x14ac:dyDescent="0.3">
      <c r="A214" s="19"/>
      <c r="B214" s="27"/>
      <c r="C214" s="152"/>
      <c r="D214" s="20"/>
      <c r="F214" s="3"/>
    </row>
    <row r="215" spans="1:6" x14ac:dyDescent="0.3">
      <c r="A215" s="19"/>
      <c r="B215" s="27"/>
      <c r="C215" s="152"/>
      <c r="D215" s="20"/>
      <c r="F215" s="3"/>
    </row>
    <row r="216" spans="1:6" x14ac:dyDescent="0.3">
      <c r="A216" s="19"/>
      <c r="B216" s="27"/>
      <c r="C216" s="152"/>
      <c r="D216" s="20"/>
      <c r="F216" s="3"/>
    </row>
    <row r="217" spans="1:6" x14ac:dyDescent="0.3">
      <c r="A217" s="23"/>
      <c r="B217" s="24"/>
      <c r="C217" s="152"/>
      <c r="D217" s="20"/>
      <c r="F217" s="3"/>
    </row>
    <row r="218" spans="1:6" x14ac:dyDescent="0.3">
      <c r="A218" s="19"/>
      <c r="B218" s="27"/>
      <c r="C218" s="152"/>
      <c r="D218" s="20"/>
      <c r="F218" s="3"/>
    </row>
    <row r="219" spans="1:6" x14ac:dyDescent="0.3">
      <c r="A219" s="19"/>
      <c r="B219" s="27"/>
      <c r="C219" s="152"/>
      <c r="D219" s="20"/>
      <c r="F219" s="3"/>
    </row>
    <row r="220" spans="1:6" x14ac:dyDescent="0.3">
      <c r="A220" s="19"/>
      <c r="B220" s="27"/>
      <c r="C220" s="152"/>
      <c r="D220" s="20"/>
      <c r="F220" s="3"/>
    </row>
    <row r="221" spans="1:6" x14ac:dyDescent="0.3">
      <c r="A221" s="19"/>
      <c r="B221" s="27"/>
      <c r="C221" s="152"/>
      <c r="D221" s="20"/>
      <c r="F221" s="3"/>
    </row>
    <row r="222" spans="1:6" x14ac:dyDescent="0.3">
      <c r="A222" s="19"/>
      <c r="B222" s="27"/>
      <c r="C222" s="152"/>
      <c r="D222" s="20"/>
      <c r="F222" s="3"/>
    </row>
    <row r="223" spans="1:6" x14ac:dyDescent="0.3">
      <c r="A223" s="19"/>
      <c r="B223" s="27"/>
      <c r="C223" s="152"/>
      <c r="D223" s="20"/>
      <c r="F223" s="3"/>
    </row>
    <row r="224" spans="1:6" x14ac:dyDescent="0.3">
      <c r="A224" s="19"/>
      <c r="B224" s="27"/>
      <c r="C224" s="152"/>
      <c r="D224" s="20"/>
      <c r="F224" s="3"/>
    </row>
    <row r="225" spans="1:6" x14ac:dyDescent="0.3">
      <c r="A225" s="19"/>
      <c r="B225" s="27"/>
      <c r="C225" s="152"/>
      <c r="D225" s="20"/>
      <c r="F225" s="3"/>
    </row>
    <row r="226" spans="1:6" x14ac:dyDescent="0.3">
      <c r="A226" s="19"/>
      <c r="B226" s="27"/>
      <c r="C226" s="152"/>
      <c r="D226" s="20"/>
      <c r="F226" s="3"/>
    </row>
    <row r="227" spans="1:6" x14ac:dyDescent="0.3">
      <c r="A227" s="23"/>
      <c r="B227" s="24"/>
      <c r="D227" s="20"/>
      <c r="F227" s="3"/>
    </row>
    <row r="228" spans="1:6" x14ac:dyDescent="0.3">
      <c r="A228" s="19"/>
      <c r="B228" s="27"/>
      <c r="D228" s="20"/>
      <c r="F228" s="3"/>
    </row>
    <row r="229" spans="1:6" x14ac:dyDescent="0.3">
      <c r="A229" s="19"/>
      <c r="B229" s="27"/>
      <c r="D229" s="20"/>
      <c r="F229" s="3"/>
    </row>
    <row r="230" spans="1:6" x14ac:dyDescent="0.3">
      <c r="A230" s="19"/>
      <c r="B230" s="27"/>
      <c r="D230" s="20"/>
      <c r="F230" s="3"/>
    </row>
    <row r="231" spans="1:6" x14ac:dyDescent="0.3">
      <c r="A231" s="19"/>
      <c r="B231" s="27"/>
      <c r="D231" s="20"/>
      <c r="F231" s="3"/>
    </row>
    <row r="232" spans="1:6" x14ac:dyDescent="0.3">
      <c r="A232" s="19"/>
      <c r="B232" s="27"/>
      <c r="D232" s="20"/>
      <c r="F232" s="3"/>
    </row>
    <row r="233" spans="1:6" x14ac:dyDescent="0.3">
      <c r="A233" s="19"/>
      <c r="B233" s="27"/>
      <c r="D233" s="20"/>
      <c r="F233" s="3"/>
    </row>
    <row r="234" spans="1:6" x14ac:dyDescent="0.3">
      <c r="A234" s="19"/>
      <c r="B234" s="27"/>
      <c r="D234" s="20"/>
      <c r="F234" s="3"/>
    </row>
    <row r="235" spans="1:6" x14ac:dyDescent="0.3">
      <c r="A235" s="19"/>
      <c r="B235" s="27"/>
      <c r="D235" s="20"/>
      <c r="F235" s="3"/>
    </row>
    <row r="236" spans="1:6" x14ac:dyDescent="0.3">
      <c r="A236" s="19"/>
      <c r="B236" s="27"/>
      <c r="D236" s="20"/>
      <c r="F236" s="3"/>
    </row>
    <row r="237" spans="1:6" x14ac:dyDescent="0.3">
      <c r="A237" s="19"/>
      <c r="B237" s="27"/>
      <c r="D237" s="20"/>
      <c r="F237" s="3"/>
    </row>
    <row r="238" spans="1:6" x14ac:dyDescent="0.3">
      <c r="A238" s="19"/>
      <c r="B238" s="27"/>
      <c r="D238" s="20"/>
      <c r="F238" s="3"/>
    </row>
    <row r="239" spans="1:6" x14ac:dyDescent="0.3">
      <c r="A239" s="19"/>
      <c r="B239" s="27"/>
      <c r="D239" s="20"/>
      <c r="F239" s="3"/>
    </row>
    <row r="240" spans="1:6" x14ac:dyDescent="0.3">
      <c r="A240" s="19"/>
      <c r="B240" s="27"/>
      <c r="D240" s="20"/>
      <c r="F240" s="3"/>
    </row>
    <row r="241" spans="1:6" x14ac:dyDescent="0.3">
      <c r="A241" s="19"/>
      <c r="B241" s="27"/>
      <c r="D241" s="20"/>
      <c r="F241" s="3"/>
    </row>
    <row r="242" spans="1:6" x14ac:dyDescent="0.3">
      <c r="A242" s="19"/>
      <c r="B242" s="27"/>
      <c r="D242" s="20"/>
      <c r="F242" s="3"/>
    </row>
    <row r="243" spans="1:6" x14ac:dyDescent="0.3">
      <c r="A243" s="19"/>
      <c r="B243" s="27"/>
      <c r="D243" s="20"/>
      <c r="F243" s="3"/>
    </row>
    <row r="244" spans="1:6" x14ac:dyDescent="0.3">
      <c r="A244" s="19"/>
      <c r="B244" s="27"/>
      <c r="D244" s="20"/>
      <c r="F244" s="3"/>
    </row>
    <row r="245" spans="1:6" x14ac:dyDescent="0.3">
      <c r="A245" s="23"/>
      <c r="B245" s="24"/>
      <c r="D245" s="20"/>
      <c r="F245" s="3"/>
    </row>
    <row r="246" spans="1:6" x14ac:dyDescent="0.3">
      <c r="A246" s="19"/>
      <c r="B246" s="27"/>
      <c r="D246" s="20"/>
      <c r="F246" s="3"/>
    </row>
    <row r="247" spans="1:6" x14ac:dyDescent="0.3">
      <c r="A247" s="19"/>
      <c r="B247" s="27"/>
      <c r="D247" s="20"/>
      <c r="F247" s="3"/>
    </row>
    <row r="248" spans="1:6" x14ac:dyDescent="0.3">
      <c r="A248" s="19"/>
      <c r="B248" s="27"/>
      <c r="D248" s="20"/>
      <c r="F248" s="3"/>
    </row>
    <row r="249" spans="1:6" x14ac:dyDescent="0.3">
      <c r="A249" s="19"/>
      <c r="B249" s="27"/>
      <c r="D249" s="20"/>
      <c r="F249" s="3"/>
    </row>
    <row r="250" spans="1:6" x14ac:dyDescent="0.3">
      <c r="A250" s="19"/>
      <c r="B250" s="27"/>
      <c r="D250" s="20"/>
      <c r="F250" s="3"/>
    </row>
    <row r="251" spans="1:6" x14ac:dyDescent="0.3">
      <c r="A251" s="19"/>
      <c r="B251" s="27"/>
      <c r="D251" s="20"/>
      <c r="F251" s="3"/>
    </row>
    <row r="252" spans="1:6" x14ac:dyDescent="0.3">
      <c r="A252" s="19"/>
      <c r="B252" s="18"/>
      <c r="D252" s="18"/>
      <c r="F252" s="3"/>
    </row>
    <row r="253" spans="1:6" x14ac:dyDescent="0.3">
      <c r="A253" s="25"/>
      <c r="B253" s="18"/>
      <c r="D253" s="18"/>
      <c r="F253" s="3"/>
    </row>
    <row r="254" spans="1:6" x14ac:dyDescent="0.3">
      <c r="A254" s="19"/>
      <c r="B254" s="18"/>
      <c r="D254" s="18"/>
      <c r="F254" s="3"/>
    </row>
    <row r="255" spans="1:6" x14ac:dyDescent="0.3">
      <c r="A255" s="25"/>
      <c r="B255" s="26"/>
      <c r="D255" s="26"/>
      <c r="F255" s="3"/>
    </row>
    <row r="256" spans="1:6" x14ac:dyDescent="0.3">
      <c r="A256" s="25"/>
      <c r="B256" s="26"/>
      <c r="D256" s="26"/>
      <c r="F256" s="3"/>
    </row>
    <row r="257" spans="1:6" x14ac:dyDescent="0.3">
      <c r="A257" s="25"/>
      <c r="B257" s="26"/>
      <c r="D257" s="26"/>
      <c r="F257" s="3"/>
    </row>
    <row r="258" spans="1:6" x14ac:dyDescent="0.3">
      <c r="A258" s="25"/>
      <c r="B258" s="26"/>
      <c r="D258" s="26"/>
      <c r="F258" s="3"/>
    </row>
    <row r="259" spans="1:6" x14ac:dyDescent="0.3">
      <c r="A259" s="25"/>
      <c r="B259" s="26"/>
      <c r="D259" s="26"/>
      <c r="F259" s="3"/>
    </row>
    <row r="260" spans="1:6" x14ac:dyDescent="0.3">
      <c r="A260" s="25"/>
      <c r="B260" s="26"/>
      <c r="D260" s="26"/>
      <c r="F260" s="3"/>
    </row>
    <row r="261" spans="1:6" x14ac:dyDescent="0.3">
      <c r="A261" s="25"/>
      <c r="B261" s="26"/>
      <c r="C261" s="153"/>
      <c r="F261" s="3"/>
    </row>
    <row r="262" spans="1:6" x14ac:dyDescent="0.3">
      <c r="A262" s="25"/>
      <c r="B262" s="26"/>
      <c r="C262" s="153"/>
      <c r="F262" s="3"/>
    </row>
    <row r="263" spans="1:6" x14ac:dyDescent="0.3">
      <c r="A263" s="25"/>
      <c r="B263" s="26"/>
      <c r="C263" s="153"/>
    </row>
    <row r="264" spans="1:6" x14ac:dyDescent="0.3">
      <c r="A264" s="25"/>
      <c r="B264" s="26"/>
      <c r="C264" s="153"/>
    </row>
    <row r="265" spans="1:6" x14ac:dyDescent="0.3">
      <c r="A265" s="25"/>
      <c r="B265" s="26"/>
      <c r="C265" s="153"/>
    </row>
    <row r="266" spans="1:6" x14ac:dyDescent="0.3">
      <c r="A266" s="25"/>
      <c r="B266" s="26"/>
      <c r="C266" s="153"/>
    </row>
    <row r="267" spans="1:6" x14ac:dyDescent="0.3">
      <c r="A267" s="25"/>
      <c r="B267" s="26"/>
      <c r="C267" s="153"/>
    </row>
    <row r="268" spans="1:6" x14ac:dyDescent="0.3">
      <c r="A268" s="25"/>
      <c r="B268" s="26"/>
      <c r="C268" s="15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1" r:id="rId4" name="cmdRun">
          <controlPr defaultSize="0" autoLine="0" r:id="rId5">
            <anchor moveWithCells="1">
              <from>
                <xdr:col>10</xdr:col>
                <xdr:colOff>373380</xdr:colOff>
                <xdr:row>0</xdr:row>
                <xdr:rowOff>228600</xdr:rowOff>
              </from>
              <to>
                <xdr:col>12</xdr:col>
                <xdr:colOff>198120</xdr:colOff>
                <xdr:row>1</xdr:row>
                <xdr:rowOff>236220</xdr:rowOff>
              </to>
            </anchor>
          </controlPr>
        </control>
      </mc:Choice>
      <mc:Fallback>
        <control shapeId="12291" r:id="rId4" name="cmdRun"/>
      </mc:Fallback>
    </mc:AlternateContent>
    <mc:AlternateContent xmlns:mc="http://schemas.openxmlformats.org/markup-compatibility/2006">
      <mc:Choice Requires="x14">
        <control shapeId="12289" r:id="rId6" name="cmdReadParm">
          <controlPr defaultSize="0" autoLine="0" r:id="rId7">
            <anchor moveWithCells="1">
              <from>
                <xdr:col>6</xdr:col>
                <xdr:colOff>556260</xdr:colOff>
                <xdr:row>0</xdr:row>
                <xdr:rowOff>228600</xdr:rowOff>
              </from>
              <to>
                <xdr:col>8</xdr:col>
                <xdr:colOff>396240</xdr:colOff>
                <xdr:row>1</xdr:row>
                <xdr:rowOff>236220</xdr:rowOff>
              </to>
            </anchor>
          </controlPr>
        </control>
      </mc:Choice>
      <mc:Fallback>
        <control shapeId="12289" r:id="rId6" name="cmdReadParm"/>
      </mc:Fallback>
    </mc:AlternateContent>
    <mc:AlternateContent xmlns:mc="http://schemas.openxmlformats.org/markup-compatibility/2006">
      <mc:Choice Requires="x14">
        <control shapeId="12290" r:id="rId8" name="cmdWriteParm">
          <controlPr defaultSize="0" autoLine="0" r:id="rId9">
            <anchor moveWithCells="1">
              <from>
                <xdr:col>8</xdr:col>
                <xdr:colOff>449580</xdr:colOff>
                <xdr:row>0</xdr:row>
                <xdr:rowOff>228600</xdr:rowOff>
              </from>
              <to>
                <xdr:col>10</xdr:col>
                <xdr:colOff>274320</xdr:colOff>
                <xdr:row>1</xdr:row>
                <xdr:rowOff>236220</xdr:rowOff>
              </to>
            </anchor>
          </controlPr>
        </control>
      </mc:Choice>
      <mc:Fallback>
        <control shapeId="12290" r:id="rId8" name="cmdWriteParm"/>
      </mc:Fallback>
    </mc:AlternateContent>
    <mc:AlternateContent xmlns:mc="http://schemas.openxmlformats.org/markup-compatibility/2006">
      <mc:Choice Requires="x14">
        <control shapeId="12293" r:id="rId10" name="cmbBoxParm">
          <controlPr defaultSize="0" autoLine="0" linkedCell="B2" r:id="rId11">
            <anchor moveWithCells="1">
              <from>
                <xdr:col>1</xdr:col>
                <xdr:colOff>22860</xdr:colOff>
                <xdr:row>1</xdr:row>
                <xdr:rowOff>22860</xdr:rowOff>
              </from>
              <to>
                <xdr:col>3</xdr:col>
                <xdr:colOff>38100</xdr:colOff>
                <xdr:row>2</xdr:row>
                <xdr:rowOff>7620</xdr:rowOff>
              </to>
            </anchor>
          </controlPr>
        </control>
      </mc:Choice>
      <mc:Fallback>
        <control shapeId="12293" r:id="rId10" name="cmbBoxParm"/>
      </mc:Fallback>
    </mc:AlternateContent>
    <mc:AlternateContent xmlns:mc="http://schemas.openxmlformats.org/markup-compatibility/2006">
      <mc:Choice Requires="x14">
        <control shapeId="12294" r:id="rId12" name="cmbGetParm">
          <controlPr defaultSize="0" autoLine="0" r:id="rId13">
            <anchor moveWithCells="1">
              <from>
                <xdr:col>5</xdr:col>
                <xdr:colOff>68580</xdr:colOff>
                <xdr:row>0</xdr:row>
                <xdr:rowOff>228600</xdr:rowOff>
              </from>
              <to>
                <xdr:col>6</xdr:col>
                <xdr:colOff>480060</xdr:colOff>
                <xdr:row>1</xdr:row>
                <xdr:rowOff>236220</xdr:rowOff>
              </to>
            </anchor>
          </controlPr>
        </control>
      </mc:Choice>
      <mc:Fallback>
        <control shapeId="12294" r:id="rId12" name="cmbGetParm"/>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Y148"/>
  <sheetViews>
    <sheetView zoomScaleNormal="100" workbookViewId="0">
      <pane ySplit="3" topLeftCell="A4" activePane="bottomLeft" state="frozen"/>
      <selection pane="bottomLeft"/>
    </sheetView>
  </sheetViews>
  <sheetFormatPr defaultRowHeight="14.4" x14ac:dyDescent="0.3"/>
  <cols>
    <col min="1" max="1" width="12.109375" style="94" customWidth="1"/>
    <col min="7" max="7" width="9.109375" customWidth="1"/>
    <col min="10" max="10" width="9.109375" style="9"/>
    <col min="22" max="22" width="9.88671875" bestFit="1" customWidth="1"/>
    <col min="23" max="23" width="14.33203125" bestFit="1" customWidth="1"/>
    <col min="24" max="24" width="8.6640625" bestFit="1" customWidth="1"/>
    <col min="25" max="25" width="52.6640625" bestFit="1" customWidth="1"/>
  </cols>
  <sheetData>
    <row r="1" spans="1:25" ht="21" x14ac:dyDescent="0.3">
      <c r="A1" s="125" t="s">
        <v>1459</v>
      </c>
    </row>
    <row r="2" spans="1:25" x14ac:dyDescent="0.3">
      <c r="A2" s="91" t="s">
        <v>1462</v>
      </c>
      <c r="B2" s="92"/>
      <c r="C2" s="93" t="s">
        <v>1463</v>
      </c>
    </row>
    <row r="3" spans="1:25" x14ac:dyDescent="0.3">
      <c r="V3" s="8" t="s">
        <v>671</v>
      </c>
      <c r="W3" s="8" t="s">
        <v>672</v>
      </c>
      <c r="X3" s="8" t="s">
        <v>674</v>
      </c>
      <c r="Y3" s="8" t="s">
        <v>673</v>
      </c>
    </row>
    <row r="4" spans="1:25" ht="15.6" x14ac:dyDescent="0.3">
      <c r="A4" s="94" t="s">
        <v>980</v>
      </c>
      <c r="B4" t="s">
        <v>981</v>
      </c>
      <c r="C4" t="s">
        <v>982</v>
      </c>
      <c r="J4"/>
      <c r="V4">
        <v>1</v>
      </c>
      <c r="W4" s="1" t="s">
        <v>675</v>
      </c>
      <c r="X4" t="s">
        <v>677</v>
      </c>
      <c r="Y4" t="s">
        <v>676</v>
      </c>
    </row>
    <row r="5" spans="1:25" x14ac:dyDescent="0.3">
      <c r="C5" t="s">
        <v>983</v>
      </c>
      <c r="J5"/>
      <c r="V5">
        <v>2</v>
      </c>
      <c r="W5" s="1" t="s">
        <v>678</v>
      </c>
      <c r="X5" t="s">
        <v>677</v>
      </c>
      <c r="Y5" t="s">
        <v>679</v>
      </c>
    </row>
    <row r="6" spans="1:25" ht="16.2" x14ac:dyDescent="0.3">
      <c r="A6" s="95">
        <v>1</v>
      </c>
      <c r="B6" s="15">
        <v>2</v>
      </c>
      <c r="C6" s="15">
        <v>3</v>
      </c>
      <c r="D6" s="15">
        <v>4</v>
      </c>
      <c r="E6" s="15">
        <v>5</v>
      </c>
      <c r="F6" s="15">
        <v>6</v>
      </c>
      <c r="G6" s="15">
        <v>10</v>
      </c>
      <c r="H6" s="15">
        <v>11</v>
      </c>
      <c r="I6" s="15">
        <v>12</v>
      </c>
      <c r="J6" s="15">
        <v>13</v>
      </c>
      <c r="K6" s="15">
        <v>14</v>
      </c>
      <c r="L6" s="15">
        <v>15</v>
      </c>
      <c r="M6" s="15">
        <v>16</v>
      </c>
      <c r="N6" s="15">
        <v>18</v>
      </c>
      <c r="O6" s="15">
        <v>24</v>
      </c>
      <c r="P6" s="15">
        <v>25</v>
      </c>
      <c r="Q6" s="15">
        <v>26</v>
      </c>
      <c r="R6" s="15">
        <v>27</v>
      </c>
      <c r="S6" s="15">
        <v>29</v>
      </c>
      <c r="T6" s="15">
        <v>30</v>
      </c>
      <c r="U6" s="17" t="s">
        <v>1088</v>
      </c>
      <c r="V6">
        <v>3</v>
      </c>
      <c r="W6" s="1" t="s">
        <v>680</v>
      </c>
      <c r="X6" t="s">
        <v>682</v>
      </c>
      <c r="Y6" t="s">
        <v>681</v>
      </c>
    </row>
    <row r="7" spans="1:25" x14ac:dyDescent="0.3">
      <c r="A7" s="95">
        <v>37</v>
      </c>
      <c r="B7" s="15">
        <v>41</v>
      </c>
      <c r="C7" s="15">
        <v>42</v>
      </c>
      <c r="D7" s="15">
        <v>43</v>
      </c>
      <c r="E7" s="15">
        <v>44</v>
      </c>
      <c r="F7" s="15">
        <v>45</v>
      </c>
      <c r="G7" s="15">
        <v>46</v>
      </c>
      <c r="H7" s="15">
        <v>48</v>
      </c>
      <c r="I7" s="15">
        <v>50</v>
      </c>
      <c r="J7" s="15">
        <v>52</v>
      </c>
      <c r="K7" s="15">
        <v>53</v>
      </c>
      <c r="L7" s="15">
        <v>54</v>
      </c>
      <c r="M7" s="15">
        <v>55</v>
      </c>
      <c r="N7" s="15">
        <v>56</v>
      </c>
      <c r="O7" s="15">
        <v>57</v>
      </c>
      <c r="P7" s="15">
        <v>59</v>
      </c>
      <c r="Q7" s="15">
        <v>60</v>
      </c>
      <c r="R7" s="15">
        <v>64</v>
      </c>
      <c r="S7" s="15">
        <v>65</v>
      </c>
      <c r="T7" s="15">
        <v>66</v>
      </c>
      <c r="U7" s="17" t="s">
        <v>1088</v>
      </c>
      <c r="V7">
        <v>4</v>
      </c>
      <c r="W7" s="1" t="s">
        <v>683</v>
      </c>
      <c r="X7" t="s">
        <v>685</v>
      </c>
      <c r="Y7" t="s">
        <v>684</v>
      </c>
    </row>
    <row r="8" spans="1:25" x14ac:dyDescent="0.3">
      <c r="A8" s="95">
        <v>67</v>
      </c>
      <c r="B8" s="15">
        <v>71</v>
      </c>
      <c r="C8" s="15">
        <v>72</v>
      </c>
      <c r="D8" s="15">
        <v>73</v>
      </c>
      <c r="E8" s="15">
        <v>74</v>
      </c>
      <c r="F8" s="15">
        <v>75</v>
      </c>
      <c r="G8" s="15">
        <v>76</v>
      </c>
      <c r="H8" s="15">
        <v>77</v>
      </c>
      <c r="I8" s="15">
        <v>78</v>
      </c>
      <c r="J8" s="15">
        <v>81</v>
      </c>
      <c r="K8" s="15">
        <v>83</v>
      </c>
      <c r="L8" s="15">
        <v>84</v>
      </c>
      <c r="M8" s="15">
        <v>85</v>
      </c>
      <c r="N8" s="15">
        <v>86</v>
      </c>
      <c r="O8" s="15">
        <v>88</v>
      </c>
      <c r="P8" s="15">
        <v>93</v>
      </c>
      <c r="Q8" s="15">
        <v>94</v>
      </c>
      <c r="R8" s="15">
        <v>96</v>
      </c>
      <c r="S8" s="15">
        <v>98</v>
      </c>
      <c r="T8" s="15">
        <v>99</v>
      </c>
      <c r="U8" s="17" t="s">
        <v>1088</v>
      </c>
      <c r="V8">
        <v>5</v>
      </c>
      <c r="W8" t="s">
        <v>686</v>
      </c>
      <c r="X8" t="s">
        <v>685</v>
      </c>
      <c r="Y8" t="s">
        <v>687</v>
      </c>
    </row>
    <row r="9" spans="1:25" x14ac:dyDescent="0.3">
      <c r="A9" s="95">
        <v>102</v>
      </c>
      <c r="B9" s="15">
        <v>103</v>
      </c>
      <c r="C9" s="15">
        <v>104</v>
      </c>
      <c r="D9" s="15">
        <v>105</v>
      </c>
      <c r="E9" s="15">
        <v>106</v>
      </c>
      <c r="F9" s="15">
        <v>107</v>
      </c>
      <c r="G9" s="15">
        <v>108</v>
      </c>
      <c r="H9" s="15">
        <v>110</v>
      </c>
      <c r="I9" s="15">
        <v>125</v>
      </c>
      <c r="J9" s="15">
        <v>126</v>
      </c>
      <c r="K9" s="15">
        <v>127</v>
      </c>
      <c r="L9" s="15">
        <v>128</v>
      </c>
      <c r="M9" s="15">
        <v>134</v>
      </c>
      <c r="N9" s="15"/>
      <c r="O9" s="15"/>
      <c r="P9" s="15"/>
      <c r="Q9" s="15"/>
      <c r="R9" s="15"/>
      <c r="S9" s="15"/>
      <c r="T9" s="15"/>
      <c r="U9" s="17" t="s">
        <v>1088</v>
      </c>
      <c r="V9">
        <v>6</v>
      </c>
      <c r="W9" t="s">
        <v>688</v>
      </c>
      <c r="X9" t="s">
        <v>685</v>
      </c>
      <c r="Y9" t="s">
        <v>689</v>
      </c>
    </row>
    <row r="10" spans="1:25" x14ac:dyDescent="0.3">
      <c r="A10" s="96"/>
      <c r="B10" s="10"/>
      <c r="C10" s="10"/>
      <c r="D10" s="10"/>
      <c r="E10" s="10"/>
      <c r="F10" s="10"/>
      <c r="G10" s="10"/>
      <c r="H10" s="10"/>
      <c r="I10" s="10"/>
      <c r="J10" s="10"/>
      <c r="K10" s="10"/>
      <c r="L10" s="10"/>
      <c r="M10" s="10"/>
      <c r="N10" s="10"/>
      <c r="O10" s="10"/>
      <c r="P10" s="10"/>
      <c r="Q10" s="10"/>
      <c r="R10" s="10"/>
      <c r="S10" s="10"/>
      <c r="T10" s="10"/>
      <c r="U10" s="17" t="s">
        <v>1088</v>
      </c>
      <c r="V10">
        <v>7</v>
      </c>
      <c r="W10" t="s">
        <v>690</v>
      </c>
      <c r="X10" t="s">
        <v>692</v>
      </c>
      <c r="Y10" t="s">
        <v>691</v>
      </c>
    </row>
    <row r="11" spans="1:25" x14ac:dyDescent="0.3">
      <c r="V11">
        <v>8</v>
      </c>
      <c r="W11" s="1" t="s">
        <v>693</v>
      </c>
      <c r="Y11" t="s">
        <v>694</v>
      </c>
    </row>
    <row r="12" spans="1:25" ht="15.6" x14ac:dyDescent="0.3">
      <c r="A12" s="94" t="s">
        <v>984</v>
      </c>
      <c r="B12" t="s">
        <v>985</v>
      </c>
      <c r="C12" t="s">
        <v>986</v>
      </c>
      <c r="J12"/>
      <c r="V12">
        <v>9</v>
      </c>
      <c r="W12" s="1" t="s">
        <v>695</v>
      </c>
      <c r="X12" t="s">
        <v>697</v>
      </c>
      <c r="Y12" t="s">
        <v>696</v>
      </c>
    </row>
    <row r="13" spans="1:25" x14ac:dyDescent="0.3">
      <c r="C13" t="s">
        <v>987</v>
      </c>
      <c r="J13"/>
      <c r="V13">
        <v>10</v>
      </c>
      <c r="W13" s="1" t="s">
        <v>698</v>
      </c>
      <c r="X13" t="s">
        <v>685</v>
      </c>
      <c r="Y13" t="s">
        <v>699</v>
      </c>
    </row>
    <row r="14" spans="1:25" x14ac:dyDescent="0.3">
      <c r="A14" s="95">
        <v>38</v>
      </c>
      <c r="B14" s="15">
        <v>39</v>
      </c>
      <c r="C14" s="15">
        <v>40</v>
      </c>
      <c r="D14" s="15">
        <v>49</v>
      </c>
      <c r="E14" s="15"/>
      <c r="F14" s="15"/>
      <c r="G14" s="15"/>
      <c r="H14" s="15"/>
      <c r="I14" s="15"/>
      <c r="J14" s="15"/>
      <c r="K14" s="15"/>
      <c r="L14" s="15"/>
      <c r="M14" s="15"/>
      <c r="N14" s="15"/>
      <c r="O14" s="15"/>
      <c r="P14" s="15"/>
      <c r="Q14" s="15"/>
      <c r="R14" s="15"/>
      <c r="S14" s="15"/>
      <c r="T14" s="15"/>
      <c r="V14">
        <v>11</v>
      </c>
      <c r="W14" s="1" t="s">
        <v>700</v>
      </c>
      <c r="X14" t="s">
        <v>685</v>
      </c>
      <c r="Y14" t="s">
        <v>701</v>
      </c>
    </row>
    <row r="15" spans="1:25" x14ac:dyDescent="0.3">
      <c r="J15"/>
      <c r="V15">
        <v>12</v>
      </c>
      <c r="W15" s="1" t="s">
        <v>702</v>
      </c>
      <c r="X15" t="s">
        <v>685</v>
      </c>
      <c r="Y15" t="s">
        <v>703</v>
      </c>
    </row>
    <row r="16" spans="1:25" ht="15.6" x14ac:dyDescent="0.3">
      <c r="A16" s="94" t="s">
        <v>988</v>
      </c>
      <c r="B16" t="s">
        <v>989</v>
      </c>
      <c r="C16" t="s">
        <v>990</v>
      </c>
      <c r="J16"/>
      <c r="V16">
        <v>13</v>
      </c>
      <c r="W16" s="1" t="s">
        <v>704</v>
      </c>
      <c r="X16" t="s">
        <v>685</v>
      </c>
      <c r="Y16" t="s">
        <v>705</v>
      </c>
    </row>
    <row r="17" spans="1:25" x14ac:dyDescent="0.3">
      <c r="C17" t="s">
        <v>991</v>
      </c>
      <c r="J17"/>
      <c r="V17">
        <v>14</v>
      </c>
      <c r="W17" t="s">
        <v>706</v>
      </c>
      <c r="Y17" t="s">
        <v>707</v>
      </c>
    </row>
    <row r="18" spans="1:25" x14ac:dyDescent="0.3">
      <c r="A18" s="95">
        <v>1</v>
      </c>
      <c r="B18" s="15">
        <v>2</v>
      </c>
      <c r="C18" s="15">
        <v>3</v>
      </c>
      <c r="D18" s="15">
        <v>4</v>
      </c>
      <c r="E18" s="15">
        <v>5</v>
      </c>
      <c r="F18" s="15">
        <v>6</v>
      </c>
      <c r="G18" s="15">
        <v>7</v>
      </c>
      <c r="H18" s="15">
        <v>8</v>
      </c>
      <c r="I18" s="15">
        <v>9</v>
      </c>
      <c r="J18" s="15">
        <v>10</v>
      </c>
      <c r="K18" s="15">
        <v>11</v>
      </c>
      <c r="L18" s="15">
        <v>12</v>
      </c>
      <c r="M18" s="15">
        <v>13</v>
      </c>
      <c r="N18" s="15">
        <v>14</v>
      </c>
      <c r="O18" s="15">
        <v>15</v>
      </c>
      <c r="P18" s="15">
        <v>16</v>
      </c>
      <c r="Q18" s="15">
        <v>17</v>
      </c>
      <c r="R18" s="15"/>
      <c r="S18" s="15"/>
      <c r="T18" s="15"/>
      <c r="U18" s="17" t="s">
        <v>1088</v>
      </c>
      <c r="V18">
        <v>15</v>
      </c>
      <c r="W18" t="s">
        <v>708</v>
      </c>
      <c r="X18" t="s">
        <v>710</v>
      </c>
      <c r="Y18" t="s">
        <v>709</v>
      </c>
    </row>
    <row r="19" spans="1:25" x14ac:dyDescent="0.3">
      <c r="J19"/>
      <c r="V19">
        <v>16</v>
      </c>
      <c r="W19" t="s">
        <v>711</v>
      </c>
      <c r="X19" t="s">
        <v>685</v>
      </c>
      <c r="Y19" t="s">
        <v>712</v>
      </c>
    </row>
    <row r="20" spans="1:25" ht="15.6" x14ac:dyDescent="0.3">
      <c r="A20" s="94" t="s">
        <v>992</v>
      </c>
      <c r="B20" t="s">
        <v>993</v>
      </c>
      <c r="C20" t="s">
        <v>994</v>
      </c>
      <c r="V20">
        <v>17</v>
      </c>
      <c r="W20" t="s">
        <v>713</v>
      </c>
      <c r="X20" t="s">
        <v>685</v>
      </c>
      <c r="Y20" t="s">
        <v>714</v>
      </c>
    </row>
    <row r="21" spans="1:25" x14ac:dyDescent="0.3">
      <c r="C21" t="s">
        <v>995</v>
      </c>
      <c r="V21">
        <v>18</v>
      </c>
      <c r="W21" t="s">
        <v>715</v>
      </c>
      <c r="X21" t="s">
        <v>685</v>
      </c>
      <c r="Y21" t="s">
        <v>716</v>
      </c>
    </row>
    <row r="22" spans="1:25" x14ac:dyDescent="0.3">
      <c r="A22" s="95">
        <v>13</v>
      </c>
      <c r="B22" s="95">
        <v>117</v>
      </c>
      <c r="C22" s="95">
        <v>29</v>
      </c>
      <c r="D22" s="95">
        <v>37</v>
      </c>
      <c r="E22" s="95">
        <v>48</v>
      </c>
      <c r="F22" s="95">
        <v>38</v>
      </c>
      <c r="G22" s="95">
        <v>49</v>
      </c>
      <c r="H22" s="95">
        <v>88</v>
      </c>
      <c r="I22" s="95">
        <v>108</v>
      </c>
      <c r="J22" s="95">
        <v>76</v>
      </c>
      <c r="K22" s="95">
        <v>77</v>
      </c>
      <c r="L22" s="95">
        <v>72</v>
      </c>
      <c r="M22" s="95">
        <v>15</v>
      </c>
      <c r="N22" s="95">
        <v>83</v>
      </c>
      <c r="O22" s="95">
        <v>17</v>
      </c>
      <c r="P22" s="95"/>
      <c r="Q22" s="95"/>
      <c r="R22" s="95"/>
      <c r="S22" s="95"/>
      <c r="T22" s="95"/>
      <c r="U22" s="17" t="s">
        <v>1088</v>
      </c>
      <c r="V22">
        <v>19</v>
      </c>
      <c r="W22" t="s">
        <v>717</v>
      </c>
      <c r="X22" t="s">
        <v>685</v>
      </c>
      <c r="Y22" t="s">
        <v>718</v>
      </c>
    </row>
    <row r="23" spans="1:25" x14ac:dyDescent="0.3">
      <c r="A23" s="95"/>
      <c r="B23" s="95"/>
      <c r="C23" s="95"/>
      <c r="D23" s="95"/>
      <c r="E23" s="95"/>
      <c r="F23" s="95"/>
      <c r="G23" s="95"/>
      <c r="H23" s="95"/>
      <c r="I23" s="95"/>
      <c r="J23" s="95"/>
      <c r="K23" s="95"/>
      <c r="L23" s="95"/>
      <c r="M23" s="95"/>
      <c r="N23" s="95"/>
      <c r="O23" s="95"/>
      <c r="P23" s="95"/>
      <c r="Q23" s="95"/>
      <c r="R23" s="95"/>
      <c r="S23" s="95"/>
      <c r="T23" s="95"/>
      <c r="U23" s="17" t="s">
        <v>1088</v>
      </c>
      <c r="V23">
        <v>20</v>
      </c>
      <c r="W23" t="s">
        <v>719</v>
      </c>
      <c r="X23" t="s">
        <v>685</v>
      </c>
      <c r="Y23" t="s">
        <v>720</v>
      </c>
    </row>
    <row r="24" spans="1:25" x14ac:dyDescent="0.3">
      <c r="V24">
        <v>21</v>
      </c>
      <c r="W24" t="s">
        <v>721</v>
      </c>
      <c r="X24" t="s">
        <v>685</v>
      </c>
      <c r="Y24" t="s">
        <v>722</v>
      </c>
    </row>
    <row r="25" spans="1:25" ht="15.6" x14ac:dyDescent="0.3">
      <c r="A25" s="94" t="s">
        <v>996</v>
      </c>
      <c r="B25" t="s">
        <v>997</v>
      </c>
      <c r="C25" t="s">
        <v>998</v>
      </c>
      <c r="V25">
        <v>22</v>
      </c>
      <c r="W25" t="s">
        <v>723</v>
      </c>
      <c r="X25" t="s">
        <v>685</v>
      </c>
      <c r="Y25" t="s">
        <v>724</v>
      </c>
    </row>
    <row r="26" spans="1:25" x14ac:dyDescent="0.3">
      <c r="C26" t="s">
        <v>999</v>
      </c>
      <c r="V26">
        <v>23</v>
      </c>
      <c r="W26" t="s">
        <v>725</v>
      </c>
      <c r="X26" t="s">
        <v>685</v>
      </c>
      <c r="Y26" t="s">
        <v>726</v>
      </c>
    </row>
    <row r="27" spans="1:25" x14ac:dyDescent="0.3">
      <c r="A27" s="95">
        <v>4</v>
      </c>
      <c r="B27" s="15">
        <v>5</v>
      </c>
      <c r="C27" s="15">
        <v>6</v>
      </c>
      <c r="D27" s="15">
        <v>18</v>
      </c>
      <c r="E27" s="15">
        <v>10</v>
      </c>
      <c r="F27" s="15">
        <v>11</v>
      </c>
      <c r="G27" s="15">
        <v>120</v>
      </c>
      <c r="H27" s="15">
        <v>16</v>
      </c>
      <c r="I27" s="15">
        <v>71</v>
      </c>
      <c r="J27" s="15">
        <v>13</v>
      </c>
      <c r="K27" s="15">
        <v>15</v>
      </c>
      <c r="L27" s="15">
        <v>72</v>
      </c>
      <c r="M27" s="15">
        <v>117</v>
      </c>
      <c r="N27" s="15">
        <v>14</v>
      </c>
      <c r="O27" s="15">
        <v>1</v>
      </c>
      <c r="P27" s="15">
        <v>2</v>
      </c>
      <c r="Q27" s="15">
        <v>59</v>
      </c>
      <c r="R27" s="15">
        <v>3</v>
      </c>
      <c r="S27" s="15">
        <v>27</v>
      </c>
      <c r="T27" s="15">
        <v>31</v>
      </c>
      <c r="U27" s="17" t="s">
        <v>1088</v>
      </c>
      <c r="V27">
        <v>24</v>
      </c>
      <c r="W27" t="s">
        <v>727</v>
      </c>
      <c r="Y27" t="s">
        <v>728</v>
      </c>
    </row>
    <row r="28" spans="1:25" x14ac:dyDescent="0.3">
      <c r="A28" s="95">
        <v>53</v>
      </c>
      <c r="B28" s="15">
        <v>54</v>
      </c>
      <c r="C28" s="15">
        <v>55</v>
      </c>
      <c r="D28" s="15">
        <v>56</v>
      </c>
      <c r="E28" s="15">
        <v>57</v>
      </c>
      <c r="F28" s="15">
        <v>43</v>
      </c>
      <c r="G28" s="15">
        <v>42</v>
      </c>
      <c r="H28" s="15">
        <v>37</v>
      </c>
      <c r="I28" s="15">
        <v>119</v>
      </c>
      <c r="J28" s="15">
        <v>38</v>
      </c>
      <c r="K28" s="15">
        <v>49</v>
      </c>
      <c r="L28" s="15">
        <v>118</v>
      </c>
      <c r="M28" s="15">
        <v>39</v>
      </c>
      <c r="N28" s="15">
        <v>80</v>
      </c>
      <c r="O28" s="15"/>
      <c r="P28" s="15"/>
      <c r="Q28" s="15"/>
      <c r="R28" s="15"/>
      <c r="S28" s="15"/>
      <c r="T28" s="15"/>
      <c r="U28" s="17" t="s">
        <v>1088</v>
      </c>
      <c r="V28">
        <v>25</v>
      </c>
      <c r="W28" t="s">
        <v>729</v>
      </c>
      <c r="Y28" t="s">
        <v>730</v>
      </c>
    </row>
    <row r="29" spans="1:25" x14ac:dyDescent="0.3">
      <c r="V29">
        <v>26</v>
      </c>
      <c r="W29" t="s">
        <v>731</v>
      </c>
      <c r="X29" t="s">
        <v>733</v>
      </c>
      <c r="Y29" t="s">
        <v>732</v>
      </c>
    </row>
    <row r="30" spans="1:25" x14ac:dyDescent="0.3">
      <c r="A30" s="94" t="s">
        <v>976</v>
      </c>
      <c r="B30" t="s">
        <v>977</v>
      </c>
      <c r="C30" t="s">
        <v>978</v>
      </c>
      <c r="V30">
        <v>27</v>
      </c>
      <c r="W30" s="1" t="s">
        <v>734</v>
      </c>
      <c r="X30" t="s">
        <v>733</v>
      </c>
      <c r="Y30" t="s">
        <v>735</v>
      </c>
    </row>
    <row r="31" spans="1:25" x14ac:dyDescent="0.3">
      <c r="C31" t="s">
        <v>1082</v>
      </c>
      <c r="V31">
        <v>28</v>
      </c>
      <c r="W31" t="s">
        <v>736</v>
      </c>
      <c r="X31" t="s">
        <v>733</v>
      </c>
      <c r="Y31" t="s">
        <v>737</v>
      </c>
    </row>
    <row r="32" spans="1:25" x14ac:dyDescent="0.3">
      <c r="C32" t="s">
        <v>1083</v>
      </c>
      <c r="V32">
        <v>29</v>
      </c>
      <c r="W32" t="s">
        <v>738</v>
      </c>
      <c r="X32" t="s">
        <v>733</v>
      </c>
      <c r="Y32" t="s">
        <v>739</v>
      </c>
    </row>
    <row r="33" spans="1:25" ht="15.6" x14ac:dyDescent="0.3">
      <c r="A33" s="97"/>
      <c r="B33" s="11"/>
      <c r="C33" t="s">
        <v>979</v>
      </c>
      <c r="E33" s="11"/>
      <c r="F33" s="11"/>
      <c r="G33" s="11"/>
      <c r="H33" s="11"/>
      <c r="I33" s="11"/>
      <c r="J33" s="11"/>
      <c r="K33" s="11"/>
      <c r="L33" s="11"/>
      <c r="M33" s="11"/>
      <c r="N33" s="11"/>
      <c r="O33" s="11"/>
      <c r="P33" s="11"/>
      <c r="Q33" s="11"/>
      <c r="V33">
        <v>30</v>
      </c>
      <c r="W33" t="s">
        <v>740</v>
      </c>
      <c r="X33" t="s">
        <v>733</v>
      </c>
      <c r="Y33" t="s">
        <v>741</v>
      </c>
    </row>
    <row r="34" spans="1:25" x14ac:dyDescent="0.3">
      <c r="A34" s="96"/>
      <c r="G34" s="12"/>
      <c r="H34" s="10"/>
      <c r="I34" s="10"/>
      <c r="J34" s="10"/>
      <c r="K34" s="10"/>
      <c r="L34" s="10"/>
      <c r="M34" s="10"/>
      <c r="N34" s="10"/>
      <c r="O34" s="10"/>
      <c r="P34" s="10"/>
      <c r="Q34" s="10"/>
      <c r="V34">
        <v>31</v>
      </c>
      <c r="W34" t="s">
        <v>742</v>
      </c>
      <c r="X34" t="s">
        <v>733</v>
      </c>
      <c r="Y34" t="s">
        <v>743</v>
      </c>
    </row>
    <row r="35" spans="1:25" x14ac:dyDescent="0.3">
      <c r="A35" s="96"/>
      <c r="B35" s="3" t="s">
        <v>29</v>
      </c>
      <c r="C35" s="14" t="s">
        <v>1086</v>
      </c>
      <c r="D35" s="3" t="s">
        <v>1087</v>
      </c>
      <c r="E35" s="3" t="s">
        <v>16</v>
      </c>
      <c r="G35" s="12"/>
      <c r="H35" s="10"/>
      <c r="I35" s="10"/>
      <c r="J35" s="10"/>
      <c r="K35" s="10"/>
      <c r="L35" s="10"/>
      <c r="M35" s="10"/>
      <c r="N35" s="10"/>
      <c r="O35" s="10"/>
      <c r="P35" s="10"/>
      <c r="Q35" s="10"/>
      <c r="V35">
        <v>32</v>
      </c>
      <c r="W35" t="s">
        <v>744</v>
      </c>
      <c r="Y35" t="s">
        <v>745</v>
      </c>
    </row>
    <row r="36" spans="1:25" x14ac:dyDescent="0.3">
      <c r="B36" s="12">
        <v>1</v>
      </c>
      <c r="C36" s="16">
        <v>1</v>
      </c>
      <c r="D36" s="12" t="s">
        <v>1000</v>
      </c>
      <c r="E36" s="12" t="s">
        <v>1001</v>
      </c>
      <c r="G36" s="12"/>
      <c r="K36" s="4"/>
      <c r="R36" s="11"/>
      <c r="T36" s="11"/>
      <c r="V36">
        <v>33</v>
      </c>
      <c r="W36" t="s">
        <v>746</v>
      </c>
      <c r="X36" t="s">
        <v>685</v>
      </c>
      <c r="Y36" t="s">
        <v>747</v>
      </c>
    </row>
    <row r="37" spans="1:25" x14ac:dyDescent="0.3">
      <c r="B37" s="12">
        <v>2</v>
      </c>
      <c r="C37" s="16"/>
      <c r="D37" s="12" t="s">
        <v>1002</v>
      </c>
      <c r="E37" s="12" t="s">
        <v>1003</v>
      </c>
      <c r="G37" s="12"/>
      <c r="K37" s="4"/>
      <c r="R37" s="10"/>
      <c r="T37" s="10"/>
      <c r="V37">
        <v>34</v>
      </c>
      <c r="W37" t="s">
        <v>748</v>
      </c>
      <c r="Y37" t="s">
        <v>749</v>
      </c>
    </row>
    <row r="38" spans="1:25" x14ac:dyDescent="0.3">
      <c r="B38" s="12">
        <v>3</v>
      </c>
      <c r="C38" s="16"/>
      <c r="D38" s="12" t="s">
        <v>1004</v>
      </c>
      <c r="E38" s="12" t="s">
        <v>1005</v>
      </c>
      <c r="G38" s="12"/>
      <c r="K38" s="4"/>
      <c r="R38" s="10"/>
      <c r="T38" s="11"/>
      <c r="V38">
        <v>35</v>
      </c>
      <c r="W38" t="s">
        <v>750</v>
      </c>
      <c r="Y38" t="s">
        <v>751</v>
      </c>
    </row>
    <row r="39" spans="1:25" x14ac:dyDescent="0.3">
      <c r="B39" s="12">
        <v>4</v>
      </c>
      <c r="C39" s="16"/>
      <c r="D39" s="12" t="s">
        <v>1006</v>
      </c>
      <c r="E39" s="12" t="s">
        <v>1007</v>
      </c>
      <c r="G39" s="12"/>
      <c r="K39" s="4"/>
      <c r="V39">
        <v>36</v>
      </c>
      <c r="W39" t="s">
        <v>752</v>
      </c>
      <c r="X39" t="s">
        <v>733</v>
      </c>
      <c r="Y39" t="s">
        <v>753</v>
      </c>
    </row>
    <row r="40" spans="1:25" x14ac:dyDescent="0.3">
      <c r="B40" s="12">
        <v>5</v>
      </c>
      <c r="C40" s="16"/>
      <c r="D40" s="12" t="s">
        <v>1008</v>
      </c>
      <c r="E40" s="12" t="s">
        <v>1009</v>
      </c>
      <c r="G40" s="12"/>
      <c r="K40" s="4"/>
      <c r="V40">
        <v>37</v>
      </c>
      <c r="W40" s="1" t="s">
        <v>754</v>
      </c>
      <c r="X40" t="s">
        <v>756</v>
      </c>
      <c r="Y40" t="s">
        <v>755</v>
      </c>
    </row>
    <row r="41" spans="1:25" x14ac:dyDescent="0.3">
      <c r="B41" s="12">
        <v>6</v>
      </c>
      <c r="C41" s="16"/>
      <c r="D41" s="12" t="s">
        <v>1010</v>
      </c>
      <c r="E41" s="12" t="s">
        <v>1011</v>
      </c>
      <c r="G41" s="12"/>
      <c r="K41" s="4"/>
      <c r="V41">
        <v>38</v>
      </c>
      <c r="W41" t="s">
        <v>757</v>
      </c>
      <c r="X41" t="s">
        <v>756</v>
      </c>
      <c r="Y41" t="s">
        <v>758</v>
      </c>
    </row>
    <row r="42" spans="1:25" x14ac:dyDescent="0.3">
      <c r="B42" s="12">
        <v>7</v>
      </c>
      <c r="C42" s="16"/>
      <c r="D42" s="12" t="s">
        <v>1012</v>
      </c>
      <c r="E42" s="12" t="s">
        <v>1013</v>
      </c>
      <c r="G42" s="12"/>
      <c r="K42" s="4"/>
      <c r="V42">
        <v>39</v>
      </c>
      <c r="W42" t="s">
        <v>759</v>
      </c>
      <c r="X42" t="s">
        <v>756</v>
      </c>
      <c r="Y42" t="s">
        <v>760</v>
      </c>
    </row>
    <row r="43" spans="1:25" x14ac:dyDescent="0.3">
      <c r="B43" s="12">
        <v>8</v>
      </c>
      <c r="C43" s="16"/>
      <c r="D43" s="12" t="s">
        <v>1014</v>
      </c>
      <c r="E43" s="12" t="s">
        <v>1015</v>
      </c>
      <c r="G43" s="12"/>
      <c r="K43" s="4"/>
      <c r="V43">
        <v>40</v>
      </c>
      <c r="W43" t="s">
        <v>761</v>
      </c>
      <c r="X43" t="s">
        <v>756</v>
      </c>
      <c r="Y43" t="s">
        <v>762</v>
      </c>
    </row>
    <row r="44" spans="1:25" x14ac:dyDescent="0.3">
      <c r="B44" s="12">
        <v>9</v>
      </c>
      <c r="C44" s="16"/>
      <c r="D44" s="12" t="s">
        <v>1016</v>
      </c>
      <c r="E44" s="12" t="s">
        <v>1017</v>
      </c>
      <c r="G44" s="12"/>
      <c r="K44" s="4"/>
      <c r="V44">
        <v>41</v>
      </c>
      <c r="W44" t="s">
        <v>763</v>
      </c>
      <c r="X44" t="s">
        <v>756</v>
      </c>
      <c r="Y44" t="s">
        <v>764</v>
      </c>
    </row>
    <row r="45" spans="1:25" x14ac:dyDescent="0.3">
      <c r="B45" s="12">
        <v>10</v>
      </c>
      <c r="C45" s="16"/>
      <c r="D45" s="12" t="s">
        <v>1018</v>
      </c>
      <c r="E45" s="12" t="s">
        <v>1019</v>
      </c>
      <c r="G45" s="12"/>
      <c r="K45" s="4"/>
      <c r="V45">
        <v>42</v>
      </c>
      <c r="W45" t="s">
        <v>765</v>
      </c>
      <c r="X45" t="s">
        <v>756</v>
      </c>
      <c r="Y45" t="s">
        <v>766</v>
      </c>
    </row>
    <row r="46" spans="1:25" x14ac:dyDescent="0.3">
      <c r="B46" s="12">
        <v>11</v>
      </c>
      <c r="C46" s="16"/>
      <c r="D46" s="12" t="s">
        <v>1020</v>
      </c>
      <c r="E46" s="12" t="s">
        <v>1021</v>
      </c>
      <c r="G46" s="12"/>
      <c r="K46" s="4"/>
      <c r="V46">
        <v>43</v>
      </c>
      <c r="W46" t="s">
        <v>767</v>
      </c>
      <c r="X46" t="s">
        <v>756</v>
      </c>
      <c r="Y46" t="s">
        <v>768</v>
      </c>
    </row>
    <row r="47" spans="1:25" x14ac:dyDescent="0.3">
      <c r="B47" s="12">
        <v>12</v>
      </c>
      <c r="C47" s="16"/>
      <c r="D47" s="12" t="s">
        <v>1022</v>
      </c>
      <c r="E47" s="12" t="s">
        <v>1068</v>
      </c>
      <c r="G47" s="12"/>
      <c r="K47" s="4"/>
      <c r="V47">
        <v>44</v>
      </c>
      <c r="W47" t="s">
        <v>769</v>
      </c>
      <c r="X47" t="s">
        <v>756</v>
      </c>
      <c r="Y47" t="s">
        <v>770</v>
      </c>
    </row>
    <row r="48" spans="1:25" x14ac:dyDescent="0.3">
      <c r="B48" s="12">
        <v>13</v>
      </c>
      <c r="C48" s="16"/>
      <c r="D48" s="12" t="s">
        <v>1023</v>
      </c>
      <c r="E48" s="12" t="s">
        <v>1024</v>
      </c>
      <c r="G48" s="12"/>
      <c r="K48" s="4"/>
      <c r="V48">
        <v>45</v>
      </c>
      <c r="W48" t="s">
        <v>771</v>
      </c>
      <c r="X48" t="s">
        <v>756</v>
      </c>
      <c r="Y48" t="s">
        <v>772</v>
      </c>
    </row>
    <row r="49" spans="2:25" x14ac:dyDescent="0.3">
      <c r="B49" s="12">
        <v>14</v>
      </c>
      <c r="C49" s="16"/>
      <c r="D49" s="12" t="s">
        <v>1440</v>
      </c>
      <c r="E49" s="12" t="s">
        <v>1441</v>
      </c>
      <c r="G49" s="12"/>
      <c r="K49" s="4"/>
      <c r="V49">
        <v>46</v>
      </c>
      <c r="W49" t="s">
        <v>773</v>
      </c>
      <c r="X49" t="s">
        <v>756</v>
      </c>
      <c r="Y49" t="s">
        <v>774</v>
      </c>
    </row>
    <row r="50" spans="2:25" x14ac:dyDescent="0.3">
      <c r="B50" s="12">
        <v>15</v>
      </c>
      <c r="C50" s="16"/>
      <c r="D50" s="12" t="s">
        <v>1025</v>
      </c>
      <c r="E50" s="12" t="s">
        <v>1026</v>
      </c>
      <c r="G50" s="12"/>
      <c r="K50" s="4"/>
      <c r="V50">
        <v>47</v>
      </c>
      <c r="W50" t="s">
        <v>775</v>
      </c>
      <c r="X50" t="s">
        <v>756</v>
      </c>
      <c r="Y50" t="s">
        <v>776</v>
      </c>
    </row>
    <row r="51" spans="2:25" x14ac:dyDescent="0.3">
      <c r="B51" s="12">
        <v>16</v>
      </c>
      <c r="C51" s="16"/>
      <c r="D51" s="12" t="s">
        <v>1027</v>
      </c>
      <c r="E51" s="12" t="s">
        <v>1028</v>
      </c>
      <c r="G51" s="12"/>
      <c r="K51" s="4"/>
      <c r="V51">
        <v>48</v>
      </c>
      <c r="W51" t="s">
        <v>777</v>
      </c>
      <c r="X51" t="s">
        <v>756</v>
      </c>
      <c r="Y51" t="s">
        <v>778</v>
      </c>
    </row>
    <row r="52" spans="2:25" x14ac:dyDescent="0.3">
      <c r="B52" s="12">
        <v>17</v>
      </c>
      <c r="C52" s="16"/>
      <c r="D52" s="12" t="s">
        <v>1029</v>
      </c>
      <c r="E52" s="12" t="s">
        <v>1030</v>
      </c>
      <c r="G52" s="12"/>
      <c r="K52" s="4"/>
      <c r="V52">
        <v>49</v>
      </c>
      <c r="W52" t="s">
        <v>779</v>
      </c>
      <c r="X52" t="s">
        <v>756</v>
      </c>
      <c r="Y52" t="s">
        <v>780</v>
      </c>
    </row>
    <row r="53" spans="2:25" x14ac:dyDescent="0.3">
      <c r="B53" s="12">
        <v>18</v>
      </c>
      <c r="C53" s="16"/>
      <c r="D53" s="12" t="s">
        <v>1031</v>
      </c>
      <c r="E53" s="12" t="s">
        <v>1032</v>
      </c>
      <c r="G53" s="12"/>
      <c r="K53" s="4"/>
      <c r="V53">
        <v>50</v>
      </c>
      <c r="W53" t="s">
        <v>781</v>
      </c>
      <c r="X53" t="s">
        <v>756</v>
      </c>
      <c r="Y53" t="s">
        <v>782</v>
      </c>
    </row>
    <row r="54" spans="2:25" x14ac:dyDescent="0.3">
      <c r="B54" s="12">
        <v>19</v>
      </c>
      <c r="C54" s="16"/>
      <c r="D54" s="12" t="s">
        <v>1033</v>
      </c>
      <c r="E54" s="12" t="s">
        <v>1034</v>
      </c>
      <c r="G54" s="12"/>
      <c r="K54" s="4"/>
      <c r="V54">
        <v>51</v>
      </c>
      <c r="W54" t="s">
        <v>783</v>
      </c>
      <c r="X54" t="s">
        <v>756</v>
      </c>
      <c r="Y54" t="s">
        <v>784</v>
      </c>
    </row>
    <row r="55" spans="2:25" x14ac:dyDescent="0.3">
      <c r="B55" s="12">
        <v>20</v>
      </c>
      <c r="C55" s="16"/>
      <c r="D55" s="12" t="s">
        <v>1035</v>
      </c>
      <c r="E55" s="12" t="s">
        <v>1036</v>
      </c>
      <c r="G55" s="12"/>
      <c r="K55" s="4"/>
      <c r="V55">
        <v>52</v>
      </c>
      <c r="W55" t="s">
        <v>785</v>
      </c>
      <c r="Y55" t="s">
        <v>786</v>
      </c>
    </row>
    <row r="56" spans="2:25" x14ac:dyDescent="0.3">
      <c r="B56" s="12">
        <v>21</v>
      </c>
      <c r="C56" s="16"/>
      <c r="D56" s="12" t="s">
        <v>1037</v>
      </c>
      <c r="E56" s="12" t="s">
        <v>1038</v>
      </c>
      <c r="G56" s="12"/>
      <c r="K56" s="4"/>
      <c r="V56">
        <v>53</v>
      </c>
      <c r="W56" t="s">
        <v>560</v>
      </c>
      <c r="X56" t="s">
        <v>756</v>
      </c>
      <c r="Y56" t="s">
        <v>787</v>
      </c>
    </row>
    <row r="57" spans="2:25" x14ac:dyDescent="0.3">
      <c r="B57" s="12">
        <v>22</v>
      </c>
      <c r="C57" s="16"/>
      <c r="D57" s="12" t="s">
        <v>1039</v>
      </c>
      <c r="E57" s="12" t="s">
        <v>1040</v>
      </c>
      <c r="G57" s="12"/>
      <c r="K57" s="4"/>
      <c r="V57">
        <v>54</v>
      </c>
      <c r="W57" t="s">
        <v>788</v>
      </c>
      <c r="X57" t="s">
        <v>756</v>
      </c>
      <c r="Y57" t="s">
        <v>789</v>
      </c>
    </row>
    <row r="58" spans="2:25" x14ac:dyDescent="0.3">
      <c r="B58" s="12">
        <v>23</v>
      </c>
      <c r="C58" s="16"/>
      <c r="D58" s="12" t="s">
        <v>1041</v>
      </c>
      <c r="E58" s="12" t="s">
        <v>1042</v>
      </c>
      <c r="G58" s="12"/>
      <c r="K58" s="4"/>
      <c r="R58" s="11"/>
      <c r="V58">
        <v>55</v>
      </c>
      <c r="W58" t="s">
        <v>790</v>
      </c>
      <c r="X58" t="s">
        <v>756</v>
      </c>
      <c r="Y58" t="s">
        <v>791</v>
      </c>
    </row>
    <row r="59" spans="2:25" x14ac:dyDescent="0.3">
      <c r="B59" s="12">
        <v>24</v>
      </c>
      <c r="C59" s="16"/>
      <c r="D59" s="12" t="s">
        <v>1043</v>
      </c>
      <c r="E59" s="12" t="s">
        <v>1044</v>
      </c>
      <c r="G59" s="12"/>
      <c r="K59" s="4"/>
      <c r="R59" s="11"/>
      <c r="V59">
        <v>56</v>
      </c>
      <c r="W59" t="s">
        <v>561</v>
      </c>
      <c r="X59" t="s">
        <v>756</v>
      </c>
      <c r="Y59" t="s">
        <v>792</v>
      </c>
    </row>
    <row r="60" spans="2:25" x14ac:dyDescent="0.3">
      <c r="B60" s="12">
        <v>25</v>
      </c>
      <c r="C60" s="16"/>
      <c r="D60" s="12" t="s">
        <v>1045</v>
      </c>
      <c r="E60" s="12" t="s">
        <v>1046</v>
      </c>
      <c r="G60" s="12"/>
      <c r="K60" s="4"/>
      <c r="V60">
        <v>57</v>
      </c>
      <c r="W60" t="s">
        <v>793</v>
      </c>
      <c r="X60" t="s">
        <v>756</v>
      </c>
      <c r="Y60" t="s">
        <v>794</v>
      </c>
    </row>
    <row r="61" spans="2:25" x14ac:dyDescent="0.3">
      <c r="B61" s="12">
        <v>26</v>
      </c>
      <c r="C61" s="16"/>
      <c r="D61" s="12" t="s">
        <v>1047</v>
      </c>
      <c r="E61" s="12" t="s">
        <v>1048</v>
      </c>
      <c r="G61" s="12"/>
      <c r="K61" s="4"/>
      <c r="V61">
        <v>58</v>
      </c>
      <c r="W61" t="s">
        <v>795</v>
      </c>
      <c r="X61" t="s">
        <v>733</v>
      </c>
      <c r="Y61" t="s">
        <v>796</v>
      </c>
    </row>
    <row r="62" spans="2:25" x14ac:dyDescent="0.3">
      <c r="B62" s="12">
        <v>27</v>
      </c>
      <c r="C62" s="16"/>
      <c r="D62" s="12" t="s">
        <v>1049</v>
      </c>
      <c r="E62" s="12" t="s">
        <v>1050</v>
      </c>
      <c r="G62" s="12"/>
      <c r="K62" s="4"/>
      <c r="V62">
        <v>59</v>
      </c>
      <c r="W62" t="s">
        <v>797</v>
      </c>
      <c r="X62" t="s">
        <v>677</v>
      </c>
      <c r="Y62" t="s">
        <v>798</v>
      </c>
    </row>
    <row r="63" spans="2:25" x14ac:dyDescent="0.3">
      <c r="B63" s="12">
        <v>28</v>
      </c>
      <c r="C63" s="16"/>
      <c r="D63" s="12" t="s">
        <v>1051</v>
      </c>
      <c r="E63" s="12" t="s">
        <v>1052</v>
      </c>
      <c r="G63" s="12"/>
      <c r="K63" s="4"/>
      <c r="V63">
        <v>60</v>
      </c>
      <c r="W63" t="s">
        <v>799</v>
      </c>
      <c r="Y63" t="s">
        <v>800</v>
      </c>
    </row>
    <row r="64" spans="2:25" x14ac:dyDescent="0.3">
      <c r="B64" s="12">
        <v>29</v>
      </c>
      <c r="C64" s="16"/>
      <c r="D64" s="12" t="s">
        <v>1053</v>
      </c>
      <c r="E64" s="12" t="s">
        <v>1054</v>
      </c>
      <c r="G64" s="12"/>
      <c r="K64" s="4"/>
      <c r="V64">
        <v>61</v>
      </c>
      <c r="W64" t="s">
        <v>801</v>
      </c>
      <c r="X64" t="s">
        <v>756</v>
      </c>
      <c r="Y64" t="s">
        <v>802</v>
      </c>
    </row>
    <row r="65" spans="2:25" x14ac:dyDescent="0.3">
      <c r="B65" s="12">
        <v>30</v>
      </c>
      <c r="C65" s="16"/>
      <c r="D65" s="12" t="s">
        <v>1055</v>
      </c>
      <c r="E65" s="12" t="s">
        <v>1056</v>
      </c>
      <c r="G65" s="12"/>
      <c r="K65" s="4"/>
      <c r="V65">
        <v>62</v>
      </c>
      <c r="W65" t="s">
        <v>803</v>
      </c>
      <c r="X65" t="s">
        <v>756</v>
      </c>
      <c r="Y65" t="s">
        <v>804</v>
      </c>
    </row>
    <row r="66" spans="2:25" x14ac:dyDescent="0.3">
      <c r="B66" s="12">
        <v>31</v>
      </c>
      <c r="C66" s="16"/>
      <c r="D66" s="12" t="s">
        <v>1057</v>
      </c>
      <c r="E66" s="12" t="s">
        <v>1058</v>
      </c>
      <c r="G66" s="12"/>
      <c r="K66" s="4"/>
      <c r="V66">
        <v>63</v>
      </c>
      <c r="W66" t="s">
        <v>805</v>
      </c>
      <c r="X66" t="s">
        <v>685</v>
      </c>
      <c r="Y66" t="s">
        <v>806</v>
      </c>
    </row>
    <row r="67" spans="2:25" x14ac:dyDescent="0.3">
      <c r="B67" s="12">
        <v>32</v>
      </c>
      <c r="C67" s="16"/>
      <c r="D67" s="12" t="s">
        <v>1059</v>
      </c>
      <c r="E67" s="12" t="s">
        <v>1071</v>
      </c>
      <c r="G67" s="12"/>
      <c r="K67" s="4"/>
      <c r="V67">
        <v>64</v>
      </c>
      <c r="W67" t="s">
        <v>807</v>
      </c>
      <c r="X67" t="s">
        <v>685</v>
      </c>
      <c r="Y67" t="s">
        <v>808</v>
      </c>
    </row>
    <row r="68" spans="2:25" x14ac:dyDescent="0.3">
      <c r="B68" s="12">
        <v>33</v>
      </c>
      <c r="C68" s="16"/>
      <c r="D68" s="12" t="s">
        <v>1442</v>
      </c>
      <c r="E68" s="12" t="s">
        <v>1443</v>
      </c>
      <c r="G68" s="12"/>
      <c r="K68" s="4"/>
      <c r="V68">
        <v>65</v>
      </c>
      <c r="W68" t="s">
        <v>809</v>
      </c>
      <c r="X68" t="s">
        <v>685</v>
      </c>
      <c r="Y68" t="s">
        <v>810</v>
      </c>
    </row>
    <row r="69" spans="2:25" x14ac:dyDescent="0.3">
      <c r="B69" s="12">
        <v>34</v>
      </c>
      <c r="C69" s="16"/>
      <c r="D69" s="12" t="s">
        <v>1060</v>
      </c>
      <c r="E69" s="12" t="s">
        <v>1061</v>
      </c>
      <c r="G69" s="12"/>
      <c r="K69" s="4"/>
      <c r="V69">
        <v>66</v>
      </c>
      <c r="W69" t="s">
        <v>811</v>
      </c>
      <c r="X69" t="s">
        <v>685</v>
      </c>
      <c r="Y69" t="s">
        <v>812</v>
      </c>
    </row>
    <row r="70" spans="2:25" x14ac:dyDescent="0.3">
      <c r="B70" s="12">
        <v>35</v>
      </c>
      <c r="C70" s="16"/>
      <c r="D70" s="12" t="s">
        <v>1062</v>
      </c>
      <c r="E70" s="12" t="s">
        <v>1063</v>
      </c>
      <c r="G70" s="12"/>
      <c r="K70" s="4"/>
      <c r="V70">
        <v>67</v>
      </c>
      <c r="W70" t="s">
        <v>813</v>
      </c>
      <c r="X70" t="s">
        <v>685</v>
      </c>
      <c r="Y70" t="s">
        <v>814</v>
      </c>
    </row>
    <row r="71" spans="2:25" x14ac:dyDescent="0.3">
      <c r="B71" s="12">
        <v>36</v>
      </c>
      <c r="C71" s="16"/>
      <c r="D71" s="12" t="s">
        <v>1064</v>
      </c>
      <c r="E71" s="12" t="s">
        <v>1065</v>
      </c>
      <c r="G71" s="12"/>
      <c r="K71" s="4"/>
      <c r="V71">
        <v>68</v>
      </c>
      <c r="W71" t="s">
        <v>815</v>
      </c>
      <c r="X71" t="s">
        <v>817</v>
      </c>
      <c r="Y71" t="s">
        <v>816</v>
      </c>
    </row>
    <row r="72" spans="2:25" x14ac:dyDescent="0.3">
      <c r="B72" s="12">
        <v>37</v>
      </c>
      <c r="C72" s="16"/>
      <c r="D72" s="12" t="s">
        <v>1066</v>
      </c>
      <c r="E72" s="12" t="s">
        <v>1070</v>
      </c>
      <c r="K72" s="4"/>
      <c r="V72">
        <v>69</v>
      </c>
      <c r="W72" t="s">
        <v>818</v>
      </c>
      <c r="X72" t="s">
        <v>817</v>
      </c>
      <c r="Y72" t="s">
        <v>819</v>
      </c>
    </row>
    <row r="73" spans="2:25" x14ac:dyDescent="0.3">
      <c r="B73" s="12">
        <v>38</v>
      </c>
      <c r="C73" s="16"/>
      <c r="D73" s="12" t="s">
        <v>1067</v>
      </c>
      <c r="E73" s="12" t="s">
        <v>1069</v>
      </c>
      <c r="K73" s="4"/>
      <c r="V73">
        <v>70</v>
      </c>
      <c r="W73" t="s">
        <v>820</v>
      </c>
      <c r="X73" t="s">
        <v>817</v>
      </c>
      <c r="Y73" t="s">
        <v>821</v>
      </c>
    </row>
    <row r="74" spans="2:25" x14ac:dyDescent="0.3">
      <c r="B74" s="12">
        <v>39</v>
      </c>
      <c r="C74" s="16"/>
      <c r="D74" s="12" t="s">
        <v>1444</v>
      </c>
      <c r="E74" s="12" t="s">
        <v>1449</v>
      </c>
      <c r="V74">
        <v>71</v>
      </c>
      <c r="W74" t="s">
        <v>822</v>
      </c>
      <c r="X74" t="s">
        <v>685</v>
      </c>
      <c r="Y74" t="s">
        <v>823</v>
      </c>
    </row>
    <row r="75" spans="2:25" x14ac:dyDescent="0.3">
      <c r="B75" s="12">
        <v>40</v>
      </c>
      <c r="C75" s="16"/>
      <c r="D75" s="12" t="s">
        <v>1445</v>
      </c>
      <c r="E75" s="12" t="s">
        <v>1450</v>
      </c>
      <c r="V75">
        <v>72</v>
      </c>
      <c r="W75" t="s">
        <v>824</v>
      </c>
      <c r="X75" t="s">
        <v>685</v>
      </c>
      <c r="Y75" t="s">
        <v>825</v>
      </c>
    </row>
    <row r="76" spans="2:25" x14ac:dyDescent="0.3">
      <c r="B76" s="12">
        <v>41</v>
      </c>
      <c r="C76" s="16"/>
      <c r="D76" s="12" t="s">
        <v>1446</v>
      </c>
      <c r="E76" s="12" t="s">
        <v>1450</v>
      </c>
      <c r="V76">
        <v>73</v>
      </c>
      <c r="W76" t="s">
        <v>826</v>
      </c>
      <c r="X76" t="s">
        <v>756</v>
      </c>
      <c r="Y76" t="s">
        <v>827</v>
      </c>
    </row>
    <row r="77" spans="2:25" x14ac:dyDescent="0.3">
      <c r="B77" s="12">
        <v>42</v>
      </c>
      <c r="C77" s="16"/>
      <c r="D77" s="12" t="s">
        <v>1447</v>
      </c>
      <c r="E77" s="12" t="s">
        <v>1450</v>
      </c>
      <c r="V77">
        <v>74</v>
      </c>
      <c r="W77" t="s">
        <v>828</v>
      </c>
      <c r="X77" t="s">
        <v>756</v>
      </c>
      <c r="Y77" t="s">
        <v>829</v>
      </c>
    </row>
    <row r="78" spans="2:25" x14ac:dyDescent="0.3">
      <c r="B78" s="12">
        <v>43</v>
      </c>
      <c r="C78" s="16"/>
      <c r="D78" s="12" t="s">
        <v>1448</v>
      </c>
      <c r="E78" s="12" t="s">
        <v>1450</v>
      </c>
      <c r="V78">
        <v>75</v>
      </c>
      <c r="W78" t="s">
        <v>830</v>
      </c>
      <c r="X78" t="s">
        <v>756</v>
      </c>
      <c r="Y78" t="s">
        <v>831</v>
      </c>
    </row>
    <row r="79" spans="2:25" x14ac:dyDescent="0.3">
      <c r="B79" s="12">
        <v>44</v>
      </c>
      <c r="C79" s="16"/>
      <c r="D79" s="49" t="s">
        <v>1393</v>
      </c>
      <c r="V79">
        <v>76</v>
      </c>
      <c r="W79" t="s">
        <v>832</v>
      </c>
      <c r="X79" t="s">
        <v>756</v>
      </c>
      <c r="Y79" t="s">
        <v>833</v>
      </c>
    </row>
    <row r="80" spans="2:25" x14ac:dyDescent="0.3">
      <c r="B80" s="12">
        <v>45</v>
      </c>
      <c r="C80" s="16"/>
      <c r="D80" s="49" t="s">
        <v>1393</v>
      </c>
      <c r="V80">
        <v>77</v>
      </c>
      <c r="W80" t="s">
        <v>834</v>
      </c>
      <c r="X80" t="s">
        <v>756</v>
      </c>
      <c r="Y80" t="s">
        <v>835</v>
      </c>
    </row>
    <row r="81" spans="2:25" x14ac:dyDescent="0.3">
      <c r="B81" s="12">
        <v>46</v>
      </c>
      <c r="C81" s="16"/>
      <c r="D81" s="49" t="s">
        <v>1393</v>
      </c>
      <c r="V81">
        <v>78</v>
      </c>
      <c r="W81" t="s">
        <v>836</v>
      </c>
      <c r="X81" t="s">
        <v>733</v>
      </c>
      <c r="Y81" t="s">
        <v>837</v>
      </c>
    </row>
    <row r="82" spans="2:25" x14ac:dyDescent="0.3">
      <c r="B82" s="12">
        <v>47</v>
      </c>
      <c r="C82" s="16"/>
      <c r="D82" s="49" t="s">
        <v>1393</v>
      </c>
      <c r="V82">
        <v>79</v>
      </c>
      <c r="W82" t="s">
        <v>838</v>
      </c>
      <c r="X82" t="s">
        <v>685</v>
      </c>
      <c r="Y82" t="s">
        <v>839</v>
      </c>
    </row>
    <row r="83" spans="2:25" x14ac:dyDescent="0.3">
      <c r="B83" s="12">
        <v>48</v>
      </c>
      <c r="C83" s="16"/>
      <c r="D83" s="49" t="s">
        <v>1393</v>
      </c>
      <c r="V83">
        <v>80</v>
      </c>
      <c r="W83" t="s">
        <v>840</v>
      </c>
      <c r="X83" t="s">
        <v>756</v>
      </c>
      <c r="Y83" t="s">
        <v>841</v>
      </c>
    </row>
    <row r="84" spans="2:25" x14ac:dyDescent="0.3">
      <c r="B84" s="12">
        <v>49</v>
      </c>
      <c r="C84" s="16"/>
      <c r="D84" s="49" t="s">
        <v>1393</v>
      </c>
      <c r="V84">
        <v>81</v>
      </c>
      <c r="W84" t="s">
        <v>842</v>
      </c>
      <c r="X84" t="s">
        <v>756</v>
      </c>
      <c r="Y84" t="s">
        <v>843</v>
      </c>
    </row>
    <row r="85" spans="2:25" x14ac:dyDescent="0.3">
      <c r="B85" s="12">
        <v>50</v>
      </c>
      <c r="C85" s="16"/>
      <c r="D85" s="49" t="s">
        <v>1393</v>
      </c>
      <c r="V85">
        <v>82</v>
      </c>
      <c r="W85" t="s">
        <v>844</v>
      </c>
      <c r="X85" t="s">
        <v>756</v>
      </c>
      <c r="Y85" t="s">
        <v>845</v>
      </c>
    </row>
    <row r="86" spans="2:25" x14ac:dyDescent="0.3">
      <c r="B86" s="12">
        <v>51</v>
      </c>
      <c r="C86" s="16"/>
      <c r="D86" s="49" t="s">
        <v>1393</v>
      </c>
      <c r="V86">
        <v>83</v>
      </c>
      <c r="W86" t="s">
        <v>846</v>
      </c>
      <c r="X86" t="s">
        <v>685</v>
      </c>
      <c r="Y86" t="s">
        <v>847</v>
      </c>
    </row>
    <row r="87" spans="2:25" x14ac:dyDescent="0.3">
      <c r="B87" s="12">
        <v>52</v>
      </c>
      <c r="C87" s="16"/>
      <c r="D87" s="49" t="s">
        <v>1393</v>
      </c>
      <c r="V87">
        <v>84</v>
      </c>
      <c r="W87" t="s">
        <v>848</v>
      </c>
      <c r="X87" t="s">
        <v>756</v>
      </c>
      <c r="Y87" t="s">
        <v>849</v>
      </c>
    </row>
    <row r="88" spans="2:25" x14ac:dyDescent="0.3">
      <c r="B88" s="12">
        <v>53</v>
      </c>
      <c r="C88" s="16"/>
      <c r="D88" s="49" t="s">
        <v>1393</v>
      </c>
      <c r="V88">
        <v>85</v>
      </c>
      <c r="W88" t="s">
        <v>850</v>
      </c>
      <c r="X88" t="s">
        <v>685</v>
      </c>
      <c r="Y88" t="s">
        <v>851</v>
      </c>
    </row>
    <row r="89" spans="2:25" x14ac:dyDescent="0.3">
      <c r="B89" s="12">
        <v>54</v>
      </c>
      <c r="C89" s="16"/>
      <c r="D89" s="49" t="s">
        <v>1393</v>
      </c>
      <c r="V89">
        <v>86</v>
      </c>
      <c r="W89" t="s">
        <v>852</v>
      </c>
      <c r="X89" t="s">
        <v>685</v>
      </c>
      <c r="Y89" t="s">
        <v>853</v>
      </c>
    </row>
    <row r="90" spans="2:25" x14ac:dyDescent="0.3">
      <c r="B90" s="12">
        <v>55</v>
      </c>
      <c r="C90" s="16"/>
      <c r="D90" s="49" t="s">
        <v>1393</v>
      </c>
      <c r="V90">
        <v>87</v>
      </c>
      <c r="W90" t="s">
        <v>854</v>
      </c>
      <c r="X90" t="s">
        <v>685</v>
      </c>
      <c r="Y90" t="s">
        <v>855</v>
      </c>
    </row>
    <row r="91" spans="2:25" x14ac:dyDescent="0.3">
      <c r="B91" s="12">
        <v>56</v>
      </c>
      <c r="C91" s="16"/>
      <c r="D91" s="49" t="s">
        <v>1393</v>
      </c>
      <c r="V91">
        <v>88</v>
      </c>
      <c r="W91" t="s">
        <v>856</v>
      </c>
      <c r="X91" t="s">
        <v>756</v>
      </c>
      <c r="Y91" t="s">
        <v>857</v>
      </c>
    </row>
    <row r="92" spans="2:25" x14ac:dyDescent="0.3">
      <c r="B92" s="12">
        <v>57</v>
      </c>
      <c r="C92" s="16"/>
      <c r="D92" s="49" t="s">
        <v>1393</v>
      </c>
      <c r="V92">
        <v>89</v>
      </c>
      <c r="W92" t="s">
        <v>858</v>
      </c>
      <c r="X92" t="s">
        <v>756</v>
      </c>
      <c r="Y92" t="s">
        <v>859</v>
      </c>
    </row>
    <row r="93" spans="2:25" x14ac:dyDescent="0.3">
      <c r="B93" s="12">
        <v>58</v>
      </c>
      <c r="C93" s="16"/>
      <c r="D93" s="49" t="s">
        <v>1393</v>
      </c>
      <c r="V93">
        <v>90</v>
      </c>
      <c r="W93" t="s">
        <v>860</v>
      </c>
      <c r="X93" t="s">
        <v>756</v>
      </c>
      <c r="Y93" t="s">
        <v>861</v>
      </c>
    </row>
    <row r="94" spans="2:25" x14ac:dyDescent="0.3">
      <c r="B94" s="12">
        <v>59</v>
      </c>
      <c r="C94" s="16"/>
      <c r="D94" s="49" t="s">
        <v>1393</v>
      </c>
      <c r="V94">
        <v>91</v>
      </c>
      <c r="W94" t="s">
        <v>862</v>
      </c>
      <c r="X94" t="s">
        <v>756</v>
      </c>
      <c r="Y94" t="s">
        <v>863</v>
      </c>
    </row>
    <row r="95" spans="2:25" x14ac:dyDescent="0.3">
      <c r="B95" s="12">
        <v>60</v>
      </c>
      <c r="C95" s="16"/>
      <c r="D95" s="49" t="s">
        <v>1393</v>
      </c>
      <c r="V95">
        <v>92</v>
      </c>
      <c r="W95" t="s">
        <v>864</v>
      </c>
      <c r="X95" t="s">
        <v>756</v>
      </c>
      <c r="Y95" t="s">
        <v>865</v>
      </c>
    </row>
    <row r="96" spans="2:25" x14ac:dyDescent="0.3">
      <c r="C96" s="16"/>
      <c r="V96">
        <v>93</v>
      </c>
      <c r="W96" t="s">
        <v>866</v>
      </c>
      <c r="X96" t="s">
        <v>756</v>
      </c>
      <c r="Y96" t="s">
        <v>867</v>
      </c>
    </row>
    <row r="97" spans="3:25" x14ac:dyDescent="0.3">
      <c r="C97" s="16"/>
      <c r="V97">
        <v>94</v>
      </c>
      <c r="W97" t="s">
        <v>868</v>
      </c>
      <c r="X97" t="s">
        <v>756</v>
      </c>
      <c r="Y97" t="s">
        <v>869</v>
      </c>
    </row>
    <row r="98" spans="3:25" x14ac:dyDescent="0.3">
      <c r="C98" s="16"/>
      <c r="V98">
        <v>95</v>
      </c>
      <c r="W98" t="s">
        <v>870</v>
      </c>
      <c r="X98" t="s">
        <v>710</v>
      </c>
      <c r="Y98" t="s">
        <v>871</v>
      </c>
    </row>
    <row r="99" spans="3:25" x14ac:dyDescent="0.3">
      <c r="C99" s="16"/>
      <c r="V99">
        <v>96</v>
      </c>
      <c r="W99" t="s">
        <v>872</v>
      </c>
      <c r="X99" t="s">
        <v>756</v>
      </c>
      <c r="Y99" t="s">
        <v>873</v>
      </c>
    </row>
    <row r="100" spans="3:25" x14ac:dyDescent="0.3">
      <c r="C100" s="16"/>
      <c r="V100">
        <v>97</v>
      </c>
      <c r="W100" t="s">
        <v>874</v>
      </c>
      <c r="X100" t="s">
        <v>685</v>
      </c>
      <c r="Y100" t="s">
        <v>875</v>
      </c>
    </row>
    <row r="101" spans="3:25" x14ac:dyDescent="0.3">
      <c r="C101" s="16"/>
      <c r="V101">
        <v>98</v>
      </c>
      <c r="W101" t="s">
        <v>876</v>
      </c>
      <c r="X101" t="s">
        <v>878</v>
      </c>
      <c r="Y101" t="s">
        <v>877</v>
      </c>
    </row>
    <row r="102" spans="3:25" x14ac:dyDescent="0.3">
      <c r="C102" s="16"/>
      <c r="V102">
        <v>99</v>
      </c>
      <c r="W102" t="s">
        <v>563</v>
      </c>
      <c r="Y102" t="s">
        <v>879</v>
      </c>
    </row>
    <row r="103" spans="3:25" x14ac:dyDescent="0.3">
      <c r="C103" s="16"/>
      <c r="V103">
        <v>100</v>
      </c>
      <c r="W103" t="s">
        <v>880</v>
      </c>
      <c r="X103" t="s">
        <v>685</v>
      </c>
      <c r="Y103" t="s">
        <v>684</v>
      </c>
    </row>
    <row r="104" spans="3:25" x14ac:dyDescent="0.3">
      <c r="C104" s="16"/>
      <c r="V104">
        <v>101</v>
      </c>
      <c r="W104" t="s">
        <v>881</v>
      </c>
      <c r="X104" t="s">
        <v>756</v>
      </c>
      <c r="Y104" t="s">
        <v>882</v>
      </c>
    </row>
    <row r="105" spans="3:25" x14ac:dyDescent="0.3">
      <c r="C105" s="16"/>
      <c r="V105">
        <v>102</v>
      </c>
      <c r="W105" t="s">
        <v>883</v>
      </c>
      <c r="X105" t="s">
        <v>756</v>
      </c>
      <c r="Y105" t="s">
        <v>884</v>
      </c>
    </row>
    <row r="106" spans="3:25" x14ac:dyDescent="0.3">
      <c r="C106" s="16"/>
      <c r="V106">
        <v>103</v>
      </c>
      <c r="W106" t="s">
        <v>885</v>
      </c>
      <c r="X106" t="s">
        <v>733</v>
      </c>
      <c r="Y106" t="s">
        <v>886</v>
      </c>
    </row>
    <row r="107" spans="3:25" x14ac:dyDescent="0.3">
      <c r="C107" s="16"/>
      <c r="V107">
        <v>104</v>
      </c>
      <c r="W107" t="s">
        <v>887</v>
      </c>
      <c r="X107" t="s">
        <v>685</v>
      </c>
      <c r="Y107" t="s">
        <v>888</v>
      </c>
    </row>
    <row r="108" spans="3:25" x14ac:dyDescent="0.3">
      <c r="C108" s="16"/>
      <c r="V108">
        <v>105</v>
      </c>
      <c r="W108" t="s">
        <v>889</v>
      </c>
      <c r="X108" t="s">
        <v>756</v>
      </c>
      <c r="Y108" t="s">
        <v>890</v>
      </c>
    </row>
    <row r="109" spans="3:25" x14ac:dyDescent="0.3">
      <c r="C109" s="16"/>
      <c r="V109">
        <v>106</v>
      </c>
      <c r="W109" t="s">
        <v>891</v>
      </c>
      <c r="X109" t="s">
        <v>756</v>
      </c>
      <c r="Y109" t="s">
        <v>892</v>
      </c>
    </row>
    <row r="110" spans="3:25" x14ac:dyDescent="0.3">
      <c r="C110" s="16"/>
      <c r="V110">
        <v>107</v>
      </c>
      <c r="W110" t="s">
        <v>893</v>
      </c>
      <c r="X110" t="s">
        <v>733</v>
      </c>
      <c r="Y110" t="s">
        <v>894</v>
      </c>
    </row>
    <row r="111" spans="3:25" x14ac:dyDescent="0.3">
      <c r="C111" s="16"/>
      <c r="V111">
        <v>108</v>
      </c>
      <c r="W111" t="s">
        <v>895</v>
      </c>
      <c r="X111" t="s">
        <v>756</v>
      </c>
      <c r="Y111" t="s">
        <v>896</v>
      </c>
    </row>
    <row r="112" spans="3:25" x14ac:dyDescent="0.3">
      <c r="C112" s="16"/>
      <c r="V112">
        <v>109</v>
      </c>
      <c r="W112" t="s">
        <v>897</v>
      </c>
      <c r="X112" t="s">
        <v>756</v>
      </c>
      <c r="Y112" t="s">
        <v>898</v>
      </c>
    </row>
    <row r="113" spans="3:25" x14ac:dyDescent="0.3">
      <c r="C113" s="16"/>
      <c r="V113">
        <v>110</v>
      </c>
      <c r="W113" t="s">
        <v>899</v>
      </c>
      <c r="X113" t="s">
        <v>685</v>
      </c>
      <c r="Y113" t="s">
        <v>900</v>
      </c>
    </row>
    <row r="114" spans="3:25" x14ac:dyDescent="0.3">
      <c r="C114" s="16"/>
      <c r="V114">
        <v>111</v>
      </c>
      <c r="W114" t="s">
        <v>901</v>
      </c>
      <c r="X114" t="s">
        <v>903</v>
      </c>
      <c r="Y114" t="s">
        <v>902</v>
      </c>
    </row>
    <row r="115" spans="3:25" x14ac:dyDescent="0.3">
      <c r="C115" s="16"/>
      <c r="V115">
        <v>112</v>
      </c>
      <c r="W115" t="s">
        <v>904</v>
      </c>
      <c r="X115" t="s">
        <v>906</v>
      </c>
      <c r="Y115" t="s">
        <v>905</v>
      </c>
    </row>
    <row r="116" spans="3:25" x14ac:dyDescent="0.3">
      <c r="C116" s="16"/>
      <c r="V116">
        <v>113</v>
      </c>
      <c r="W116" t="s">
        <v>907</v>
      </c>
      <c r="X116" t="s">
        <v>756</v>
      </c>
      <c r="Y116" t="s">
        <v>908</v>
      </c>
    </row>
    <row r="117" spans="3:25" x14ac:dyDescent="0.3">
      <c r="C117" s="16"/>
      <c r="V117">
        <v>114</v>
      </c>
      <c r="W117" t="s">
        <v>909</v>
      </c>
      <c r="X117" t="s">
        <v>756</v>
      </c>
      <c r="Y117" t="s">
        <v>910</v>
      </c>
    </row>
    <row r="118" spans="3:25" x14ac:dyDescent="0.3">
      <c r="C118" s="16"/>
      <c r="V118">
        <v>115</v>
      </c>
      <c r="W118" t="s">
        <v>911</v>
      </c>
      <c r="X118" t="s">
        <v>756</v>
      </c>
      <c r="Y118" t="s">
        <v>912</v>
      </c>
    </row>
    <row r="119" spans="3:25" x14ac:dyDescent="0.3">
      <c r="C119" s="16"/>
      <c r="V119">
        <v>116</v>
      </c>
      <c r="W119" t="s">
        <v>913</v>
      </c>
      <c r="X119" t="s">
        <v>756</v>
      </c>
      <c r="Y119" t="s">
        <v>914</v>
      </c>
    </row>
    <row r="120" spans="3:25" x14ac:dyDescent="0.3">
      <c r="C120" s="16"/>
      <c r="V120">
        <v>117</v>
      </c>
      <c r="W120" s="1" t="s">
        <v>915</v>
      </c>
      <c r="X120" t="s">
        <v>685</v>
      </c>
      <c r="Y120" t="s">
        <v>916</v>
      </c>
    </row>
    <row r="121" spans="3:25" x14ac:dyDescent="0.3">
      <c r="C121" s="16"/>
      <c r="V121">
        <v>118</v>
      </c>
      <c r="W121" t="s">
        <v>917</v>
      </c>
      <c r="X121" t="s">
        <v>756</v>
      </c>
      <c r="Y121" t="s">
        <v>918</v>
      </c>
    </row>
    <row r="122" spans="3:25" x14ac:dyDescent="0.3">
      <c r="C122" s="16"/>
      <c r="V122">
        <v>119</v>
      </c>
      <c r="W122" t="s">
        <v>919</v>
      </c>
      <c r="X122" t="s">
        <v>756</v>
      </c>
      <c r="Y122" t="s">
        <v>920</v>
      </c>
    </row>
    <row r="123" spans="3:25" x14ac:dyDescent="0.3">
      <c r="C123" s="16"/>
      <c r="V123">
        <v>120</v>
      </c>
      <c r="W123" t="s">
        <v>921</v>
      </c>
      <c r="X123" t="s">
        <v>685</v>
      </c>
      <c r="Y123" t="s">
        <v>922</v>
      </c>
    </row>
    <row r="124" spans="3:25" x14ac:dyDescent="0.3">
      <c r="C124" s="16"/>
      <c r="V124">
        <v>121</v>
      </c>
      <c r="W124" t="s">
        <v>923</v>
      </c>
      <c r="X124" t="s">
        <v>925</v>
      </c>
      <c r="Y124" t="s">
        <v>924</v>
      </c>
    </row>
    <row r="125" spans="3:25" x14ac:dyDescent="0.3">
      <c r="C125" s="16"/>
      <c r="V125">
        <v>122</v>
      </c>
      <c r="W125" t="s">
        <v>926</v>
      </c>
      <c r="X125" t="s">
        <v>928</v>
      </c>
      <c r="Y125" t="s">
        <v>927</v>
      </c>
    </row>
    <row r="126" spans="3:25" x14ac:dyDescent="0.3">
      <c r="C126" s="16"/>
      <c r="V126">
        <v>123</v>
      </c>
      <c r="W126" t="s">
        <v>929</v>
      </c>
      <c r="X126" t="s">
        <v>928</v>
      </c>
      <c r="Y126" t="s">
        <v>930</v>
      </c>
    </row>
    <row r="127" spans="3:25" x14ac:dyDescent="0.3">
      <c r="C127" s="16"/>
      <c r="V127">
        <v>124</v>
      </c>
      <c r="W127" t="s">
        <v>931</v>
      </c>
      <c r="X127" t="s">
        <v>733</v>
      </c>
      <c r="Y127" t="s">
        <v>932</v>
      </c>
    </row>
    <row r="128" spans="3:25" ht="16.2" x14ac:dyDescent="0.3">
      <c r="C128" s="16"/>
      <c r="V128">
        <v>125</v>
      </c>
      <c r="W128" t="s">
        <v>933</v>
      </c>
      <c r="X128" t="s">
        <v>935</v>
      </c>
      <c r="Y128" t="s">
        <v>934</v>
      </c>
    </row>
    <row r="129" spans="3:25" ht="16.2" x14ac:dyDescent="0.3">
      <c r="C129" s="16"/>
      <c r="V129">
        <v>126</v>
      </c>
      <c r="W129" t="s">
        <v>936</v>
      </c>
      <c r="X129" t="s">
        <v>935</v>
      </c>
      <c r="Y129" t="s">
        <v>810</v>
      </c>
    </row>
    <row r="130" spans="3:25" ht="16.2" x14ac:dyDescent="0.3">
      <c r="C130" s="16"/>
      <c r="V130">
        <v>127</v>
      </c>
      <c r="W130" t="s">
        <v>937</v>
      </c>
      <c r="X130" t="s">
        <v>935</v>
      </c>
      <c r="Y130" t="s">
        <v>938</v>
      </c>
    </row>
    <row r="131" spans="3:25" x14ac:dyDescent="0.3">
      <c r="C131" s="16"/>
      <c r="V131">
        <v>128</v>
      </c>
      <c r="W131" t="s">
        <v>939</v>
      </c>
      <c r="X131" t="s">
        <v>756</v>
      </c>
      <c r="Y131" t="s">
        <v>940</v>
      </c>
    </row>
    <row r="132" spans="3:25" x14ac:dyDescent="0.3">
      <c r="C132" s="16"/>
      <c r="V132">
        <v>129</v>
      </c>
      <c r="W132" t="s">
        <v>941</v>
      </c>
      <c r="X132" t="s">
        <v>756</v>
      </c>
      <c r="Y132" t="s">
        <v>942</v>
      </c>
    </row>
    <row r="133" spans="3:25" x14ac:dyDescent="0.3">
      <c r="C133" s="16"/>
      <c r="V133">
        <v>130</v>
      </c>
      <c r="W133" t="s">
        <v>943</v>
      </c>
      <c r="X133" t="s">
        <v>756</v>
      </c>
      <c r="Y133" t="s">
        <v>944</v>
      </c>
    </row>
    <row r="134" spans="3:25" x14ac:dyDescent="0.3">
      <c r="C134" s="16"/>
      <c r="V134">
        <v>131</v>
      </c>
      <c r="W134" t="s">
        <v>945</v>
      </c>
      <c r="X134" t="s">
        <v>756</v>
      </c>
      <c r="Y134" t="s">
        <v>946</v>
      </c>
    </row>
    <row r="135" spans="3:25" x14ac:dyDescent="0.3">
      <c r="C135" s="16"/>
      <c r="V135">
        <v>132</v>
      </c>
      <c r="W135" t="s">
        <v>947</v>
      </c>
      <c r="X135" t="s">
        <v>756</v>
      </c>
      <c r="Y135" t="s">
        <v>948</v>
      </c>
    </row>
    <row r="136" spans="3:25" x14ac:dyDescent="0.3">
      <c r="C136" s="16"/>
      <c r="V136">
        <v>133</v>
      </c>
      <c r="W136" t="s">
        <v>949</v>
      </c>
      <c r="X136" t="s">
        <v>756</v>
      </c>
      <c r="Y136" t="s">
        <v>950</v>
      </c>
    </row>
    <row r="137" spans="3:25" x14ac:dyDescent="0.3">
      <c r="C137" s="16"/>
      <c r="V137">
        <v>134</v>
      </c>
      <c r="W137" t="s">
        <v>951</v>
      </c>
      <c r="X137" t="s">
        <v>756</v>
      </c>
      <c r="Y137" t="s">
        <v>952</v>
      </c>
    </row>
    <row r="138" spans="3:25" x14ac:dyDescent="0.3">
      <c r="C138" s="16"/>
      <c r="V138">
        <v>135</v>
      </c>
      <c r="W138" t="s">
        <v>953</v>
      </c>
      <c r="X138" t="s">
        <v>756</v>
      </c>
      <c r="Y138" t="s">
        <v>954</v>
      </c>
    </row>
    <row r="139" spans="3:25" x14ac:dyDescent="0.3">
      <c r="C139" s="16"/>
      <c r="V139">
        <v>136</v>
      </c>
      <c r="W139" t="s">
        <v>955</v>
      </c>
      <c r="X139" t="s">
        <v>756</v>
      </c>
      <c r="Y139" t="s">
        <v>956</v>
      </c>
    </row>
    <row r="140" spans="3:25" x14ac:dyDescent="0.3">
      <c r="C140" s="16"/>
      <c r="V140">
        <v>137</v>
      </c>
      <c r="W140" t="s">
        <v>957</v>
      </c>
      <c r="X140" t="s">
        <v>756</v>
      </c>
      <c r="Y140" t="s">
        <v>958</v>
      </c>
    </row>
    <row r="141" spans="3:25" x14ac:dyDescent="0.3">
      <c r="C141" s="16"/>
      <c r="V141">
        <v>138</v>
      </c>
      <c r="W141" t="s">
        <v>959</v>
      </c>
      <c r="X141" t="s">
        <v>756</v>
      </c>
      <c r="Y141" t="s">
        <v>960</v>
      </c>
    </row>
    <row r="142" spans="3:25" x14ac:dyDescent="0.3">
      <c r="C142" s="16"/>
      <c r="V142">
        <v>139</v>
      </c>
      <c r="W142" t="s">
        <v>961</v>
      </c>
      <c r="X142" t="s">
        <v>733</v>
      </c>
      <c r="Y142" t="s">
        <v>962</v>
      </c>
    </row>
    <row r="143" spans="3:25" x14ac:dyDescent="0.3">
      <c r="C143" s="16"/>
      <c r="V143">
        <v>140</v>
      </c>
      <c r="W143" t="s">
        <v>963</v>
      </c>
      <c r="X143" t="s">
        <v>756</v>
      </c>
      <c r="Y143" t="s">
        <v>964</v>
      </c>
    </row>
    <row r="144" spans="3:25" x14ac:dyDescent="0.3">
      <c r="C144" s="16"/>
      <c r="V144">
        <v>141</v>
      </c>
      <c r="W144" t="s">
        <v>965</v>
      </c>
      <c r="X144" t="s">
        <v>967</v>
      </c>
      <c r="Y144" t="s">
        <v>966</v>
      </c>
    </row>
    <row r="145" spans="3:25" x14ac:dyDescent="0.3">
      <c r="C145" s="16"/>
      <c r="V145">
        <v>142</v>
      </c>
      <c r="W145" t="s">
        <v>968</v>
      </c>
      <c r="X145" t="s">
        <v>756</v>
      </c>
      <c r="Y145" t="s">
        <v>969</v>
      </c>
    </row>
    <row r="146" spans="3:25" x14ac:dyDescent="0.3">
      <c r="C146" s="16"/>
      <c r="V146">
        <v>143</v>
      </c>
      <c r="W146" t="s">
        <v>970</v>
      </c>
      <c r="X146" t="s">
        <v>756</v>
      </c>
      <c r="Y146" t="s">
        <v>971</v>
      </c>
    </row>
    <row r="147" spans="3:25" x14ac:dyDescent="0.3">
      <c r="C147" s="16"/>
      <c r="V147">
        <v>144</v>
      </c>
      <c r="W147" t="s">
        <v>972</v>
      </c>
      <c r="X147" t="s">
        <v>967</v>
      </c>
      <c r="Y147" t="s">
        <v>973</v>
      </c>
    </row>
    <row r="148" spans="3:25" x14ac:dyDescent="0.3">
      <c r="C148" s="16"/>
      <c r="V148">
        <v>145</v>
      </c>
      <c r="W148" t="s">
        <v>974</v>
      </c>
      <c r="X148" t="s">
        <v>967</v>
      </c>
      <c r="Y148" t="s">
        <v>975</v>
      </c>
    </row>
  </sheetData>
  <pageMargins left="0.7" right="0.7" top="0.75" bottom="0.75" header="0.3" footer="0.3"/>
  <drawing r:id="rId1"/>
  <legacyDrawing r:id="rId2"/>
  <controls>
    <mc:AlternateContent xmlns:mc="http://schemas.openxmlformats.org/markup-compatibility/2006">
      <mc:Choice Requires="x14">
        <control shapeId="10250" r:id="rId3" name="cmdRun">
          <controlPr defaultSize="0" autoLine="0" r:id="rId4">
            <anchor moveWithCells="1">
              <from>
                <xdr:col>10</xdr:col>
                <xdr:colOff>373380</xdr:colOff>
                <xdr:row>0</xdr:row>
                <xdr:rowOff>60960</xdr:rowOff>
              </from>
              <to>
                <xdr:col>12</xdr:col>
                <xdr:colOff>175260</xdr:colOff>
                <xdr:row>1</xdr:row>
                <xdr:rowOff>121920</xdr:rowOff>
              </to>
            </anchor>
          </controlPr>
        </control>
      </mc:Choice>
      <mc:Fallback>
        <control shapeId="10250" r:id="rId3" name="cmdRun"/>
      </mc:Fallback>
    </mc:AlternateContent>
    <mc:AlternateContent xmlns:mc="http://schemas.openxmlformats.org/markup-compatibility/2006">
      <mc:Choice Requires="x14">
        <control shapeId="10248" r:id="rId5" name="cmdReadPrnt">
          <controlPr defaultSize="0" autoLine="0" r:id="rId6">
            <anchor moveWithCells="1">
              <from>
                <xdr:col>7</xdr:col>
                <xdr:colOff>38100</xdr:colOff>
                <xdr:row>0</xdr:row>
                <xdr:rowOff>60960</xdr:rowOff>
              </from>
              <to>
                <xdr:col>8</xdr:col>
                <xdr:colOff>449580</xdr:colOff>
                <xdr:row>1</xdr:row>
                <xdr:rowOff>121920</xdr:rowOff>
              </to>
            </anchor>
          </controlPr>
        </control>
      </mc:Choice>
      <mc:Fallback>
        <control shapeId="10248" r:id="rId5" name="cmdReadPrnt"/>
      </mc:Fallback>
    </mc:AlternateContent>
    <mc:AlternateContent xmlns:mc="http://schemas.openxmlformats.org/markup-compatibility/2006">
      <mc:Choice Requires="x14">
        <control shapeId="10249" r:id="rId7" name="cmdWritePrnt">
          <controlPr defaultSize="0" autoLine="0" r:id="rId8">
            <anchor moveWithCells="1">
              <from>
                <xdr:col>8</xdr:col>
                <xdr:colOff>487680</xdr:colOff>
                <xdr:row>0</xdr:row>
                <xdr:rowOff>60960</xdr:rowOff>
              </from>
              <to>
                <xdr:col>10</xdr:col>
                <xdr:colOff>274320</xdr:colOff>
                <xdr:row>1</xdr:row>
                <xdr:rowOff>121920</xdr:rowOff>
              </to>
            </anchor>
          </controlPr>
        </control>
      </mc:Choice>
      <mc:Fallback>
        <control shapeId="10249" r:id="rId7" name="cmdWritePrn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15"/>
  <sheetViews>
    <sheetView zoomScaleNormal="100" workbookViewId="0">
      <selection activeCell="E19" sqref="E19"/>
    </sheetView>
  </sheetViews>
  <sheetFormatPr defaultRowHeight="14.4" x14ac:dyDescent="0.3"/>
  <cols>
    <col min="3" max="3" width="9.109375" style="4"/>
  </cols>
  <sheetData>
    <row r="1" spans="1:11" ht="21" x14ac:dyDescent="0.3">
      <c r="A1" s="125" t="s">
        <v>1458</v>
      </c>
    </row>
    <row r="2" spans="1:11" x14ac:dyDescent="0.3">
      <c r="A2" s="3"/>
    </row>
    <row r="4" spans="1:11" s="8" customFormat="1" x14ac:dyDescent="0.3">
      <c r="A4" s="76" t="s">
        <v>29</v>
      </c>
      <c r="B4" s="76" t="s">
        <v>30</v>
      </c>
      <c r="C4" s="77"/>
      <c r="D4" s="79" t="s">
        <v>16</v>
      </c>
    </row>
    <row r="5" spans="1:11" x14ac:dyDescent="0.3">
      <c r="A5">
        <v>1</v>
      </c>
      <c r="B5" t="s">
        <v>1072</v>
      </c>
      <c r="C5" s="4">
        <v>60</v>
      </c>
      <c r="D5" t="s">
        <v>2001</v>
      </c>
      <c r="J5" s="4"/>
      <c r="K5" s="4"/>
    </row>
    <row r="6" spans="1:11" x14ac:dyDescent="0.3">
      <c r="A6">
        <v>2</v>
      </c>
      <c r="B6" t="s">
        <v>1073</v>
      </c>
      <c r="C6" s="4">
        <v>45</v>
      </c>
      <c r="D6" t="s">
        <v>2002</v>
      </c>
      <c r="J6" s="4"/>
      <c r="K6" s="4"/>
    </row>
    <row r="7" spans="1:11" x14ac:dyDescent="0.3">
      <c r="A7">
        <v>3</v>
      </c>
      <c r="B7" t="s">
        <v>1074</v>
      </c>
      <c r="C7" s="4">
        <v>300</v>
      </c>
      <c r="D7" t="s">
        <v>2003</v>
      </c>
      <c r="J7" s="4"/>
      <c r="K7" s="4"/>
    </row>
    <row r="8" spans="1:11" x14ac:dyDescent="0.3">
      <c r="A8">
        <v>4</v>
      </c>
      <c r="B8" t="s">
        <v>1075</v>
      </c>
      <c r="C8" s="4">
        <v>200</v>
      </c>
      <c r="D8" t="s">
        <v>2004</v>
      </c>
      <c r="J8" s="4"/>
      <c r="K8" s="4"/>
    </row>
    <row r="9" spans="1:11" x14ac:dyDescent="0.3">
      <c r="A9">
        <v>5</v>
      </c>
      <c r="B9" t="s">
        <v>1076</v>
      </c>
      <c r="C9" s="4">
        <v>10</v>
      </c>
      <c r="D9" t="s">
        <v>2005</v>
      </c>
      <c r="J9" s="4"/>
      <c r="K9" s="4"/>
    </row>
    <row r="10" spans="1:11" x14ac:dyDescent="0.3">
      <c r="A10">
        <v>6</v>
      </c>
      <c r="B10" t="s">
        <v>1077</v>
      </c>
      <c r="C10" s="4">
        <v>4</v>
      </c>
      <c r="D10" t="s">
        <v>2006</v>
      </c>
      <c r="J10" s="4"/>
      <c r="K10" s="4"/>
    </row>
    <row r="11" spans="1:11" x14ac:dyDescent="0.3">
      <c r="A11">
        <v>7</v>
      </c>
      <c r="B11" t="s">
        <v>1078</v>
      </c>
      <c r="C11" s="4">
        <v>60</v>
      </c>
      <c r="D11" t="s">
        <v>2007</v>
      </c>
      <c r="J11" s="4"/>
      <c r="K11" s="4"/>
    </row>
    <row r="12" spans="1:11" x14ac:dyDescent="0.3">
      <c r="A12">
        <v>8</v>
      </c>
      <c r="B12" t="s">
        <v>1439</v>
      </c>
      <c r="C12" s="4">
        <v>5</v>
      </c>
      <c r="D12" t="s">
        <v>2008</v>
      </c>
      <c r="J12" s="4"/>
      <c r="K12" s="4"/>
    </row>
    <row r="13" spans="1:11" x14ac:dyDescent="0.3">
      <c r="A13">
        <v>9</v>
      </c>
      <c r="B13" t="s">
        <v>1079</v>
      </c>
      <c r="C13" s="4">
        <v>1</v>
      </c>
      <c r="D13" t="s">
        <v>2009</v>
      </c>
      <c r="J13" s="4"/>
      <c r="K13" s="4"/>
    </row>
    <row r="14" spans="1:11" x14ac:dyDescent="0.3">
      <c r="A14">
        <v>10</v>
      </c>
      <c r="B14" t="s">
        <v>1080</v>
      </c>
      <c r="C14" s="4">
        <v>1000</v>
      </c>
      <c r="D14" t="s">
        <v>2010</v>
      </c>
      <c r="J14" s="4"/>
      <c r="K14" s="4"/>
    </row>
    <row r="15" spans="1:11" x14ac:dyDescent="0.3">
      <c r="A15">
        <v>11</v>
      </c>
      <c r="B15" t="s">
        <v>1081</v>
      </c>
      <c r="C15" s="4">
        <v>1000</v>
      </c>
      <c r="D15" t="s">
        <v>2011</v>
      </c>
      <c r="K15" s="4"/>
    </row>
  </sheetData>
  <pageMargins left="0.7" right="0.7" top="0.75" bottom="0.75" header="0.3" footer="0.3"/>
  <drawing r:id="rId1"/>
  <legacyDrawing r:id="rId2"/>
  <controls>
    <mc:AlternateContent xmlns:mc="http://schemas.openxmlformats.org/markup-compatibility/2006">
      <mc:Choice Requires="x14">
        <control shapeId="11267" r:id="rId3" name="cmdRun">
          <controlPr defaultSize="0" autoLine="0" r:id="rId4">
            <anchor moveWithCells="1">
              <from>
                <xdr:col>8</xdr:col>
                <xdr:colOff>365760</xdr:colOff>
                <xdr:row>0</xdr:row>
                <xdr:rowOff>60960</xdr:rowOff>
              </from>
              <to>
                <xdr:col>10</xdr:col>
                <xdr:colOff>167640</xdr:colOff>
                <xdr:row>1</xdr:row>
                <xdr:rowOff>121920</xdr:rowOff>
              </to>
            </anchor>
          </controlPr>
        </control>
      </mc:Choice>
      <mc:Fallback>
        <control shapeId="11267" r:id="rId3" name="cmdRun"/>
      </mc:Fallback>
    </mc:AlternateContent>
    <mc:AlternateContent xmlns:mc="http://schemas.openxmlformats.org/markup-compatibility/2006">
      <mc:Choice Requires="x14">
        <control shapeId="11266" r:id="rId5" name="cmdWriteDim">
          <controlPr defaultSize="0" autoLine="0" r:id="rId6">
            <anchor moveWithCells="1">
              <from>
                <xdr:col>6</xdr:col>
                <xdr:colOff>502920</xdr:colOff>
                <xdr:row>0</xdr:row>
                <xdr:rowOff>60960</xdr:rowOff>
              </from>
              <to>
                <xdr:col>8</xdr:col>
                <xdr:colOff>304800</xdr:colOff>
                <xdr:row>1</xdr:row>
                <xdr:rowOff>121920</xdr:rowOff>
              </to>
            </anchor>
          </controlPr>
        </control>
      </mc:Choice>
      <mc:Fallback>
        <control shapeId="11266" r:id="rId5" name="cmdWriteDim"/>
      </mc:Fallback>
    </mc:AlternateContent>
    <mc:AlternateContent xmlns:mc="http://schemas.openxmlformats.org/markup-compatibility/2006">
      <mc:Choice Requires="x14">
        <control shapeId="11265" r:id="rId7" name="cmdReadDim">
          <controlPr defaultSize="0" autoLine="0" r:id="rId8">
            <anchor moveWithCells="1">
              <from>
                <xdr:col>5</xdr:col>
                <xdr:colOff>45720</xdr:colOff>
                <xdr:row>0</xdr:row>
                <xdr:rowOff>60960</xdr:rowOff>
              </from>
              <to>
                <xdr:col>6</xdr:col>
                <xdr:colOff>457200</xdr:colOff>
                <xdr:row>1</xdr:row>
                <xdr:rowOff>121920</xdr:rowOff>
              </to>
            </anchor>
          </controlPr>
        </control>
      </mc:Choice>
      <mc:Fallback>
        <control shapeId="11265" r:id="rId7" name="cmdReadDi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60"/>
  <sheetViews>
    <sheetView zoomScaleNormal="100" workbookViewId="0">
      <pane ySplit="16" topLeftCell="A17" activePane="bottomLeft" state="frozen"/>
      <selection pane="bottomLeft" activeCell="B7" sqref="B7"/>
    </sheetView>
  </sheetViews>
  <sheetFormatPr defaultRowHeight="15.6" x14ac:dyDescent="0.3"/>
  <cols>
    <col min="1" max="1" width="12.109375" style="113" customWidth="1"/>
    <col min="2" max="6" width="9.109375" style="113"/>
    <col min="7" max="7" width="9.109375" style="114"/>
    <col min="8" max="8" width="9.5546875" style="115" bestFit="1" customWidth="1"/>
    <col min="9" max="14" width="9.109375" style="115"/>
    <col min="18" max="18" width="9.6640625" bestFit="1" customWidth="1"/>
  </cols>
  <sheetData>
    <row r="1" spans="1:18" ht="21" x14ac:dyDescent="0.3">
      <c r="A1" s="125" t="s">
        <v>1457</v>
      </c>
      <c r="B1"/>
      <c r="C1"/>
      <c r="D1"/>
      <c r="E1"/>
      <c r="F1"/>
      <c r="G1"/>
      <c r="H1"/>
      <c r="I1"/>
      <c r="J1"/>
      <c r="K1"/>
      <c r="L1"/>
      <c r="M1"/>
      <c r="N1"/>
    </row>
    <row r="2" spans="1:18" ht="14.4" x14ac:dyDescent="0.3">
      <c r="A2" s="3"/>
      <c r="B2"/>
      <c r="C2"/>
      <c r="D2"/>
      <c r="E2"/>
      <c r="F2"/>
      <c r="G2"/>
      <c r="H2"/>
      <c r="I2"/>
      <c r="J2"/>
      <c r="K2"/>
      <c r="L2"/>
      <c r="M2"/>
      <c r="N2"/>
    </row>
    <row r="3" spans="1:18" ht="14.4" x14ac:dyDescent="0.3">
      <c r="A3"/>
      <c r="B3"/>
      <c r="C3"/>
      <c r="D3"/>
      <c r="E3"/>
      <c r="F3"/>
      <c r="G3"/>
      <c r="H3"/>
      <c r="I3"/>
      <c r="J3"/>
      <c r="K3"/>
      <c r="L3"/>
      <c r="M3"/>
      <c r="N3"/>
    </row>
    <row r="4" spans="1:18" ht="14.4" x14ac:dyDescent="0.3">
      <c r="A4" s="30" t="s">
        <v>1144</v>
      </c>
      <c r="B4" t="s">
        <v>3879</v>
      </c>
      <c r="C4"/>
      <c r="D4" s="31" t="s">
        <v>1268</v>
      </c>
      <c r="E4" s="10" t="s">
        <v>1624</v>
      </c>
      <c r="F4"/>
      <c r="G4"/>
      <c r="H4"/>
      <c r="I4"/>
      <c r="J4"/>
      <c r="K4"/>
      <c r="L4"/>
      <c r="M4"/>
      <c r="N4"/>
    </row>
    <row r="5" spans="1:18" ht="14.4" x14ac:dyDescent="0.3">
      <c r="A5" s="91" t="s">
        <v>1462</v>
      </c>
      <c r="B5" s="92"/>
      <c r="C5" s="93" t="s">
        <v>1463</v>
      </c>
      <c r="D5" s="92"/>
      <c r="E5" s="92"/>
      <c r="F5"/>
      <c r="G5"/>
      <c r="H5"/>
      <c r="I5"/>
      <c r="J5"/>
      <c r="K5"/>
      <c r="L5"/>
      <c r="M5"/>
      <c r="N5"/>
    </row>
    <row r="6" spans="1:18" ht="14.4" x14ac:dyDescent="0.3">
      <c r="A6"/>
      <c r="B6"/>
      <c r="C6"/>
      <c r="D6"/>
      <c r="E6"/>
      <c r="F6"/>
      <c r="G6"/>
      <c r="H6"/>
      <c r="I6"/>
      <c r="J6"/>
      <c r="K6"/>
      <c r="L6"/>
      <c r="M6"/>
      <c r="N6"/>
    </row>
    <row r="7" spans="1:18" ht="43.2" x14ac:dyDescent="0.3">
      <c r="A7" s="30" t="s">
        <v>1145</v>
      </c>
      <c r="B7" s="174" t="s">
        <v>3880</v>
      </c>
      <c r="C7"/>
      <c r="D7"/>
      <c r="E7"/>
      <c r="F7"/>
      <c r="G7"/>
      <c r="H7"/>
      <c r="I7"/>
      <c r="J7"/>
      <c r="K7"/>
      <c r="L7"/>
      <c r="M7"/>
      <c r="N7"/>
      <c r="R7" s="115"/>
    </row>
    <row r="8" spans="1:18" x14ac:dyDescent="0.3">
      <c r="A8" t="s">
        <v>1146</v>
      </c>
      <c r="B8" s="4">
        <v>3</v>
      </c>
      <c r="C8" s="29" t="s">
        <v>1147</v>
      </c>
      <c r="D8"/>
      <c r="E8"/>
      <c r="F8"/>
      <c r="G8"/>
      <c r="H8"/>
      <c r="I8"/>
      <c r="J8"/>
      <c r="K8"/>
      <c r="L8" s="4" t="s">
        <v>1283</v>
      </c>
      <c r="M8"/>
      <c r="N8"/>
      <c r="R8" s="115"/>
    </row>
    <row r="9" spans="1:18" x14ac:dyDescent="0.3">
      <c r="A9" t="s">
        <v>1148</v>
      </c>
      <c r="B9" s="4"/>
      <c r="C9" s="29" t="s">
        <v>1150</v>
      </c>
      <c r="D9"/>
      <c r="E9"/>
      <c r="F9"/>
      <c r="G9"/>
      <c r="H9"/>
      <c r="I9"/>
      <c r="J9"/>
      <c r="K9"/>
      <c r="L9" s="4">
        <v>500</v>
      </c>
      <c r="M9"/>
      <c r="N9"/>
      <c r="R9" s="115"/>
    </row>
    <row r="10" spans="1:18" x14ac:dyDescent="0.3">
      <c r="A10" t="s">
        <v>1149</v>
      </c>
      <c r="B10" s="4"/>
      <c r="C10" s="29" t="s">
        <v>1168</v>
      </c>
      <c r="D10"/>
      <c r="E10"/>
      <c r="F10"/>
      <c r="G10"/>
      <c r="H10"/>
      <c r="I10"/>
      <c r="J10"/>
      <c r="K10"/>
      <c r="L10" s="4">
        <v>261</v>
      </c>
      <c r="M10"/>
      <c r="N10"/>
      <c r="R10" s="115"/>
    </row>
    <row r="11" spans="1:18" x14ac:dyDescent="0.3">
      <c r="A11" t="s">
        <v>1151</v>
      </c>
      <c r="B11" s="4"/>
      <c r="C11" s="29" t="s">
        <v>1169</v>
      </c>
      <c r="D11"/>
      <c r="E11"/>
      <c r="F11"/>
      <c r="G11"/>
      <c r="H11"/>
      <c r="I11"/>
      <c r="J11"/>
      <c r="K11"/>
      <c r="L11" s="4">
        <v>268</v>
      </c>
      <c r="M11"/>
      <c r="N11"/>
      <c r="R11" s="115"/>
    </row>
    <row r="12" spans="1:18" x14ac:dyDescent="0.3">
      <c r="A12" t="s">
        <v>1152</v>
      </c>
      <c r="B12" s="4"/>
      <c r="C12" s="29" t="s">
        <v>1170</v>
      </c>
      <c r="D12"/>
      <c r="E12"/>
      <c r="F12"/>
      <c r="G12"/>
      <c r="H12"/>
      <c r="I12"/>
      <c r="J12"/>
      <c r="K12"/>
      <c r="L12" s="4">
        <v>266</v>
      </c>
      <c r="M12"/>
      <c r="N12"/>
      <c r="R12" s="115"/>
    </row>
    <row r="13" spans="1:18" ht="14.4" x14ac:dyDescent="0.3">
      <c r="A13" t="s">
        <v>1153</v>
      </c>
      <c r="B13" s="4"/>
      <c r="C13" s="29" t="s">
        <v>1171</v>
      </c>
      <c r="D13"/>
      <c r="E13"/>
      <c r="F13"/>
      <c r="G13"/>
      <c r="H13"/>
      <c r="I13"/>
      <c r="J13"/>
      <c r="K13"/>
      <c r="L13" s="4">
        <v>265</v>
      </c>
      <c r="M13"/>
      <c r="N13"/>
    </row>
    <row r="14" spans="1:18" ht="14.4" x14ac:dyDescent="0.3">
      <c r="A14" t="s">
        <v>1154</v>
      </c>
      <c r="B14" s="4"/>
      <c r="C14" s="29" t="s">
        <v>1172</v>
      </c>
      <c r="D14"/>
      <c r="E14"/>
      <c r="F14"/>
      <c r="G14"/>
      <c r="H14"/>
      <c r="I14"/>
      <c r="J14"/>
      <c r="K14"/>
      <c r="L14" s="4">
        <v>267</v>
      </c>
      <c r="M14"/>
      <c r="N14"/>
    </row>
    <row r="15" spans="1:18" s="147" customFormat="1" ht="12" x14ac:dyDescent="0.25">
      <c r="A15" s="147">
        <v>1</v>
      </c>
      <c r="B15" s="147">
        <v>2</v>
      </c>
      <c r="C15" s="147">
        <v>3</v>
      </c>
      <c r="D15" s="147">
        <v>4</v>
      </c>
      <c r="E15" s="147">
        <v>5</v>
      </c>
      <c r="F15" s="147">
        <v>6</v>
      </c>
      <c r="G15" s="147">
        <v>7</v>
      </c>
      <c r="H15" s="147">
        <v>8</v>
      </c>
      <c r="I15" s="147">
        <v>9</v>
      </c>
      <c r="J15" s="147">
        <v>10</v>
      </c>
      <c r="K15" s="147">
        <v>11</v>
      </c>
      <c r="L15" s="147">
        <v>12</v>
      </c>
      <c r="M15" s="147">
        <v>13</v>
      </c>
      <c r="N15" s="147">
        <v>14</v>
      </c>
    </row>
    <row r="16" spans="1:18" s="8" customFormat="1" ht="14.4" x14ac:dyDescent="0.3">
      <c r="A16" s="76" t="s">
        <v>1155</v>
      </c>
      <c r="B16" s="76" t="s">
        <v>1156</v>
      </c>
      <c r="C16" s="76" t="s">
        <v>1143</v>
      </c>
      <c r="D16" s="101" t="s">
        <v>1157</v>
      </c>
      <c r="E16" s="101" t="s">
        <v>1158</v>
      </c>
      <c r="F16" s="101" t="s">
        <v>1159</v>
      </c>
      <c r="G16" s="105" t="s">
        <v>1167</v>
      </c>
      <c r="H16" s="101" t="s">
        <v>1160</v>
      </c>
      <c r="I16" s="76" t="s">
        <v>1161</v>
      </c>
      <c r="J16" s="76" t="s">
        <v>1162</v>
      </c>
      <c r="K16" s="76" t="s">
        <v>1163</v>
      </c>
      <c r="L16" s="76" t="s">
        <v>1164</v>
      </c>
      <c r="M16" s="76" t="s">
        <v>1165</v>
      </c>
      <c r="N16" s="76" t="s">
        <v>1166</v>
      </c>
    </row>
    <row r="17" spans="1:15" x14ac:dyDescent="0.3">
      <c r="A17" s="113">
        <v>1</v>
      </c>
      <c r="B17" s="113">
        <v>5</v>
      </c>
      <c r="C17" s="113">
        <v>26</v>
      </c>
      <c r="D17" s="113">
        <v>121</v>
      </c>
      <c r="E17" s="113">
        <v>21</v>
      </c>
      <c r="F17" s="113">
        <v>1</v>
      </c>
      <c r="G17" s="114">
        <v>0</v>
      </c>
      <c r="H17" s="115">
        <v>1000</v>
      </c>
      <c r="I17" s="115">
        <v>0</v>
      </c>
      <c r="J17" s="115">
        <v>0</v>
      </c>
      <c r="K17" s="115">
        <v>0</v>
      </c>
      <c r="L17" s="115">
        <v>30</v>
      </c>
      <c r="M17" s="115">
        <v>0</v>
      </c>
      <c r="N17" s="115">
        <v>0</v>
      </c>
      <c r="O17" s="115"/>
    </row>
    <row r="18" spans="1:15" x14ac:dyDescent="0.3">
      <c r="A18" s="113">
        <v>1</v>
      </c>
      <c r="B18" s="113">
        <v>5</v>
      </c>
      <c r="C18" s="113">
        <v>30</v>
      </c>
      <c r="D18" s="113">
        <v>274</v>
      </c>
      <c r="E18" s="113">
        <v>0</v>
      </c>
      <c r="F18" s="113">
        <v>1</v>
      </c>
      <c r="G18" s="114">
        <v>204</v>
      </c>
      <c r="H18" s="115">
        <v>60</v>
      </c>
      <c r="I18" s="115">
        <v>0</v>
      </c>
      <c r="J18" s="115">
        <v>0</v>
      </c>
      <c r="K18" s="115">
        <v>0</v>
      </c>
      <c r="L18" s="115">
        <v>0</v>
      </c>
      <c r="M18" s="115">
        <v>0</v>
      </c>
      <c r="N18" s="115">
        <v>0</v>
      </c>
      <c r="O18" s="115"/>
    </row>
    <row r="19" spans="1:15" x14ac:dyDescent="0.3">
      <c r="A19" s="113">
        <v>1</v>
      </c>
      <c r="B19" s="113">
        <v>10</v>
      </c>
      <c r="C19" s="113">
        <v>28</v>
      </c>
      <c r="D19" s="113">
        <v>294</v>
      </c>
      <c r="E19" s="113">
        <v>0</v>
      </c>
      <c r="F19" s="113">
        <v>1</v>
      </c>
      <c r="G19" s="114">
        <v>0</v>
      </c>
      <c r="H19" s="115">
        <v>0</v>
      </c>
      <c r="I19" s="115">
        <v>0</v>
      </c>
      <c r="J19" s="115">
        <v>0</v>
      </c>
      <c r="K19" s="115">
        <v>0</v>
      </c>
      <c r="L19" s="115">
        <v>0</v>
      </c>
      <c r="M19" s="115">
        <v>0</v>
      </c>
      <c r="N19" s="115">
        <v>1.1499999999999999</v>
      </c>
      <c r="O19" s="115"/>
    </row>
    <row r="20" spans="1:15" x14ac:dyDescent="0.3">
      <c r="A20" s="113">
        <v>1</v>
      </c>
      <c r="B20" s="113">
        <v>10</v>
      </c>
      <c r="C20" s="113">
        <v>30</v>
      </c>
      <c r="D20" s="113">
        <v>451</v>
      </c>
      <c r="E20" s="113">
        <v>0</v>
      </c>
      <c r="F20" s="113">
        <v>1</v>
      </c>
      <c r="G20" s="114">
        <v>0</v>
      </c>
      <c r="H20" s="115">
        <v>0</v>
      </c>
      <c r="I20" s="115">
        <v>0</v>
      </c>
      <c r="J20" s="115">
        <v>0</v>
      </c>
      <c r="K20" s="115">
        <v>0</v>
      </c>
      <c r="L20" s="115">
        <v>0</v>
      </c>
      <c r="M20" s="115">
        <v>0</v>
      </c>
      <c r="N20" s="115">
        <v>0</v>
      </c>
      <c r="O20" s="115"/>
    </row>
    <row r="21" spans="1:15" x14ac:dyDescent="0.3">
      <c r="A21" s="113">
        <v>2</v>
      </c>
      <c r="B21" s="113">
        <v>5</v>
      </c>
      <c r="C21" s="113">
        <v>6</v>
      </c>
      <c r="D21" s="113">
        <v>261</v>
      </c>
      <c r="E21" s="113">
        <v>0</v>
      </c>
      <c r="F21" s="113">
        <v>2</v>
      </c>
      <c r="G21" s="114">
        <v>37</v>
      </c>
      <c r="H21" s="115">
        <v>550</v>
      </c>
      <c r="I21" s="115">
        <v>0</v>
      </c>
      <c r="J21" s="115">
        <v>0</v>
      </c>
      <c r="K21" s="115">
        <v>0</v>
      </c>
      <c r="L21" s="115">
        <v>0</v>
      </c>
      <c r="M21" s="115">
        <v>0</v>
      </c>
      <c r="N21" s="115">
        <v>0</v>
      </c>
      <c r="O21" s="115"/>
    </row>
    <row r="22" spans="1:15" x14ac:dyDescent="0.3">
      <c r="A22" s="113">
        <v>2</v>
      </c>
      <c r="B22" s="113">
        <v>5</v>
      </c>
      <c r="C22" s="113">
        <v>24</v>
      </c>
      <c r="D22" s="113">
        <v>139</v>
      </c>
      <c r="E22" s="113">
        <v>21</v>
      </c>
      <c r="F22" s="113">
        <v>2</v>
      </c>
      <c r="G22" s="114">
        <v>0</v>
      </c>
      <c r="H22" s="115">
        <v>1750</v>
      </c>
      <c r="I22" s="115">
        <v>0</v>
      </c>
      <c r="J22" s="115">
        <v>0</v>
      </c>
      <c r="K22" s="115">
        <v>0</v>
      </c>
      <c r="L22" s="115">
        <v>8</v>
      </c>
      <c r="M22" s="115">
        <v>0</v>
      </c>
      <c r="N22" s="115">
        <v>0</v>
      </c>
      <c r="O22" s="115"/>
    </row>
    <row r="23" spans="1:15" s="12" customFormat="1" x14ac:dyDescent="0.3">
      <c r="A23" s="113">
        <v>2</v>
      </c>
      <c r="B23" s="113">
        <v>6</v>
      </c>
      <c r="C23" s="113">
        <v>18</v>
      </c>
      <c r="D23" s="113">
        <v>274</v>
      </c>
      <c r="E23" s="113">
        <v>21</v>
      </c>
      <c r="F23" s="113">
        <v>2</v>
      </c>
      <c r="G23" s="114">
        <v>204</v>
      </c>
      <c r="H23" s="115">
        <v>0.12</v>
      </c>
      <c r="I23" s="115">
        <v>0</v>
      </c>
      <c r="J23" s="115">
        <v>0</v>
      </c>
      <c r="K23" s="115">
        <v>0</v>
      </c>
      <c r="L23" s="115">
        <v>0</v>
      </c>
      <c r="M23" s="115">
        <v>0</v>
      </c>
      <c r="N23" s="115">
        <v>0.01</v>
      </c>
      <c r="O23" s="115"/>
    </row>
    <row r="24" spans="1:15" s="12" customFormat="1" x14ac:dyDescent="0.3">
      <c r="A24" s="113">
        <v>2</v>
      </c>
      <c r="B24" s="113">
        <v>7</v>
      </c>
      <c r="C24" s="113">
        <v>13</v>
      </c>
      <c r="D24" s="113">
        <v>265</v>
      </c>
      <c r="E24" s="113">
        <v>0</v>
      </c>
      <c r="F24" s="113">
        <v>2</v>
      </c>
      <c r="G24" s="114">
        <v>53</v>
      </c>
      <c r="H24" s="115">
        <v>20</v>
      </c>
      <c r="I24" s="115">
        <v>0</v>
      </c>
      <c r="J24" s="115">
        <v>0</v>
      </c>
      <c r="K24" s="115">
        <v>0</v>
      </c>
      <c r="L24" s="115">
        <v>0</v>
      </c>
      <c r="M24" s="115">
        <v>0</v>
      </c>
      <c r="N24" s="115">
        <v>0</v>
      </c>
      <c r="O24" s="115"/>
    </row>
    <row r="25" spans="1:15" s="12" customFormat="1" x14ac:dyDescent="0.3">
      <c r="A25" s="113">
        <v>2</v>
      </c>
      <c r="B25" s="113">
        <v>10</v>
      </c>
      <c r="C25" s="113">
        <v>31</v>
      </c>
      <c r="D25" s="113">
        <v>295</v>
      </c>
      <c r="E25" s="113">
        <v>0</v>
      </c>
      <c r="F25" s="113">
        <v>2</v>
      </c>
      <c r="G25" s="114">
        <v>0</v>
      </c>
      <c r="H25" s="115">
        <v>0</v>
      </c>
      <c r="I25" s="115">
        <v>0</v>
      </c>
      <c r="J25" s="115">
        <v>0</v>
      </c>
      <c r="K25" s="115">
        <v>0</v>
      </c>
      <c r="L25" s="115">
        <v>0</v>
      </c>
      <c r="M25" s="115">
        <v>0</v>
      </c>
      <c r="N25" s="115">
        <v>1.1499999999999999</v>
      </c>
      <c r="O25" s="115"/>
    </row>
    <row r="26" spans="1:15" s="12" customFormat="1" x14ac:dyDescent="0.3">
      <c r="A26" s="113">
        <v>2</v>
      </c>
      <c r="B26" s="113">
        <v>11</v>
      </c>
      <c r="C26" s="113">
        <v>1</v>
      </c>
      <c r="D26" s="113">
        <v>451</v>
      </c>
      <c r="E26" s="113">
        <v>0</v>
      </c>
      <c r="F26" s="113">
        <v>2</v>
      </c>
      <c r="G26" s="114">
        <v>0</v>
      </c>
      <c r="H26" s="115">
        <v>0</v>
      </c>
      <c r="I26" s="115">
        <v>0</v>
      </c>
      <c r="J26" s="115">
        <v>0</v>
      </c>
      <c r="K26" s="115">
        <v>0</v>
      </c>
      <c r="L26" s="115">
        <v>0</v>
      </c>
      <c r="M26" s="115">
        <v>0</v>
      </c>
      <c r="N26" s="115">
        <v>0</v>
      </c>
      <c r="O26" s="115"/>
    </row>
    <row r="27" spans="1:15" s="12" customFormat="1" x14ac:dyDescent="0.3">
      <c r="A27" s="113">
        <v>3</v>
      </c>
      <c r="B27" s="113">
        <v>5</v>
      </c>
      <c r="C27" s="113">
        <v>26</v>
      </c>
      <c r="D27" s="113">
        <v>121</v>
      </c>
      <c r="E27" s="113">
        <v>21</v>
      </c>
      <c r="F27" s="113">
        <v>1</v>
      </c>
      <c r="G27" s="114">
        <v>0</v>
      </c>
      <c r="H27" s="115">
        <v>1000</v>
      </c>
      <c r="I27" s="115">
        <v>0</v>
      </c>
      <c r="J27" s="115">
        <v>0</v>
      </c>
      <c r="K27" s="115">
        <v>0</v>
      </c>
      <c r="L27" s="115">
        <v>30</v>
      </c>
      <c r="M27" s="115">
        <v>0</v>
      </c>
      <c r="N27" s="115">
        <v>0</v>
      </c>
      <c r="O27" s="115"/>
    </row>
    <row r="28" spans="1:15" s="12" customFormat="1" x14ac:dyDescent="0.3">
      <c r="A28" s="113">
        <v>3</v>
      </c>
      <c r="B28" s="113">
        <v>5</v>
      </c>
      <c r="C28" s="113">
        <v>30</v>
      </c>
      <c r="D28" s="113">
        <v>265</v>
      </c>
      <c r="E28" s="113">
        <v>0</v>
      </c>
      <c r="F28" s="113">
        <v>1</v>
      </c>
      <c r="G28" s="114">
        <v>55</v>
      </c>
      <c r="H28" s="115">
        <v>1.68</v>
      </c>
      <c r="I28" s="115">
        <v>0</v>
      </c>
      <c r="J28" s="115">
        <v>0</v>
      </c>
      <c r="K28" s="115">
        <v>0</v>
      </c>
      <c r="L28" s="115">
        <v>0</v>
      </c>
      <c r="M28" s="115">
        <v>0</v>
      </c>
      <c r="N28" s="115">
        <v>0</v>
      </c>
      <c r="O28" s="115"/>
    </row>
    <row r="29" spans="1:15" s="12" customFormat="1" x14ac:dyDescent="0.3">
      <c r="A29" s="113">
        <v>3</v>
      </c>
      <c r="B29" s="113">
        <v>5</v>
      </c>
      <c r="C29" s="113">
        <v>30</v>
      </c>
      <c r="D29" s="113">
        <v>274</v>
      </c>
      <c r="E29" s="113">
        <v>0</v>
      </c>
      <c r="F29" s="113">
        <v>1</v>
      </c>
      <c r="G29" s="114">
        <v>204</v>
      </c>
      <c r="H29" s="115">
        <v>0.6</v>
      </c>
      <c r="I29" s="115">
        <v>0</v>
      </c>
      <c r="J29" s="115">
        <v>0</v>
      </c>
      <c r="K29" s="115">
        <v>0</v>
      </c>
      <c r="L29" s="115">
        <v>0</v>
      </c>
      <c r="M29" s="115">
        <v>0</v>
      </c>
      <c r="N29" s="115">
        <v>0.01</v>
      </c>
      <c r="O29" s="115"/>
    </row>
    <row r="30" spans="1:15" s="12" customFormat="1" x14ac:dyDescent="0.3">
      <c r="A30" s="113">
        <v>3</v>
      </c>
      <c r="B30" s="113">
        <v>7</v>
      </c>
      <c r="C30" s="113">
        <v>14</v>
      </c>
      <c r="D30" s="113">
        <v>265</v>
      </c>
      <c r="E30" s="113">
        <v>0</v>
      </c>
      <c r="F30" s="113">
        <v>1</v>
      </c>
      <c r="G30" s="114">
        <v>73</v>
      </c>
      <c r="H30" s="115">
        <v>1.68</v>
      </c>
      <c r="I30" s="115">
        <v>0</v>
      </c>
      <c r="J30" s="115">
        <v>0</v>
      </c>
      <c r="K30" s="115">
        <v>0</v>
      </c>
      <c r="L30" s="115">
        <v>0</v>
      </c>
      <c r="M30" s="115">
        <v>0</v>
      </c>
      <c r="N30" s="115">
        <v>0</v>
      </c>
      <c r="O30" s="115"/>
    </row>
    <row r="31" spans="1:15" s="12" customFormat="1" x14ac:dyDescent="0.3">
      <c r="A31" s="113">
        <v>3</v>
      </c>
      <c r="B31" s="113">
        <v>7</v>
      </c>
      <c r="C31" s="113">
        <v>14</v>
      </c>
      <c r="D31" s="113">
        <v>274</v>
      </c>
      <c r="E31" s="113">
        <v>0</v>
      </c>
      <c r="F31" s="113">
        <v>1</v>
      </c>
      <c r="G31" s="114">
        <v>204</v>
      </c>
      <c r="H31" s="115">
        <v>0.4</v>
      </c>
      <c r="I31" s="115">
        <v>0</v>
      </c>
      <c r="J31" s="115">
        <v>0</v>
      </c>
      <c r="K31" s="115">
        <v>0</v>
      </c>
      <c r="L31" s="115">
        <v>0</v>
      </c>
      <c r="M31" s="115">
        <v>0</v>
      </c>
      <c r="N31" s="115">
        <v>0.01</v>
      </c>
      <c r="O31" s="115"/>
    </row>
    <row r="32" spans="1:15" s="12" customFormat="1" x14ac:dyDescent="0.3">
      <c r="A32" s="113">
        <v>3</v>
      </c>
      <c r="B32" s="113">
        <v>10</v>
      </c>
      <c r="C32" s="113">
        <v>28</v>
      </c>
      <c r="D32" s="113">
        <v>292</v>
      </c>
      <c r="E32" s="113">
        <v>0</v>
      </c>
      <c r="F32" s="113">
        <v>1</v>
      </c>
      <c r="G32" s="114">
        <v>0</v>
      </c>
      <c r="H32" s="115">
        <v>0</v>
      </c>
      <c r="I32" s="115">
        <v>0</v>
      </c>
      <c r="J32" s="115">
        <v>0</v>
      </c>
      <c r="K32" s="115">
        <v>0</v>
      </c>
      <c r="L32" s="115">
        <v>0</v>
      </c>
      <c r="M32" s="115">
        <v>0</v>
      </c>
      <c r="N32" s="115">
        <v>1.1499999999999999</v>
      </c>
      <c r="O32" s="115"/>
    </row>
    <row r="33" spans="1:15" s="12" customFormat="1" x14ac:dyDescent="0.3">
      <c r="A33" s="113">
        <v>3</v>
      </c>
      <c r="B33" s="113">
        <v>10</v>
      </c>
      <c r="C33" s="113">
        <v>30</v>
      </c>
      <c r="D33" s="113">
        <v>451</v>
      </c>
      <c r="E33" s="113">
        <v>0</v>
      </c>
      <c r="F33" s="113">
        <v>1</v>
      </c>
      <c r="G33" s="114">
        <v>0</v>
      </c>
      <c r="H33" s="115">
        <v>0</v>
      </c>
      <c r="I33" s="115">
        <v>0</v>
      </c>
      <c r="J33" s="115">
        <v>0</v>
      </c>
      <c r="K33" s="115">
        <v>0</v>
      </c>
      <c r="L33" s="115">
        <v>0</v>
      </c>
      <c r="M33" s="115">
        <v>0</v>
      </c>
      <c r="N33" s="115">
        <v>0</v>
      </c>
      <c r="O33" s="115"/>
    </row>
    <row r="34" spans="1:15" s="12" customFormat="1" x14ac:dyDescent="0.3">
      <c r="A34" s="113">
        <v>4</v>
      </c>
      <c r="B34" s="113">
        <v>4</v>
      </c>
      <c r="C34" s="113">
        <v>19</v>
      </c>
      <c r="D34" s="113">
        <v>261</v>
      </c>
      <c r="E34" s="113">
        <v>0</v>
      </c>
      <c r="F34" s="113">
        <v>2</v>
      </c>
      <c r="G34" s="114">
        <v>47</v>
      </c>
      <c r="H34" s="115">
        <v>513</v>
      </c>
      <c r="I34" s="115">
        <v>0</v>
      </c>
      <c r="J34" s="115">
        <v>0</v>
      </c>
      <c r="K34" s="115">
        <v>0</v>
      </c>
      <c r="L34" s="115">
        <v>0</v>
      </c>
      <c r="M34" s="115">
        <v>0</v>
      </c>
      <c r="N34" s="115">
        <v>0</v>
      </c>
      <c r="O34" s="115"/>
    </row>
    <row r="35" spans="1:15" s="12" customFormat="1" x14ac:dyDescent="0.3">
      <c r="A35" s="113">
        <v>4</v>
      </c>
      <c r="B35" s="113">
        <v>4</v>
      </c>
      <c r="C35" s="113">
        <v>19</v>
      </c>
      <c r="D35" s="113">
        <v>261</v>
      </c>
      <c r="E35" s="113">
        <v>0</v>
      </c>
      <c r="F35" s="113">
        <v>2</v>
      </c>
      <c r="G35" s="114">
        <v>54</v>
      </c>
      <c r="H35" s="115">
        <v>57</v>
      </c>
      <c r="I35" s="115">
        <v>0</v>
      </c>
      <c r="J35" s="115">
        <v>0</v>
      </c>
      <c r="K35" s="115">
        <v>0</v>
      </c>
      <c r="L35" s="115">
        <v>0</v>
      </c>
      <c r="M35" s="115">
        <v>0</v>
      </c>
      <c r="N35" s="115">
        <v>0</v>
      </c>
      <c r="O35" s="115"/>
    </row>
    <row r="36" spans="1:15" s="12" customFormat="1" x14ac:dyDescent="0.3">
      <c r="A36" s="113">
        <v>4</v>
      </c>
      <c r="B36" s="113">
        <v>4</v>
      </c>
      <c r="C36" s="113">
        <v>19</v>
      </c>
      <c r="D36" s="113">
        <v>139</v>
      </c>
      <c r="E36" s="113">
        <v>21</v>
      </c>
      <c r="F36" s="113">
        <v>2</v>
      </c>
      <c r="G36" s="114">
        <v>0</v>
      </c>
      <c r="H36" s="115">
        <v>1750</v>
      </c>
      <c r="I36" s="115">
        <v>0</v>
      </c>
      <c r="J36" s="115">
        <v>0</v>
      </c>
      <c r="K36" s="115">
        <v>0</v>
      </c>
      <c r="L36" s="115">
        <v>8</v>
      </c>
      <c r="M36" s="115">
        <v>0</v>
      </c>
      <c r="N36" s="115">
        <v>0</v>
      </c>
      <c r="O36" s="115"/>
    </row>
    <row r="37" spans="1:15" s="12" customFormat="1" x14ac:dyDescent="0.3">
      <c r="A37" s="113">
        <v>4</v>
      </c>
      <c r="B37" s="113">
        <v>5</v>
      </c>
      <c r="C37" s="113">
        <v>19</v>
      </c>
      <c r="D37" s="113">
        <v>274</v>
      </c>
      <c r="E37" s="113">
        <v>0</v>
      </c>
      <c r="F37" s="113">
        <v>2</v>
      </c>
      <c r="G37" s="114">
        <v>3</v>
      </c>
      <c r="H37" s="115">
        <v>1.68</v>
      </c>
      <c r="I37" s="115">
        <v>0</v>
      </c>
      <c r="J37" s="115">
        <v>0</v>
      </c>
      <c r="K37" s="115">
        <v>0</v>
      </c>
      <c r="L37" s="115">
        <v>0</v>
      </c>
      <c r="M37" s="115">
        <v>0</v>
      </c>
      <c r="N37" s="115">
        <v>0</v>
      </c>
      <c r="O37" s="115"/>
    </row>
    <row r="38" spans="1:15" s="12" customFormat="1" x14ac:dyDescent="0.3">
      <c r="A38" s="113">
        <v>4</v>
      </c>
      <c r="B38" s="113">
        <v>5</v>
      </c>
      <c r="C38" s="113">
        <v>19</v>
      </c>
      <c r="D38" s="113">
        <v>274</v>
      </c>
      <c r="E38" s="113">
        <v>0</v>
      </c>
      <c r="F38" s="113">
        <v>2</v>
      </c>
      <c r="G38" s="114">
        <v>204</v>
      </c>
      <c r="H38" s="115">
        <v>1.68</v>
      </c>
      <c r="I38" s="115">
        <v>0</v>
      </c>
      <c r="J38" s="115">
        <v>0</v>
      </c>
      <c r="K38" s="115">
        <v>0</v>
      </c>
      <c r="L38" s="115">
        <v>0</v>
      </c>
      <c r="M38" s="115">
        <v>0</v>
      </c>
      <c r="N38" s="115">
        <v>0</v>
      </c>
      <c r="O38" s="115"/>
    </row>
    <row r="39" spans="1:15" s="12" customFormat="1" x14ac:dyDescent="0.3">
      <c r="A39" s="113">
        <v>4</v>
      </c>
      <c r="B39" s="113">
        <v>7</v>
      </c>
      <c r="C39" s="113">
        <v>1</v>
      </c>
      <c r="D39" s="113">
        <v>265</v>
      </c>
      <c r="E39" s="113">
        <v>0</v>
      </c>
      <c r="F39" s="113">
        <v>2</v>
      </c>
      <c r="G39" s="114">
        <v>47</v>
      </c>
      <c r="H39" s="115">
        <v>110</v>
      </c>
      <c r="I39" s="115">
        <v>0</v>
      </c>
      <c r="J39" s="115">
        <v>0</v>
      </c>
      <c r="K39" s="115">
        <v>0</v>
      </c>
      <c r="L39" s="115">
        <v>0</v>
      </c>
      <c r="M39" s="115">
        <v>0</v>
      </c>
      <c r="N39" s="115">
        <v>0</v>
      </c>
      <c r="O39" s="115"/>
    </row>
    <row r="40" spans="1:15" s="12" customFormat="1" x14ac:dyDescent="0.3">
      <c r="A40" s="113">
        <v>4</v>
      </c>
      <c r="B40" s="113">
        <v>11</v>
      </c>
      <c r="C40" s="113">
        <v>1</v>
      </c>
      <c r="D40" s="113">
        <v>295</v>
      </c>
      <c r="E40" s="113">
        <v>0</v>
      </c>
      <c r="F40" s="113">
        <v>2</v>
      </c>
      <c r="G40" s="114">
        <v>0</v>
      </c>
      <c r="H40" s="115">
        <v>0</v>
      </c>
      <c r="I40" s="115">
        <v>0</v>
      </c>
      <c r="J40" s="115">
        <v>0</v>
      </c>
      <c r="K40" s="115">
        <v>0</v>
      </c>
      <c r="L40" s="115">
        <v>0</v>
      </c>
      <c r="M40" s="115">
        <v>0</v>
      </c>
      <c r="N40" s="115">
        <v>1.1499999999999999</v>
      </c>
      <c r="O40" s="115"/>
    </row>
    <row r="41" spans="1:15" s="12" customFormat="1" x14ac:dyDescent="0.3">
      <c r="A41" s="113">
        <v>4</v>
      </c>
      <c r="B41" s="113">
        <v>11</v>
      </c>
      <c r="C41" s="113">
        <v>3</v>
      </c>
      <c r="D41" s="113">
        <v>451</v>
      </c>
      <c r="E41" s="113">
        <v>0</v>
      </c>
      <c r="F41" s="113">
        <v>2</v>
      </c>
      <c r="G41" s="114">
        <v>0</v>
      </c>
      <c r="H41" s="115">
        <v>0</v>
      </c>
      <c r="I41" s="115">
        <v>0</v>
      </c>
      <c r="J41" s="115">
        <v>0</v>
      </c>
      <c r="K41" s="115">
        <v>0</v>
      </c>
      <c r="L41" s="115">
        <v>0</v>
      </c>
      <c r="M41" s="115">
        <v>0</v>
      </c>
      <c r="N41" s="115">
        <v>0</v>
      </c>
      <c r="O41" s="115"/>
    </row>
    <row r="42" spans="1:15" s="12" customFormat="1" x14ac:dyDescent="0.3">
      <c r="A42" s="113">
        <v>5</v>
      </c>
      <c r="B42" s="113">
        <v>5</v>
      </c>
      <c r="C42" s="113">
        <v>26</v>
      </c>
      <c r="D42" s="113">
        <v>121</v>
      </c>
      <c r="E42" s="113">
        <v>21</v>
      </c>
      <c r="F42" s="113">
        <v>1</v>
      </c>
      <c r="G42" s="114">
        <v>0</v>
      </c>
      <c r="H42" s="115">
        <v>1000</v>
      </c>
      <c r="I42" s="115">
        <v>0</v>
      </c>
      <c r="J42" s="115">
        <v>0</v>
      </c>
      <c r="K42" s="115">
        <v>0</v>
      </c>
      <c r="L42" s="115">
        <v>30</v>
      </c>
      <c r="M42" s="115">
        <v>0</v>
      </c>
      <c r="N42" s="115">
        <v>0</v>
      </c>
      <c r="O42" s="115"/>
    </row>
    <row r="43" spans="1:15" s="12" customFormat="1" x14ac:dyDescent="0.3">
      <c r="A43" s="113">
        <v>5</v>
      </c>
      <c r="B43" s="113">
        <v>5</v>
      </c>
      <c r="C43" s="113">
        <v>30</v>
      </c>
      <c r="D43" s="113">
        <v>265</v>
      </c>
      <c r="E43" s="113">
        <v>0</v>
      </c>
      <c r="F43" s="113">
        <v>1</v>
      </c>
      <c r="G43" s="114">
        <v>73</v>
      </c>
      <c r="H43" s="115">
        <v>1.68</v>
      </c>
      <c r="I43" s="115">
        <v>0</v>
      </c>
      <c r="J43" s="115">
        <v>0</v>
      </c>
      <c r="K43" s="115">
        <v>0</v>
      </c>
      <c r="L43" s="115">
        <v>0</v>
      </c>
      <c r="M43" s="115">
        <v>0</v>
      </c>
      <c r="N43" s="115">
        <v>0</v>
      </c>
      <c r="O43" s="115"/>
    </row>
    <row r="44" spans="1:15" s="12" customFormat="1" x14ac:dyDescent="0.3">
      <c r="A44" s="113">
        <v>5</v>
      </c>
      <c r="B44" s="113">
        <v>5</v>
      </c>
      <c r="C44" s="113">
        <v>30</v>
      </c>
      <c r="D44" s="113">
        <v>274</v>
      </c>
      <c r="E44" s="113">
        <v>0</v>
      </c>
      <c r="F44" s="113">
        <v>1</v>
      </c>
      <c r="G44" s="114">
        <v>204</v>
      </c>
      <c r="H44" s="115">
        <v>0.6</v>
      </c>
      <c r="I44" s="115">
        <v>0</v>
      </c>
      <c r="J44" s="115">
        <v>0</v>
      </c>
      <c r="K44" s="115">
        <v>0</v>
      </c>
      <c r="L44" s="115">
        <v>0</v>
      </c>
      <c r="M44" s="115">
        <v>0</v>
      </c>
      <c r="N44" s="115">
        <v>0.01</v>
      </c>
      <c r="O44" s="115"/>
    </row>
    <row r="45" spans="1:15" s="12" customFormat="1" x14ac:dyDescent="0.3">
      <c r="A45" s="113">
        <v>5</v>
      </c>
      <c r="B45" s="113">
        <v>7</v>
      </c>
      <c r="C45" s="113">
        <v>14</v>
      </c>
      <c r="D45" s="113">
        <v>265</v>
      </c>
      <c r="E45" s="113">
        <v>0</v>
      </c>
      <c r="F45" s="113">
        <v>1</v>
      </c>
      <c r="G45" s="114">
        <v>73</v>
      </c>
      <c r="H45" s="115">
        <v>1.68</v>
      </c>
      <c r="I45" s="115">
        <v>0</v>
      </c>
      <c r="J45" s="115">
        <v>0</v>
      </c>
      <c r="K45" s="115">
        <v>0</v>
      </c>
      <c r="L45" s="115">
        <v>0</v>
      </c>
      <c r="M45" s="115">
        <v>0</v>
      </c>
      <c r="N45" s="115">
        <v>0</v>
      </c>
      <c r="O45" s="115"/>
    </row>
    <row r="46" spans="1:15" s="12" customFormat="1" x14ac:dyDescent="0.3">
      <c r="A46" s="113">
        <v>5</v>
      </c>
      <c r="B46" s="113">
        <v>7</v>
      </c>
      <c r="C46" s="113">
        <v>14</v>
      </c>
      <c r="D46" s="113">
        <v>274</v>
      </c>
      <c r="E46" s="113">
        <v>0</v>
      </c>
      <c r="F46" s="113">
        <v>1</v>
      </c>
      <c r="G46" s="114">
        <v>204</v>
      </c>
      <c r="H46" s="115">
        <v>0.4</v>
      </c>
      <c r="I46" s="115">
        <v>0</v>
      </c>
      <c r="J46" s="115">
        <v>0</v>
      </c>
      <c r="K46" s="115">
        <v>0</v>
      </c>
      <c r="L46" s="115">
        <v>0</v>
      </c>
      <c r="M46" s="115">
        <v>0</v>
      </c>
      <c r="N46" s="115">
        <v>0.01</v>
      </c>
      <c r="O46" s="115"/>
    </row>
    <row r="47" spans="1:15" s="12" customFormat="1" x14ac:dyDescent="0.3">
      <c r="A47" s="113">
        <v>5</v>
      </c>
      <c r="B47" s="113">
        <v>10</v>
      </c>
      <c r="C47" s="113">
        <v>28</v>
      </c>
      <c r="D47" s="113">
        <v>294</v>
      </c>
      <c r="E47" s="113">
        <v>0</v>
      </c>
      <c r="F47" s="113">
        <v>1</v>
      </c>
      <c r="G47" s="114">
        <v>0</v>
      </c>
      <c r="H47" s="115">
        <v>0</v>
      </c>
      <c r="I47" s="115">
        <v>0</v>
      </c>
      <c r="J47" s="115">
        <v>0</v>
      </c>
      <c r="K47" s="115">
        <v>0</v>
      </c>
      <c r="L47" s="115">
        <v>0</v>
      </c>
      <c r="M47" s="115">
        <v>0</v>
      </c>
      <c r="N47" s="115">
        <v>1.1499999999999999</v>
      </c>
      <c r="O47" s="115"/>
    </row>
    <row r="48" spans="1:15" s="12" customFormat="1" x14ac:dyDescent="0.3">
      <c r="A48" s="113">
        <v>5</v>
      </c>
      <c r="B48" s="113">
        <v>10</v>
      </c>
      <c r="C48" s="113">
        <v>30</v>
      </c>
      <c r="D48" s="113">
        <v>451</v>
      </c>
      <c r="E48" s="113">
        <v>0</v>
      </c>
      <c r="F48" s="113">
        <v>1</v>
      </c>
      <c r="G48" s="114">
        <v>0</v>
      </c>
      <c r="H48" s="115">
        <v>0</v>
      </c>
      <c r="I48" s="115">
        <v>0</v>
      </c>
      <c r="J48" s="115">
        <v>0</v>
      </c>
      <c r="K48" s="115">
        <v>0</v>
      </c>
      <c r="L48" s="115">
        <v>0</v>
      </c>
      <c r="M48" s="115">
        <v>0</v>
      </c>
      <c r="N48" s="115">
        <v>0</v>
      </c>
      <c r="O48" s="115"/>
    </row>
    <row r="49" spans="1:15" s="12" customFormat="1" x14ac:dyDescent="0.3">
      <c r="A49" s="113">
        <v>6</v>
      </c>
      <c r="B49" s="113">
        <v>4</v>
      </c>
      <c r="C49" s="113">
        <v>22</v>
      </c>
      <c r="D49" s="113">
        <v>261</v>
      </c>
      <c r="E49" s="113">
        <v>0</v>
      </c>
      <c r="F49" s="113">
        <v>2</v>
      </c>
      <c r="G49" s="114">
        <v>47</v>
      </c>
      <c r="H49" s="115">
        <v>500</v>
      </c>
      <c r="I49" s="115">
        <v>0</v>
      </c>
      <c r="J49" s="115">
        <v>0</v>
      </c>
      <c r="K49" s="115">
        <v>0</v>
      </c>
      <c r="L49" s="115">
        <v>0</v>
      </c>
      <c r="M49" s="115">
        <v>0</v>
      </c>
      <c r="N49" s="115">
        <v>0</v>
      </c>
      <c r="O49" s="115"/>
    </row>
    <row r="50" spans="1:15" s="12" customFormat="1" x14ac:dyDescent="0.3">
      <c r="A50" s="113">
        <v>6</v>
      </c>
      <c r="B50" s="113">
        <v>4</v>
      </c>
      <c r="C50" s="113">
        <v>22</v>
      </c>
      <c r="D50" s="113">
        <v>139</v>
      </c>
      <c r="E50" s="113">
        <v>21</v>
      </c>
      <c r="F50" s="113">
        <v>2</v>
      </c>
      <c r="G50" s="114">
        <v>0</v>
      </c>
      <c r="H50" s="115">
        <v>1750</v>
      </c>
      <c r="I50" s="115">
        <v>0</v>
      </c>
      <c r="J50" s="115">
        <v>0</v>
      </c>
      <c r="K50" s="115">
        <v>0</v>
      </c>
      <c r="L50" s="115">
        <v>8</v>
      </c>
      <c r="M50" s="115">
        <v>0</v>
      </c>
      <c r="N50" s="115">
        <v>0</v>
      </c>
      <c r="O50" s="115"/>
    </row>
    <row r="51" spans="1:15" s="12" customFormat="1" x14ac:dyDescent="0.3">
      <c r="A51" s="113">
        <v>6</v>
      </c>
      <c r="B51" s="113">
        <v>6</v>
      </c>
      <c r="C51" s="113">
        <v>5</v>
      </c>
      <c r="D51" s="113">
        <v>274</v>
      </c>
      <c r="E51" s="113">
        <v>0</v>
      </c>
      <c r="F51" s="113">
        <v>2</v>
      </c>
      <c r="G51" s="114">
        <v>204</v>
      </c>
      <c r="H51" s="115">
        <v>1.68</v>
      </c>
      <c r="I51" s="115">
        <v>0</v>
      </c>
      <c r="J51" s="115">
        <v>0</v>
      </c>
      <c r="K51" s="115">
        <v>0</v>
      </c>
      <c r="L51" s="115">
        <v>0</v>
      </c>
      <c r="M51" s="115">
        <v>0</v>
      </c>
      <c r="N51" s="115">
        <v>0</v>
      </c>
      <c r="O51" s="115"/>
    </row>
    <row r="52" spans="1:15" s="12" customFormat="1" x14ac:dyDescent="0.3">
      <c r="A52" s="113">
        <v>6</v>
      </c>
      <c r="B52" s="113">
        <v>12</v>
      </c>
      <c r="C52" s="113">
        <v>1</v>
      </c>
      <c r="D52" s="113">
        <v>295</v>
      </c>
      <c r="E52" s="113">
        <v>0</v>
      </c>
      <c r="F52" s="113">
        <v>2</v>
      </c>
      <c r="G52" s="114">
        <v>0</v>
      </c>
      <c r="H52" s="115">
        <v>0</v>
      </c>
      <c r="I52" s="115">
        <v>0</v>
      </c>
      <c r="J52" s="115">
        <v>0</v>
      </c>
      <c r="K52" s="115">
        <v>0</v>
      </c>
      <c r="L52" s="115">
        <v>0</v>
      </c>
      <c r="M52" s="115">
        <v>0</v>
      </c>
      <c r="N52" s="115">
        <v>1.1499999999999999</v>
      </c>
      <c r="O52" s="115"/>
    </row>
    <row r="53" spans="1:15" s="12" customFormat="1" x14ac:dyDescent="0.3">
      <c r="A53" s="113">
        <v>6</v>
      </c>
      <c r="B53" s="113">
        <v>12</v>
      </c>
      <c r="C53" s="113">
        <v>1</v>
      </c>
      <c r="D53" s="113">
        <v>451</v>
      </c>
      <c r="E53" s="113">
        <v>0</v>
      </c>
      <c r="F53" s="113">
        <v>2</v>
      </c>
      <c r="G53" s="114">
        <v>0</v>
      </c>
      <c r="H53" s="115">
        <v>0</v>
      </c>
      <c r="I53" s="115">
        <v>0</v>
      </c>
      <c r="J53" s="115">
        <v>0</v>
      </c>
      <c r="K53" s="115">
        <v>0</v>
      </c>
      <c r="L53" s="115">
        <v>0</v>
      </c>
      <c r="M53" s="115">
        <v>0</v>
      </c>
      <c r="N53" s="115">
        <v>0</v>
      </c>
      <c r="O53" s="115"/>
    </row>
    <row r="54" spans="1:15" s="12" customFormat="1" x14ac:dyDescent="0.3">
      <c r="A54" s="113">
        <v>7</v>
      </c>
      <c r="B54" s="113">
        <v>4</v>
      </c>
      <c r="C54" s="113">
        <v>5</v>
      </c>
      <c r="D54" s="113">
        <v>261</v>
      </c>
      <c r="E54" s="113">
        <v>21</v>
      </c>
      <c r="F54" s="113">
        <v>1</v>
      </c>
      <c r="G54" s="114">
        <v>55</v>
      </c>
      <c r="H54" s="115">
        <v>225</v>
      </c>
      <c r="I54" s="115">
        <v>0</v>
      </c>
      <c r="J54" s="115">
        <v>0</v>
      </c>
      <c r="K54" s="115">
        <v>0</v>
      </c>
      <c r="L54" s="115">
        <v>0</v>
      </c>
      <c r="M54" s="115">
        <v>0</v>
      </c>
      <c r="N54" s="115">
        <v>0</v>
      </c>
      <c r="O54" s="115"/>
    </row>
    <row r="55" spans="1:15" s="12" customFormat="1" x14ac:dyDescent="0.3">
      <c r="A55" s="113">
        <v>7</v>
      </c>
      <c r="B55" s="113">
        <v>4</v>
      </c>
      <c r="C55" s="113">
        <v>24</v>
      </c>
      <c r="D55" s="113">
        <v>121</v>
      </c>
      <c r="E55" s="113">
        <v>21</v>
      </c>
      <c r="F55" s="113">
        <v>1</v>
      </c>
      <c r="G55" s="114">
        <v>0</v>
      </c>
      <c r="H55" s="115">
        <v>1000</v>
      </c>
      <c r="I55" s="115">
        <v>0</v>
      </c>
      <c r="J55" s="115">
        <v>0</v>
      </c>
      <c r="K55" s="115">
        <v>0</v>
      </c>
      <c r="L55" s="115">
        <v>30</v>
      </c>
      <c r="M55" s="115">
        <v>0</v>
      </c>
      <c r="N55" s="115">
        <v>0</v>
      </c>
      <c r="O55" s="115"/>
    </row>
    <row r="56" spans="1:15" s="12" customFormat="1" x14ac:dyDescent="0.3">
      <c r="A56" s="113">
        <v>7</v>
      </c>
      <c r="B56" s="113">
        <v>6</v>
      </c>
      <c r="C56" s="113">
        <v>5</v>
      </c>
      <c r="D56" s="113">
        <v>274</v>
      </c>
      <c r="E56" s="113">
        <v>0</v>
      </c>
      <c r="F56" s="113">
        <v>1</v>
      </c>
      <c r="G56" s="114">
        <v>204</v>
      </c>
      <c r="H56" s="115">
        <v>12.9</v>
      </c>
      <c r="I56" s="115">
        <v>0</v>
      </c>
      <c r="J56" s="115">
        <v>0</v>
      </c>
      <c r="K56" s="115">
        <v>0</v>
      </c>
      <c r="L56" s="115">
        <v>0</v>
      </c>
      <c r="M56" s="115">
        <v>0</v>
      </c>
      <c r="N56" s="115">
        <v>0</v>
      </c>
      <c r="O56" s="115"/>
    </row>
    <row r="57" spans="1:15" s="12" customFormat="1" x14ac:dyDescent="0.3">
      <c r="A57" s="113">
        <v>7</v>
      </c>
      <c r="B57" s="113">
        <v>10</v>
      </c>
      <c r="C57" s="113">
        <v>14</v>
      </c>
      <c r="D57" s="113">
        <v>294</v>
      </c>
      <c r="E57" s="113">
        <v>0</v>
      </c>
      <c r="F57" s="113">
        <v>1</v>
      </c>
      <c r="G57" s="114">
        <v>0</v>
      </c>
      <c r="H57" s="115">
        <v>0</v>
      </c>
      <c r="I57" s="115">
        <v>0</v>
      </c>
      <c r="J57" s="115">
        <v>0</v>
      </c>
      <c r="K57" s="115">
        <v>0</v>
      </c>
      <c r="L57" s="115">
        <v>0</v>
      </c>
      <c r="M57" s="115">
        <v>0</v>
      </c>
      <c r="N57" s="115">
        <v>1.1499999999999999</v>
      </c>
      <c r="O57" s="115"/>
    </row>
    <row r="58" spans="1:15" s="12" customFormat="1" x14ac:dyDescent="0.3">
      <c r="A58" s="113">
        <v>7</v>
      </c>
      <c r="B58" s="113">
        <v>10</v>
      </c>
      <c r="C58" s="113">
        <v>15</v>
      </c>
      <c r="D58" s="113">
        <v>294</v>
      </c>
      <c r="E58" s="113">
        <v>0</v>
      </c>
      <c r="F58" s="113">
        <v>1</v>
      </c>
      <c r="G58" s="114">
        <v>0</v>
      </c>
      <c r="H58" s="115">
        <v>0</v>
      </c>
      <c r="I58" s="115">
        <v>0</v>
      </c>
      <c r="J58" s="115">
        <v>0</v>
      </c>
      <c r="K58" s="115">
        <v>0</v>
      </c>
      <c r="L58" s="115">
        <v>0</v>
      </c>
      <c r="M58" s="115">
        <v>0</v>
      </c>
      <c r="N58" s="115">
        <v>1.1499999999999999</v>
      </c>
      <c r="O58" s="115"/>
    </row>
    <row r="59" spans="1:15" s="12" customFormat="1" x14ac:dyDescent="0.3">
      <c r="A59" s="113">
        <v>7</v>
      </c>
      <c r="B59" s="113">
        <v>10</v>
      </c>
      <c r="C59" s="113">
        <v>16</v>
      </c>
      <c r="D59" s="113">
        <v>451</v>
      </c>
      <c r="E59" s="113">
        <v>0</v>
      </c>
      <c r="F59" s="113">
        <v>1</v>
      </c>
      <c r="G59" s="114">
        <v>0</v>
      </c>
      <c r="H59" s="115">
        <v>0</v>
      </c>
      <c r="I59" s="115">
        <v>0</v>
      </c>
      <c r="J59" s="115">
        <v>0</v>
      </c>
      <c r="K59" s="115">
        <v>0</v>
      </c>
      <c r="L59" s="115">
        <v>0</v>
      </c>
      <c r="M59" s="115">
        <v>0</v>
      </c>
      <c r="N59" s="115">
        <v>0</v>
      </c>
      <c r="O59" s="115"/>
    </row>
    <row r="60" spans="1:15" s="12" customFormat="1" x14ac:dyDescent="0.3">
      <c r="A60" s="113">
        <v>7</v>
      </c>
      <c r="B60" s="113">
        <v>11</v>
      </c>
      <c r="C60" s="113">
        <v>15</v>
      </c>
      <c r="D60" s="113">
        <v>274</v>
      </c>
      <c r="E60" s="113">
        <v>0</v>
      </c>
      <c r="F60" s="113">
        <v>1</v>
      </c>
      <c r="G60" s="114">
        <v>204</v>
      </c>
      <c r="H60" s="115">
        <v>36</v>
      </c>
      <c r="I60" s="115">
        <v>0</v>
      </c>
      <c r="J60" s="115">
        <v>0</v>
      </c>
      <c r="K60" s="115">
        <v>0</v>
      </c>
      <c r="L60" s="115">
        <v>0</v>
      </c>
      <c r="M60" s="115">
        <v>0</v>
      </c>
      <c r="N60" s="115">
        <v>0</v>
      </c>
      <c r="O60" s="115"/>
    </row>
    <row r="61" spans="1:15" s="12" customFormat="1" x14ac:dyDescent="0.3">
      <c r="A61" s="113">
        <v>8</v>
      </c>
      <c r="B61" s="113">
        <v>1</v>
      </c>
      <c r="C61" s="113">
        <v>31</v>
      </c>
      <c r="D61" s="113">
        <v>261</v>
      </c>
      <c r="E61" s="113">
        <v>0</v>
      </c>
      <c r="F61" s="113">
        <v>2</v>
      </c>
      <c r="G61" s="114">
        <v>55</v>
      </c>
      <c r="H61" s="115">
        <v>250</v>
      </c>
      <c r="I61" s="115">
        <v>0</v>
      </c>
      <c r="J61" s="115">
        <v>0</v>
      </c>
      <c r="K61" s="115">
        <v>0</v>
      </c>
      <c r="L61" s="115">
        <v>0</v>
      </c>
      <c r="M61" s="115">
        <v>0</v>
      </c>
      <c r="N61" s="115">
        <v>0</v>
      </c>
      <c r="O61" s="115"/>
    </row>
    <row r="62" spans="1:15" s="12" customFormat="1" x14ac:dyDescent="0.3">
      <c r="A62" s="113">
        <v>8</v>
      </c>
      <c r="B62" s="113">
        <v>3</v>
      </c>
      <c r="C62" s="113">
        <v>1</v>
      </c>
      <c r="D62" s="113">
        <v>266</v>
      </c>
      <c r="E62" s="113">
        <v>21</v>
      </c>
      <c r="F62" s="113">
        <v>2</v>
      </c>
      <c r="G62" s="114">
        <v>1</v>
      </c>
      <c r="H62" s="115">
        <v>4000</v>
      </c>
      <c r="I62" s="115">
        <v>0</v>
      </c>
      <c r="J62" s="115">
        <v>0</v>
      </c>
      <c r="K62" s="115">
        <v>0</v>
      </c>
      <c r="L62" s="115">
        <v>0</v>
      </c>
      <c r="M62" s="115">
        <v>0</v>
      </c>
      <c r="N62" s="115">
        <v>0.01</v>
      </c>
      <c r="O62" s="115"/>
    </row>
    <row r="63" spans="1:15" s="12" customFormat="1" x14ac:dyDescent="0.3">
      <c r="A63" s="113">
        <v>8</v>
      </c>
      <c r="B63" s="113">
        <v>5</v>
      </c>
      <c r="C63" s="113">
        <v>1</v>
      </c>
      <c r="D63" s="113">
        <v>139</v>
      </c>
      <c r="E63" s="113">
        <v>21</v>
      </c>
      <c r="F63" s="113">
        <v>2</v>
      </c>
      <c r="G63" s="114">
        <v>0</v>
      </c>
      <c r="H63" s="115">
        <v>1750</v>
      </c>
      <c r="I63" s="115">
        <v>0</v>
      </c>
      <c r="J63" s="115">
        <v>0</v>
      </c>
      <c r="K63" s="115">
        <v>0</v>
      </c>
      <c r="L63" s="115">
        <v>8</v>
      </c>
      <c r="M63" s="115">
        <v>0</v>
      </c>
      <c r="N63" s="115">
        <v>0</v>
      </c>
      <c r="O63" s="115"/>
    </row>
    <row r="64" spans="1:15" s="12" customFormat="1" x14ac:dyDescent="0.3">
      <c r="A64" s="113">
        <v>8</v>
      </c>
      <c r="B64" s="113">
        <v>5</v>
      </c>
      <c r="C64" s="113">
        <v>1</v>
      </c>
      <c r="D64" s="113">
        <v>261</v>
      </c>
      <c r="E64" s="113">
        <v>0</v>
      </c>
      <c r="F64" s="113">
        <v>2</v>
      </c>
      <c r="G64" s="114">
        <v>47</v>
      </c>
      <c r="H64" s="115">
        <v>500</v>
      </c>
      <c r="I64" s="115">
        <v>0</v>
      </c>
      <c r="J64" s="115">
        <v>0</v>
      </c>
      <c r="K64" s="115">
        <v>0</v>
      </c>
      <c r="L64" s="115">
        <v>0</v>
      </c>
      <c r="M64" s="115">
        <v>0</v>
      </c>
      <c r="N64" s="115">
        <v>0</v>
      </c>
      <c r="O64" s="115"/>
    </row>
    <row r="65" spans="1:15" s="12" customFormat="1" x14ac:dyDescent="0.3">
      <c r="A65" s="113">
        <v>8</v>
      </c>
      <c r="B65" s="113">
        <v>5</v>
      </c>
      <c r="C65" s="113">
        <v>1</v>
      </c>
      <c r="D65" s="113">
        <v>261</v>
      </c>
      <c r="E65" s="113">
        <v>0</v>
      </c>
      <c r="F65" s="113">
        <v>2</v>
      </c>
      <c r="G65" s="114">
        <v>42</v>
      </c>
      <c r="H65" s="115">
        <v>2.4</v>
      </c>
      <c r="I65" s="115">
        <v>0</v>
      </c>
      <c r="J65" s="115">
        <v>0</v>
      </c>
      <c r="K65" s="115">
        <v>0</v>
      </c>
      <c r="L65" s="115">
        <v>0</v>
      </c>
      <c r="M65" s="115">
        <v>0</v>
      </c>
      <c r="N65" s="115">
        <v>0</v>
      </c>
      <c r="O65" s="115"/>
    </row>
    <row r="66" spans="1:15" s="12" customFormat="1" x14ac:dyDescent="0.3">
      <c r="A66" s="113">
        <v>8</v>
      </c>
      <c r="B66" s="113">
        <v>6</v>
      </c>
      <c r="C66" s="113">
        <v>5</v>
      </c>
      <c r="D66" s="113">
        <v>274</v>
      </c>
      <c r="E66" s="113">
        <v>0</v>
      </c>
      <c r="F66" s="113">
        <v>2</v>
      </c>
      <c r="G66" s="114">
        <v>3</v>
      </c>
      <c r="H66" s="115">
        <v>1.68</v>
      </c>
      <c r="I66" s="115">
        <v>0</v>
      </c>
      <c r="J66" s="115">
        <v>0</v>
      </c>
      <c r="K66" s="115">
        <v>0</v>
      </c>
      <c r="L66" s="115">
        <v>0</v>
      </c>
      <c r="M66" s="115">
        <v>0</v>
      </c>
      <c r="N66" s="115">
        <v>0</v>
      </c>
      <c r="O66" s="115"/>
    </row>
    <row r="67" spans="1:15" s="12" customFormat="1" x14ac:dyDescent="0.3">
      <c r="A67" s="113">
        <v>8</v>
      </c>
      <c r="B67" s="113">
        <v>10</v>
      </c>
      <c r="C67" s="113">
        <v>31</v>
      </c>
      <c r="D67" s="113">
        <v>295</v>
      </c>
      <c r="E67" s="113">
        <v>0</v>
      </c>
      <c r="F67" s="113">
        <v>2</v>
      </c>
      <c r="G67" s="114">
        <v>0</v>
      </c>
      <c r="H67" s="115">
        <v>0</v>
      </c>
      <c r="I67" s="115">
        <v>0</v>
      </c>
      <c r="J67" s="115">
        <v>0</v>
      </c>
      <c r="K67" s="115">
        <v>0</v>
      </c>
      <c r="L67" s="115">
        <v>0</v>
      </c>
      <c r="M67" s="115">
        <v>0</v>
      </c>
      <c r="N67" s="115">
        <v>1.1499999999999999</v>
      </c>
      <c r="O67" s="115"/>
    </row>
    <row r="68" spans="1:15" s="12" customFormat="1" x14ac:dyDescent="0.3">
      <c r="A68" s="113">
        <v>8</v>
      </c>
      <c r="B68" s="113">
        <v>10</v>
      </c>
      <c r="C68" s="113">
        <v>31</v>
      </c>
      <c r="D68" s="113">
        <v>451</v>
      </c>
      <c r="E68" s="113">
        <v>0</v>
      </c>
      <c r="F68" s="113">
        <v>2</v>
      </c>
      <c r="G68" s="114">
        <v>0</v>
      </c>
      <c r="H68" s="115">
        <v>0</v>
      </c>
      <c r="I68" s="115">
        <v>0</v>
      </c>
      <c r="J68" s="115">
        <v>0</v>
      </c>
      <c r="K68" s="115">
        <v>0</v>
      </c>
      <c r="L68" s="115">
        <v>0</v>
      </c>
      <c r="M68" s="115">
        <v>0</v>
      </c>
      <c r="N68" s="115">
        <v>0</v>
      </c>
      <c r="O68" s="115"/>
    </row>
    <row r="69" spans="1:15" s="12" customFormat="1" x14ac:dyDescent="0.3">
      <c r="A69" s="113">
        <v>9</v>
      </c>
      <c r="B69" s="113">
        <v>4</v>
      </c>
      <c r="C69" s="113">
        <v>15</v>
      </c>
      <c r="D69" s="113">
        <v>274</v>
      </c>
      <c r="E69" s="113">
        <v>0</v>
      </c>
      <c r="F69" s="113">
        <v>1</v>
      </c>
      <c r="G69" s="114">
        <v>204</v>
      </c>
      <c r="H69" s="115">
        <v>0.1</v>
      </c>
      <c r="I69" s="115">
        <v>0</v>
      </c>
      <c r="J69" s="115">
        <v>0</v>
      </c>
      <c r="K69" s="115">
        <v>0</v>
      </c>
      <c r="L69" s="115">
        <v>0</v>
      </c>
      <c r="M69" s="115">
        <v>0</v>
      </c>
      <c r="N69" s="115">
        <v>0</v>
      </c>
      <c r="O69" s="115"/>
    </row>
    <row r="70" spans="1:15" s="12" customFormat="1" x14ac:dyDescent="0.3">
      <c r="A70" s="113">
        <v>9</v>
      </c>
      <c r="B70" s="113">
        <v>5</v>
      </c>
      <c r="C70" s="113">
        <v>10</v>
      </c>
      <c r="D70" s="113">
        <v>132</v>
      </c>
      <c r="E70" s="113">
        <v>21</v>
      </c>
      <c r="F70" s="113">
        <v>1</v>
      </c>
      <c r="G70" s="114">
        <v>0</v>
      </c>
      <c r="H70" s="115">
        <v>1000</v>
      </c>
      <c r="I70" s="115">
        <v>0</v>
      </c>
      <c r="J70" s="115">
        <v>0</v>
      </c>
      <c r="K70" s="115">
        <v>0</v>
      </c>
      <c r="L70" s="115">
        <v>30</v>
      </c>
      <c r="M70" s="115">
        <v>0</v>
      </c>
      <c r="N70" s="115">
        <v>0</v>
      </c>
      <c r="O70" s="115"/>
    </row>
    <row r="71" spans="1:15" s="12" customFormat="1" x14ac:dyDescent="0.3">
      <c r="A71" s="113">
        <v>9</v>
      </c>
      <c r="B71" s="113">
        <v>6</v>
      </c>
      <c r="C71" s="113">
        <v>27</v>
      </c>
      <c r="D71" s="113">
        <v>274</v>
      </c>
      <c r="E71" s="113">
        <v>0</v>
      </c>
      <c r="F71" s="113">
        <v>1</v>
      </c>
      <c r="G71" s="114">
        <v>204</v>
      </c>
      <c r="H71" s="115">
        <v>1.5</v>
      </c>
      <c r="I71" s="115">
        <v>0</v>
      </c>
      <c r="J71" s="115">
        <v>0</v>
      </c>
      <c r="K71" s="115">
        <v>0</v>
      </c>
      <c r="L71" s="115">
        <v>0</v>
      </c>
      <c r="M71" s="115">
        <v>0</v>
      </c>
      <c r="N71" s="115">
        <v>0</v>
      </c>
      <c r="O71" s="115"/>
    </row>
    <row r="72" spans="1:15" s="12" customFormat="1" x14ac:dyDescent="0.3">
      <c r="A72" s="113">
        <v>9</v>
      </c>
      <c r="B72" s="113">
        <v>10</v>
      </c>
      <c r="C72" s="113">
        <v>28</v>
      </c>
      <c r="D72" s="113">
        <v>294</v>
      </c>
      <c r="E72" s="113">
        <v>0</v>
      </c>
      <c r="F72" s="113">
        <v>1</v>
      </c>
      <c r="G72" s="114">
        <v>0</v>
      </c>
      <c r="H72" s="115">
        <v>0</v>
      </c>
      <c r="I72" s="115">
        <v>0</v>
      </c>
      <c r="J72" s="115">
        <v>0</v>
      </c>
      <c r="K72" s="115">
        <v>0</v>
      </c>
      <c r="L72" s="115">
        <v>0</v>
      </c>
      <c r="M72" s="115">
        <v>0</v>
      </c>
      <c r="N72" s="115">
        <v>1.1499999999999999</v>
      </c>
      <c r="O72" s="115"/>
    </row>
    <row r="73" spans="1:15" s="12" customFormat="1" x14ac:dyDescent="0.3">
      <c r="A73" s="113">
        <v>9</v>
      </c>
      <c r="B73" s="113">
        <v>10</v>
      </c>
      <c r="C73" s="113">
        <v>29</v>
      </c>
      <c r="D73" s="113">
        <v>451</v>
      </c>
      <c r="E73" s="113">
        <v>0</v>
      </c>
      <c r="F73" s="113">
        <v>1</v>
      </c>
      <c r="G73" s="114">
        <v>0</v>
      </c>
      <c r="H73" s="115">
        <v>0</v>
      </c>
      <c r="I73" s="115">
        <v>0</v>
      </c>
      <c r="J73" s="115">
        <v>0</v>
      </c>
      <c r="K73" s="115">
        <v>0</v>
      </c>
      <c r="L73" s="115">
        <v>0</v>
      </c>
      <c r="M73" s="115">
        <v>0</v>
      </c>
      <c r="N73" s="115">
        <v>0</v>
      </c>
      <c r="O73" s="115"/>
    </row>
    <row r="74" spans="1:15" s="12" customFormat="1" x14ac:dyDescent="0.3">
      <c r="A74" s="113">
        <v>10</v>
      </c>
      <c r="B74" s="113">
        <v>2</v>
      </c>
      <c r="C74" s="113">
        <v>15</v>
      </c>
      <c r="D74" s="113">
        <v>266</v>
      </c>
      <c r="E74" s="113">
        <v>21</v>
      </c>
      <c r="F74" s="113">
        <v>2</v>
      </c>
      <c r="G74" s="114">
        <v>1</v>
      </c>
      <c r="H74" s="115">
        <v>4000</v>
      </c>
      <c r="I74" s="115">
        <v>0</v>
      </c>
      <c r="J74" s="115">
        <v>0</v>
      </c>
      <c r="K74" s="115">
        <v>0</v>
      </c>
      <c r="L74" s="115">
        <v>0</v>
      </c>
      <c r="M74" s="115">
        <v>0</v>
      </c>
      <c r="N74" s="115">
        <v>0</v>
      </c>
      <c r="O74" s="115"/>
    </row>
    <row r="75" spans="1:15" s="12" customFormat="1" x14ac:dyDescent="0.3">
      <c r="A75" s="113">
        <v>10</v>
      </c>
      <c r="B75" s="113">
        <v>4</v>
      </c>
      <c r="C75" s="113">
        <v>11</v>
      </c>
      <c r="D75" s="113">
        <v>261</v>
      </c>
      <c r="E75" s="113">
        <v>21</v>
      </c>
      <c r="F75" s="113">
        <v>2</v>
      </c>
      <c r="G75" s="114">
        <v>55</v>
      </c>
      <c r="H75" s="115">
        <v>225</v>
      </c>
      <c r="I75" s="115">
        <v>0</v>
      </c>
      <c r="J75" s="115">
        <v>0</v>
      </c>
      <c r="K75" s="115">
        <v>0</v>
      </c>
      <c r="L75" s="115">
        <v>0</v>
      </c>
      <c r="M75" s="115">
        <v>0</v>
      </c>
      <c r="N75" s="115">
        <v>0.01</v>
      </c>
      <c r="O75" s="115"/>
    </row>
    <row r="76" spans="1:15" s="12" customFormat="1" x14ac:dyDescent="0.3">
      <c r="A76" s="113">
        <v>10</v>
      </c>
      <c r="B76" s="113">
        <v>4</v>
      </c>
      <c r="C76" s="113">
        <v>19</v>
      </c>
      <c r="D76" s="113">
        <v>261</v>
      </c>
      <c r="E76" s="113">
        <v>0</v>
      </c>
      <c r="F76" s="113">
        <v>2</v>
      </c>
      <c r="G76" s="114">
        <v>47</v>
      </c>
      <c r="H76" s="115">
        <v>188</v>
      </c>
      <c r="I76" s="115">
        <v>0</v>
      </c>
      <c r="J76" s="115">
        <v>0</v>
      </c>
      <c r="K76" s="115">
        <v>0</v>
      </c>
      <c r="L76" s="115">
        <v>0</v>
      </c>
      <c r="M76" s="115">
        <v>0</v>
      </c>
      <c r="N76" s="115">
        <v>0</v>
      </c>
      <c r="O76" s="115"/>
    </row>
    <row r="77" spans="1:15" s="12" customFormat="1" x14ac:dyDescent="0.3">
      <c r="A77" s="113">
        <v>10</v>
      </c>
      <c r="B77" s="113">
        <v>4</v>
      </c>
      <c r="C77" s="113">
        <v>19</v>
      </c>
      <c r="D77" s="113">
        <v>139</v>
      </c>
      <c r="E77" s="113">
        <v>33</v>
      </c>
      <c r="F77" s="113">
        <v>2</v>
      </c>
      <c r="G77" s="114">
        <v>0</v>
      </c>
      <c r="H77" s="115">
        <v>1750</v>
      </c>
      <c r="I77" s="115">
        <v>0</v>
      </c>
      <c r="J77" s="115">
        <v>0</v>
      </c>
      <c r="K77" s="115">
        <v>0</v>
      </c>
      <c r="L77" s="115">
        <v>8</v>
      </c>
      <c r="M77" s="115">
        <v>0</v>
      </c>
      <c r="N77" s="115">
        <v>0</v>
      </c>
      <c r="O77" s="115"/>
    </row>
    <row r="78" spans="1:15" s="12" customFormat="1" x14ac:dyDescent="0.3">
      <c r="A78" s="113">
        <v>10</v>
      </c>
      <c r="B78" s="113">
        <v>5</v>
      </c>
      <c r="C78" s="113">
        <v>30</v>
      </c>
      <c r="D78" s="113">
        <v>261</v>
      </c>
      <c r="E78" s="113">
        <v>33</v>
      </c>
      <c r="F78" s="113">
        <v>2</v>
      </c>
      <c r="G78" s="114">
        <v>42</v>
      </c>
      <c r="H78" s="115">
        <v>2.12</v>
      </c>
      <c r="I78" s="115">
        <v>0</v>
      </c>
      <c r="J78" s="115">
        <v>0</v>
      </c>
      <c r="K78" s="115">
        <v>0</v>
      </c>
      <c r="L78" s="115">
        <v>0</v>
      </c>
      <c r="M78" s="115">
        <v>0</v>
      </c>
      <c r="N78" s="115">
        <v>0</v>
      </c>
      <c r="O78" s="115"/>
    </row>
    <row r="79" spans="1:15" s="12" customFormat="1" x14ac:dyDescent="0.3">
      <c r="A79" s="113">
        <v>10</v>
      </c>
      <c r="B79" s="113">
        <v>6</v>
      </c>
      <c r="C79" s="113">
        <v>18</v>
      </c>
      <c r="D79" s="113">
        <v>274</v>
      </c>
      <c r="E79" s="113">
        <v>33</v>
      </c>
      <c r="F79" s="113">
        <v>2</v>
      </c>
      <c r="G79" s="114">
        <v>3</v>
      </c>
      <c r="H79" s="115">
        <v>1.1299999999999999</v>
      </c>
      <c r="I79" s="115">
        <v>0</v>
      </c>
      <c r="J79" s="115">
        <v>0</v>
      </c>
      <c r="K79" s="115">
        <v>0</v>
      </c>
      <c r="L79" s="115">
        <v>0</v>
      </c>
      <c r="M79" s="115">
        <v>0</v>
      </c>
      <c r="N79" s="115">
        <v>0</v>
      </c>
      <c r="O79" s="115"/>
    </row>
    <row r="80" spans="1:15" s="12" customFormat="1" x14ac:dyDescent="0.3">
      <c r="A80" s="113">
        <v>10</v>
      </c>
      <c r="B80" s="113">
        <v>9</v>
      </c>
      <c r="C80" s="113">
        <v>28</v>
      </c>
      <c r="D80" s="113">
        <v>295</v>
      </c>
      <c r="E80" s="113">
        <v>0</v>
      </c>
      <c r="F80" s="113">
        <v>2</v>
      </c>
      <c r="G80" s="114">
        <v>0</v>
      </c>
      <c r="H80" s="115">
        <v>0</v>
      </c>
      <c r="I80" s="115">
        <v>0</v>
      </c>
      <c r="J80" s="115">
        <v>0</v>
      </c>
      <c r="K80" s="115">
        <v>0</v>
      </c>
      <c r="L80" s="115">
        <v>0</v>
      </c>
      <c r="M80" s="115">
        <v>0</v>
      </c>
      <c r="N80" s="115">
        <v>0</v>
      </c>
      <c r="O80" s="115"/>
    </row>
    <row r="81" spans="1:15" s="12" customFormat="1" x14ac:dyDescent="0.3">
      <c r="A81" s="113">
        <v>10</v>
      </c>
      <c r="B81" s="113">
        <v>9</v>
      </c>
      <c r="C81" s="113">
        <v>28</v>
      </c>
      <c r="D81" s="113">
        <v>451</v>
      </c>
      <c r="E81" s="113">
        <v>0</v>
      </c>
      <c r="F81" s="113">
        <v>2</v>
      </c>
      <c r="G81" s="114">
        <v>0</v>
      </c>
      <c r="H81" s="115">
        <v>0</v>
      </c>
      <c r="I81" s="115">
        <v>0</v>
      </c>
      <c r="J81" s="115">
        <v>0</v>
      </c>
      <c r="K81" s="115">
        <v>0</v>
      </c>
      <c r="L81" s="115">
        <v>0</v>
      </c>
      <c r="M81" s="115">
        <v>0</v>
      </c>
      <c r="N81" s="115">
        <v>0</v>
      </c>
      <c r="O81" s="115"/>
    </row>
    <row r="82" spans="1:15" s="12" customFormat="1" x14ac:dyDescent="0.3">
      <c r="A82" s="113">
        <v>10</v>
      </c>
      <c r="B82" s="113">
        <v>11</v>
      </c>
      <c r="C82" s="113">
        <v>20</v>
      </c>
      <c r="D82" s="113">
        <v>274</v>
      </c>
      <c r="E82" s="113">
        <v>0</v>
      </c>
      <c r="F82" s="113">
        <v>2</v>
      </c>
      <c r="G82" s="114">
        <v>204</v>
      </c>
      <c r="H82" s="115">
        <v>0.1</v>
      </c>
      <c r="I82" s="115">
        <v>0</v>
      </c>
      <c r="J82" s="115">
        <v>0</v>
      </c>
      <c r="K82" s="115">
        <v>0</v>
      </c>
      <c r="L82" s="115">
        <v>0</v>
      </c>
      <c r="M82" s="115">
        <v>0</v>
      </c>
      <c r="N82" s="115">
        <v>0</v>
      </c>
      <c r="O82" s="115"/>
    </row>
    <row r="83" spans="1:15" s="12" customFormat="1" x14ac:dyDescent="0.3">
      <c r="A83" s="113">
        <v>11</v>
      </c>
      <c r="B83" s="113">
        <v>6</v>
      </c>
      <c r="C83" s="113">
        <v>6</v>
      </c>
      <c r="D83" s="113">
        <v>132</v>
      </c>
      <c r="E83" s="113">
        <v>21</v>
      </c>
      <c r="F83" s="113">
        <v>1</v>
      </c>
      <c r="G83" s="114">
        <v>0</v>
      </c>
      <c r="H83" s="115">
        <v>1000</v>
      </c>
      <c r="I83" s="115">
        <v>0</v>
      </c>
      <c r="J83" s="115">
        <v>0</v>
      </c>
      <c r="K83" s="115">
        <v>0</v>
      </c>
      <c r="L83" s="115">
        <v>44</v>
      </c>
      <c r="M83" s="115">
        <v>0</v>
      </c>
      <c r="N83" s="115">
        <v>0</v>
      </c>
      <c r="O83" s="115"/>
    </row>
    <row r="84" spans="1:15" s="12" customFormat="1" x14ac:dyDescent="0.3">
      <c r="A84" s="113">
        <v>11</v>
      </c>
      <c r="B84" s="113">
        <v>6</v>
      </c>
      <c r="C84" s="113">
        <v>20</v>
      </c>
      <c r="D84" s="113">
        <v>265</v>
      </c>
      <c r="E84" s="113">
        <v>0</v>
      </c>
      <c r="F84" s="113">
        <v>1</v>
      </c>
      <c r="G84" s="114">
        <v>74</v>
      </c>
      <c r="H84" s="115">
        <v>225</v>
      </c>
      <c r="I84" s="115">
        <v>0</v>
      </c>
      <c r="J84" s="115">
        <v>0</v>
      </c>
      <c r="K84" s="115">
        <v>0</v>
      </c>
      <c r="L84" s="115">
        <v>0</v>
      </c>
      <c r="M84" s="115">
        <v>0</v>
      </c>
      <c r="N84" s="115">
        <v>0</v>
      </c>
      <c r="O84" s="115"/>
    </row>
    <row r="85" spans="1:15" s="12" customFormat="1" x14ac:dyDescent="0.3">
      <c r="A85" s="113">
        <v>11</v>
      </c>
      <c r="B85" s="113">
        <v>6</v>
      </c>
      <c r="C85" s="113">
        <v>22</v>
      </c>
      <c r="D85" s="113">
        <v>274</v>
      </c>
      <c r="E85" s="113">
        <v>21</v>
      </c>
      <c r="F85" s="113">
        <v>1</v>
      </c>
      <c r="G85" s="114">
        <v>204</v>
      </c>
      <c r="H85" s="115">
        <v>60</v>
      </c>
      <c r="I85" s="115">
        <v>0</v>
      </c>
      <c r="J85" s="115">
        <v>0</v>
      </c>
      <c r="K85" s="115">
        <v>0</v>
      </c>
      <c r="L85" s="115">
        <v>0</v>
      </c>
      <c r="M85" s="115">
        <v>0</v>
      </c>
      <c r="N85" s="115">
        <v>0</v>
      </c>
      <c r="O85" s="115"/>
    </row>
    <row r="86" spans="1:15" s="12" customFormat="1" x14ac:dyDescent="0.3">
      <c r="A86" s="113">
        <v>11</v>
      </c>
      <c r="B86" s="113">
        <v>10</v>
      </c>
      <c r="C86" s="113">
        <v>28</v>
      </c>
      <c r="D86" s="113">
        <v>294</v>
      </c>
      <c r="E86" s="113">
        <v>0</v>
      </c>
      <c r="F86" s="113">
        <v>1</v>
      </c>
      <c r="G86" s="114">
        <v>0</v>
      </c>
      <c r="H86" s="115">
        <v>0</v>
      </c>
      <c r="I86" s="115">
        <v>0</v>
      </c>
      <c r="J86" s="115">
        <v>0</v>
      </c>
      <c r="K86" s="115">
        <v>0</v>
      </c>
      <c r="L86" s="115">
        <v>0</v>
      </c>
      <c r="M86" s="115">
        <v>0</v>
      </c>
      <c r="N86" s="115">
        <v>0</v>
      </c>
      <c r="O86" s="115"/>
    </row>
    <row r="87" spans="1:15" s="12" customFormat="1" x14ac:dyDescent="0.3">
      <c r="A87" s="113">
        <v>11</v>
      </c>
      <c r="B87" s="113">
        <v>10</v>
      </c>
      <c r="C87" s="113">
        <v>28</v>
      </c>
      <c r="D87" s="113">
        <v>451</v>
      </c>
      <c r="E87" s="113">
        <v>0</v>
      </c>
      <c r="F87" s="113">
        <v>1</v>
      </c>
      <c r="G87" s="114">
        <v>0</v>
      </c>
      <c r="H87" s="115">
        <v>0</v>
      </c>
      <c r="I87" s="115">
        <v>0</v>
      </c>
      <c r="J87" s="115">
        <v>0</v>
      </c>
      <c r="K87" s="115">
        <v>0</v>
      </c>
      <c r="L87" s="115">
        <v>0</v>
      </c>
      <c r="M87" s="115">
        <v>0</v>
      </c>
      <c r="N87" s="115">
        <v>0</v>
      </c>
      <c r="O87" s="115"/>
    </row>
    <row r="88" spans="1:15" s="12" customFormat="1" x14ac:dyDescent="0.3">
      <c r="A88" s="113">
        <v>0</v>
      </c>
      <c r="B88" s="113">
        <v>0</v>
      </c>
      <c r="C88" s="113">
        <v>0</v>
      </c>
      <c r="D88" s="113">
        <v>0</v>
      </c>
      <c r="E88" s="113">
        <v>0</v>
      </c>
      <c r="F88" s="113">
        <v>0</v>
      </c>
      <c r="G88" s="114">
        <v>0</v>
      </c>
      <c r="H88" s="115">
        <v>0</v>
      </c>
      <c r="I88" s="115">
        <v>0</v>
      </c>
      <c r="J88" s="115">
        <v>0</v>
      </c>
      <c r="K88" s="115">
        <v>0</v>
      </c>
      <c r="L88" s="115">
        <v>0</v>
      </c>
      <c r="M88" s="115">
        <v>0</v>
      </c>
      <c r="N88" s="115">
        <v>0</v>
      </c>
      <c r="O88" s="115"/>
    </row>
    <row r="89" spans="1:15" s="12" customFormat="1" x14ac:dyDescent="0.3">
      <c r="A89" s="113"/>
      <c r="B89" s="113"/>
      <c r="C89" s="113"/>
      <c r="D89" s="113"/>
      <c r="E89" s="113"/>
      <c r="F89" s="113"/>
      <c r="G89" s="114"/>
      <c r="H89" s="115"/>
      <c r="I89" s="115"/>
      <c r="J89" s="115"/>
      <c r="K89" s="115"/>
      <c r="L89" s="115"/>
      <c r="M89" s="115"/>
      <c r="N89" s="115"/>
      <c r="O89" s="115"/>
    </row>
    <row r="90" spans="1:15" s="12" customFormat="1" x14ac:dyDescent="0.3">
      <c r="A90" s="113"/>
      <c r="B90" s="113"/>
      <c r="C90" s="113"/>
      <c r="D90" s="113"/>
      <c r="E90" s="113"/>
      <c r="F90" s="113"/>
      <c r="G90" s="114"/>
      <c r="H90" s="115"/>
      <c r="I90" s="115"/>
      <c r="J90" s="115"/>
      <c r="K90" s="115"/>
      <c r="L90" s="115"/>
      <c r="M90" s="115"/>
      <c r="N90" s="115"/>
      <c r="O90" s="115"/>
    </row>
    <row r="91" spans="1:15" s="12" customFormat="1" x14ac:dyDescent="0.3">
      <c r="A91" s="113"/>
      <c r="B91" s="113"/>
      <c r="C91" s="113"/>
      <c r="D91" s="113"/>
      <c r="E91" s="113"/>
      <c r="F91" s="113"/>
      <c r="G91" s="114"/>
      <c r="H91" s="115"/>
      <c r="I91" s="115"/>
      <c r="J91" s="115"/>
      <c r="K91" s="115"/>
      <c r="L91" s="115"/>
      <c r="M91" s="115"/>
      <c r="N91" s="115"/>
      <c r="O91" s="115"/>
    </row>
    <row r="92" spans="1:15" s="12" customFormat="1" x14ac:dyDescent="0.3">
      <c r="A92" s="113"/>
      <c r="B92" s="113"/>
      <c r="C92" s="113"/>
      <c r="D92" s="113"/>
      <c r="E92" s="113"/>
      <c r="F92" s="113"/>
      <c r="G92" s="114"/>
      <c r="H92" s="115"/>
      <c r="I92" s="115"/>
      <c r="J92" s="115"/>
      <c r="K92" s="115"/>
      <c r="L92" s="115"/>
      <c r="M92" s="115"/>
      <c r="N92" s="115"/>
      <c r="O92" s="115"/>
    </row>
    <row r="93" spans="1:15" s="12" customFormat="1" x14ac:dyDescent="0.3">
      <c r="A93" s="113"/>
      <c r="B93" s="113"/>
      <c r="C93" s="113"/>
      <c r="D93" s="113"/>
      <c r="E93" s="113"/>
      <c r="F93" s="113"/>
      <c r="G93" s="114"/>
      <c r="H93" s="115"/>
      <c r="I93" s="115"/>
      <c r="J93" s="115"/>
      <c r="K93" s="115"/>
      <c r="L93" s="115"/>
      <c r="M93" s="115"/>
      <c r="N93" s="115"/>
      <c r="O93" s="115"/>
    </row>
    <row r="94" spans="1:15" s="12" customFormat="1" x14ac:dyDescent="0.3">
      <c r="A94" s="113"/>
      <c r="B94" s="113"/>
      <c r="C94" s="113"/>
      <c r="D94" s="113"/>
      <c r="E94" s="113"/>
      <c r="F94" s="113"/>
      <c r="G94" s="114"/>
      <c r="H94" s="115"/>
      <c r="I94" s="115"/>
      <c r="J94" s="115"/>
      <c r="K94" s="115"/>
      <c r="L94" s="115"/>
      <c r="M94" s="115"/>
      <c r="N94" s="115"/>
      <c r="O94" s="115"/>
    </row>
    <row r="95" spans="1:15" s="12" customFormat="1" x14ac:dyDescent="0.3">
      <c r="A95" s="113"/>
      <c r="B95" s="113"/>
      <c r="C95" s="113"/>
      <c r="D95" s="113"/>
      <c r="E95" s="113"/>
      <c r="F95" s="113"/>
      <c r="G95" s="114"/>
      <c r="H95" s="115"/>
      <c r="I95" s="115"/>
      <c r="J95" s="115"/>
      <c r="K95" s="115"/>
      <c r="L95" s="115"/>
      <c r="M95" s="115"/>
      <c r="N95" s="115"/>
      <c r="O95" s="115"/>
    </row>
    <row r="96" spans="1:15" s="12" customFormat="1" x14ac:dyDescent="0.3">
      <c r="A96" s="113"/>
      <c r="B96" s="113"/>
      <c r="C96" s="113"/>
      <c r="D96" s="113"/>
      <c r="E96" s="113"/>
      <c r="F96" s="113"/>
      <c r="G96" s="114"/>
      <c r="H96" s="115"/>
      <c r="I96" s="115"/>
      <c r="J96" s="115"/>
      <c r="K96" s="115"/>
      <c r="L96" s="115"/>
      <c r="M96" s="115"/>
      <c r="N96" s="115"/>
      <c r="O96" s="115"/>
    </row>
    <row r="97" spans="1:15" s="12" customFormat="1" x14ac:dyDescent="0.3">
      <c r="A97" s="113"/>
      <c r="B97" s="113"/>
      <c r="C97" s="113"/>
      <c r="D97" s="113"/>
      <c r="E97" s="113"/>
      <c r="F97" s="113"/>
      <c r="G97" s="114"/>
      <c r="H97" s="115"/>
      <c r="I97" s="115"/>
      <c r="J97" s="115"/>
      <c r="K97" s="115"/>
      <c r="L97" s="115"/>
      <c r="M97" s="115"/>
      <c r="N97" s="115"/>
      <c r="O97" s="115"/>
    </row>
    <row r="98" spans="1:15" s="12" customFormat="1" x14ac:dyDescent="0.3">
      <c r="A98" s="113"/>
      <c r="B98" s="113"/>
      <c r="C98" s="113"/>
      <c r="D98" s="113"/>
      <c r="E98" s="113"/>
      <c r="F98" s="113"/>
      <c r="G98" s="114"/>
      <c r="H98" s="115"/>
      <c r="I98" s="115"/>
      <c r="J98" s="115"/>
      <c r="K98" s="115"/>
      <c r="L98" s="115"/>
      <c r="M98" s="115"/>
      <c r="N98" s="115"/>
      <c r="O98" s="115"/>
    </row>
    <row r="99" spans="1:15" s="12" customFormat="1" x14ac:dyDescent="0.3">
      <c r="A99" s="113"/>
      <c r="B99" s="113"/>
      <c r="C99" s="113"/>
      <c r="D99" s="113"/>
      <c r="E99" s="113"/>
      <c r="F99" s="113"/>
      <c r="G99" s="114"/>
      <c r="H99" s="115"/>
      <c r="I99" s="115"/>
      <c r="J99" s="115"/>
      <c r="K99" s="115"/>
      <c r="L99" s="115"/>
      <c r="M99" s="115"/>
      <c r="N99" s="115"/>
      <c r="O99" s="115"/>
    </row>
    <row r="100" spans="1:15" s="12" customFormat="1" x14ac:dyDescent="0.3">
      <c r="A100" s="113"/>
      <c r="B100" s="113"/>
      <c r="C100" s="113"/>
      <c r="D100" s="113"/>
      <c r="E100" s="113"/>
      <c r="F100" s="113"/>
      <c r="G100" s="114"/>
      <c r="H100" s="115"/>
      <c r="I100" s="115"/>
      <c r="J100" s="115"/>
      <c r="K100" s="115"/>
      <c r="L100" s="115"/>
      <c r="M100" s="115"/>
      <c r="N100" s="115"/>
      <c r="O100" s="115"/>
    </row>
    <row r="101" spans="1:15" s="12" customFormat="1" x14ac:dyDescent="0.3">
      <c r="A101" s="113"/>
      <c r="B101" s="113"/>
      <c r="C101" s="113"/>
      <c r="D101" s="113"/>
      <c r="E101" s="113"/>
      <c r="F101" s="113"/>
      <c r="G101" s="114"/>
      <c r="H101" s="115"/>
      <c r="I101" s="115"/>
      <c r="J101" s="115"/>
      <c r="K101" s="115"/>
      <c r="L101" s="115"/>
      <c r="M101" s="115"/>
      <c r="N101" s="115"/>
      <c r="O101" s="115"/>
    </row>
    <row r="102" spans="1:15" s="12" customFormat="1" x14ac:dyDescent="0.3">
      <c r="A102" s="113"/>
      <c r="B102" s="113"/>
      <c r="C102" s="113"/>
      <c r="D102" s="113"/>
      <c r="E102" s="113"/>
      <c r="F102" s="113"/>
      <c r="G102" s="114"/>
      <c r="H102" s="115"/>
      <c r="I102" s="115"/>
      <c r="J102" s="115"/>
      <c r="K102" s="115"/>
      <c r="L102" s="115"/>
      <c r="M102" s="115"/>
      <c r="N102" s="115"/>
      <c r="O102" s="115"/>
    </row>
    <row r="103" spans="1:15" s="12" customFormat="1" x14ac:dyDescent="0.3">
      <c r="A103" s="113"/>
      <c r="B103" s="113"/>
      <c r="C103" s="113"/>
      <c r="D103" s="113"/>
      <c r="E103" s="113"/>
      <c r="F103" s="113"/>
      <c r="G103" s="114"/>
      <c r="H103" s="115"/>
      <c r="I103" s="115"/>
      <c r="J103" s="115"/>
      <c r="K103" s="115"/>
      <c r="L103" s="115"/>
      <c r="M103" s="115"/>
      <c r="N103" s="115"/>
      <c r="O103" s="115"/>
    </row>
    <row r="104" spans="1:15" s="12" customFormat="1" x14ac:dyDescent="0.3">
      <c r="A104" s="113"/>
      <c r="B104" s="113"/>
      <c r="C104" s="113"/>
      <c r="D104" s="113"/>
      <c r="E104" s="113"/>
      <c r="F104" s="113"/>
      <c r="G104" s="114"/>
      <c r="H104" s="115"/>
      <c r="I104" s="115"/>
      <c r="J104" s="115"/>
      <c r="K104" s="115"/>
      <c r="L104" s="115"/>
      <c r="M104" s="115"/>
      <c r="N104" s="115"/>
      <c r="O104" s="115"/>
    </row>
    <row r="105" spans="1:15" s="12" customFormat="1" x14ac:dyDescent="0.3">
      <c r="A105" s="113"/>
      <c r="B105" s="113"/>
      <c r="C105" s="113"/>
      <c r="D105" s="113"/>
      <c r="E105" s="113"/>
      <c r="F105" s="113"/>
      <c r="G105" s="114"/>
      <c r="H105" s="115"/>
      <c r="I105" s="115"/>
      <c r="J105" s="115"/>
      <c r="K105" s="115"/>
      <c r="L105" s="115"/>
      <c r="M105" s="115"/>
      <c r="N105" s="115"/>
      <c r="O105" s="115"/>
    </row>
    <row r="106" spans="1:15" s="12" customFormat="1" x14ac:dyDescent="0.3">
      <c r="A106" s="113"/>
      <c r="B106" s="113"/>
      <c r="C106" s="113"/>
      <c r="D106" s="113"/>
      <c r="E106" s="113"/>
      <c r="F106" s="113"/>
      <c r="G106" s="114"/>
      <c r="H106" s="115"/>
      <c r="I106" s="115"/>
      <c r="J106" s="115"/>
      <c r="K106" s="115"/>
      <c r="L106" s="115"/>
      <c r="M106" s="115"/>
      <c r="N106" s="115"/>
      <c r="O106" s="115"/>
    </row>
    <row r="107" spans="1:15" s="12" customFormat="1" x14ac:dyDescent="0.3">
      <c r="A107" s="113"/>
      <c r="B107" s="113"/>
      <c r="C107" s="113"/>
      <c r="D107" s="113"/>
      <c r="E107" s="113"/>
      <c r="F107" s="113"/>
      <c r="G107" s="114"/>
      <c r="H107" s="115"/>
      <c r="I107" s="115"/>
      <c r="J107" s="115"/>
      <c r="K107" s="115"/>
      <c r="L107" s="115"/>
      <c r="M107" s="115"/>
      <c r="N107" s="115"/>
      <c r="O107" s="115"/>
    </row>
    <row r="108" spans="1:15" s="12" customFormat="1" x14ac:dyDescent="0.3">
      <c r="A108" s="113"/>
      <c r="B108" s="113"/>
      <c r="C108" s="113"/>
      <c r="D108" s="113"/>
      <c r="E108" s="113"/>
      <c r="F108" s="113"/>
      <c r="G108" s="114"/>
      <c r="H108" s="115"/>
      <c r="I108" s="115"/>
      <c r="J108" s="115"/>
      <c r="K108" s="115"/>
      <c r="L108" s="115"/>
      <c r="M108" s="115"/>
      <c r="N108" s="115"/>
      <c r="O108" s="115"/>
    </row>
    <row r="109" spans="1:15" s="12" customFormat="1" x14ac:dyDescent="0.3">
      <c r="A109" s="113"/>
      <c r="B109" s="113"/>
      <c r="C109" s="113"/>
      <c r="D109" s="113"/>
      <c r="E109" s="113"/>
      <c r="F109" s="113"/>
      <c r="G109" s="114"/>
      <c r="H109" s="115"/>
      <c r="I109" s="115"/>
      <c r="J109" s="115"/>
      <c r="K109" s="115"/>
      <c r="L109" s="115"/>
      <c r="M109" s="115"/>
      <c r="N109" s="115"/>
    </row>
    <row r="110" spans="1:15" s="12" customFormat="1" x14ac:dyDescent="0.3">
      <c r="A110" s="113"/>
      <c r="B110" s="113"/>
      <c r="C110" s="113"/>
      <c r="D110" s="113"/>
      <c r="E110" s="113"/>
      <c r="F110" s="113"/>
      <c r="G110" s="114"/>
      <c r="H110" s="115"/>
      <c r="I110" s="115"/>
      <c r="J110" s="115"/>
      <c r="K110" s="115"/>
      <c r="L110" s="115"/>
      <c r="M110" s="115"/>
      <c r="N110" s="115"/>
    </row>
    <row r="111" spans="1:15" s="12" customFormat="1" x14ac:dyDescent="0.3">
      <c r="A111" s="113"/>
      <c r="B111" s="113"/>
      <c r="C111" s="113"/>
      <c r="D111" s="113"/>
      <c r="E111" s="113"/>
      <c r="F111" s="113"/>
      <c r="G111" s="114"/>
      <c r="H111" s="115"/>
      <c r="I111" s="115"/>
      <c r="J111" s="115"/>
      <c r="K111" s="115"/>
      <c r="L111" s="115"/>
      <c r="M111" s="115"/>
      <c r="N111" s="115"/>
    </row>
    <row r="112" spans="1:15" s="12" customFormat="1" x14ac:dyDescent="0.3">
      <c r="A112" s="113"/>
      <c r="B112" s="113"/>
      <c r="C112" s="113"/>
      <c r="D112" s="113"/>
      <c r="E112" s="113"/>
      <c r="F112" s="113"/>
      <c r="G112" s="114"/>
      <c r="H112" s="115"/>
      <c r="I112" s="115"/>
      <c r="J112" s="115"/>
      <c r="K112" s="115"/>
      <c r="L112" s="115"/>
      <c r="M112" s="115"/>
      <c r="N112" s="115"/>
    </row>
    <row r="113" spans="1:14" s="12" customFormat="1" x14ac:dyDescent="0.3">
      <c r="A113" s="113"/>
      <c r="B113" s="113"/>
      <c r="C113" s="113"/>
      <c r="D113" s="113"/>
      <c r="E113" s="113"/>
      <c r="F113" s="113"/>
      <c r="G113" s="114"/>
      <c r="H113" s="115"/>
      <c r="I113" s="115"/>
      <c r="J113" s="115"/>
      <c r="K113" s="115"/>
      <c r="L113" s="115"/>
      <c r="M113" s="115"/>
      <c r="N113" s="115"/>
    </row>
    <row r="114" spans="1:14" s="12" customFormat="1" x14ac:dyDescent="0.3">
      <c r="A114" s="113"/>
      <c r="B114" s="113"/>
      <c r="C114" s="113"/>
      <c r="D114" s="113"/>
      <c r="E114" s="113"/>
      <c r="F114" s="113"/>
      <c r="G114" s="114"/>
      <c r="H114" s="115"/>
      <c r="I114" s="115"/>
      <c r="J114" s="115"/>
      <c r="K114" s="115"/>
      <c r="L114" s="115"/>
      <c r="M114" s="115"/>
      <c r="N114" s="115"/>
    </row>
    <row r="115" spans="1:14" s="12" customFormat="1" x14ac:dyDescent="0.3">
      <c r="A115" s="113"/>
      <c r="B115" s="113"/>
      <c r="C115" s="113"/>
      <c r="D115" s="113"/>
      <c r="E115" s="113"/>
      <c r="F115" s="113"/>
      <c r="G115" s="114"/>
      <c r="H115" s="115"/>
      <c r="I115" s="115"/>
      <c r="J115" s="115"/>
      <c r="K115" s="115"/>
      <c r="L115" s="115"/>
      <c r="M115" s="115"/>
      <c r="N115" s="115"/>
    </row>
    <row r="116" spans="1:14" s="12" customFormat="1" x14ac:dyDescent="0.3">
      <c r="A116" s="113"/>
      <c r="B116" s="113"/>
      <c r="C116" s="113"/>
      <c r="D116" s="113"/>
      <c r="E116" s="113"/>
      <c r="F116" s="113"/>
      <c r="G116" s="114"/>
      <c r="H116" s="115"/>
      <c r="I116" s="115"/>
      <c r="J116" s="115"/>
      <c r="K116" s="115"/>
      <c r="L116" s="115"/>
      <c r="M116" s="115"/>
      <c r="N116" s="115"/>
    </row>
    <row r="117" spans="1:14" s="12" customFormat="1" x14ac:dyDescent="0.3">
      <c r="A117" s="113"/>
      <c r="B117" s="113"/>
      <c r="C117" s="113"/>
      <c r="D117" s="113"/>
      <c r="E117" s="113"/>
      <c r="F117" s="113"/>
      <c r="G117" s="114"/>
      <c r="H117" s="115"/>
      <c r="I117" s="115"/>
      <c r="J117" s="115"/>
      <c r="K117" s="115"/>
      <c r="L117" s="115"/>
      <c r="M117" s="115"/>
      <c r="N117" s="115"/>
    </row>
    <row r="118" spans="1:14" s="12" customFormat="1" x14ac:dyDescent="0.3">
      <c r="A118" s="113"/>
      <c r="B118" s="113"/>
      <c r="C118" s="113"/>
      <c r="D118" s="113"/>
      <c r="E118" s="113"/>
      <c r="F118" s="113"/>
      <c r="G118" s="114"/>
      <c r="H118" s="115"/>
      <c r="I118" s="115"/>
      <c r="J118" s="115"/>
      <c r="K118" s="115"/>
      <c r="L118" s="115"/>
      <c r="M118" s="115"/>
      <c r="N118" s="115"/>
    </row>
    <row r="119" spans="1:14" s="12" customFormat="1" x14ac:dyDescent="0.3">
      <c r="A119" s="113"/>
      <c r="B119" s="113"/>
      <c r="C119" s="113"/>
      <c r="D119" s="113"/>
      <c r="E119" s="113"/>
      <c r="F119" s="113"/>
      <c r="G119" s="114"/>
      <c r="H119" s="115"/>
      <c r="I119" s="115"/>
      <c r="J119" s="115"/>
      <c r="K119" s="115"/>
      <c r="L119" s="115"/>
      <c r="M119" s="115"/>
      <c r="N119" s="115"/>
    </row>
    <row r="120" spans="1:14" s="12" customFormat="1" x14ac:dyDescent="0.3">
      <c r="A120" s="113"/>
      <c r="B120" s="113"/>
      <c r="C120" s="113"/>
      <c r="D120" s="113"/>
      <c r="E120" s="113"/>
      <c r="F120" s="113"/>
      <c r="G120" s="114"/>
      <c r="H120" s="115"/>
      <c r="I120" s="115"/>
      <c r="J120" s="115"/>
      <c r="K120" s="115"/>
      <c r="L120" s="115"/>
      <c r="M120" s="115"/>
      <c r="N120" s="115"/>
    </row>
    <row r="121" spans="1:14" s="12" customFormat="1" x14ac:dyDescent="0.3">
      <c r="A121" s="113"/>
      <c r="B121" s="113"/>
      <c r="C121" s="113"/>
      <c r="D121" s="113"/>
      <c r="E121" s="113"/>
      <c r="F121" s="113"/>
      <c r="G121" s="114"/>
      <c r="H121" s="115"/>
      <c r="I121" s="115"/>
      <c r="J121" s="115"/>
      <c r="K121" s="115"/>
      <c r="L121" s="115"/>
      <c r="M121" s="115"/>
      <c r="N121" s="115"/>
    </row>
    <row r="122" spans="1:14" s="12" customFormat="1" x14ac:dyDescent="0.3">
      <c r="A122" s="113"/>
      <c r="B122" s="113"/>
      <c r="C122" s="113"/>
      <c r="D122" s="113"/>
      <c r="E122" s="113"/>
      <c r="F122" s="113"/>
      <c r="G122" s="114"/>
      <c r="H122" s="115"/>
      <c r="I122" s="115"/>
      <c r="J122" s="115"/>
      <c r="K122" s="115"/>
      <c r="L122" s="115"/>
      <c r="M122" s="115"/>
      <c r="N122" s="115"/>
    </row>
    <row r="123" spans="1:14" s="12" customFormat="1" x14ac:dyDescent="0.3">
      <c r="A123" s="113"/>
      <c r="B123" s="113"/>
      <c r="C123" s="113"/>
      <c r="D123" s="113"/>
      <c r="E123" s="113"/>
      <c r="F123" s="113"/>
      <c r="G123" s="114"/>
      <c r="H123" s="115"/>
      <c r="I123" s="115"/>
      <c r="J123" s="115"/>
      <c r="K123" s="115"/>
      <c r="L123" s="115"/>
      <c r="M123" s="115"/>
      <c r="N123" s="115"/>
    </row>
    <row r="124" spans="1:14" s="12" customFormat="1" x14ac:dyDescent="0.3">
      <c r="A124" s="113"/>
      <c r="B124" s="113"/>
      <c r="C124" s="113"/>
      <c r="D124" s="113"/>
      <c r="E124" s="113"/>
      <c r="F124" s="113"/>
      <c r="G124" s="114"/>
      <c r="H124" s="115"/>
      <c r="I124" s="115"/>
      <c r="J124" s="115"/>
      <c r="K124" s="115"/>
      <c r="L124" s="115"/>
      <c r="M124" s="115"/>
      <c r="N124" s="115"/>
    </row>
    <row r="125" spans="1:14" s="12" customFormat="1" x14ac:dyDescent="0.3">
      <c r="A125" s="113"/>
      <c r="B125" s="113"/>
      <c r="C125" s="113"/>
      <c r="D125" s="113"/>
      <c r="E125" s="113"/>
      <c r="F125" s="113"/>
      <c r="G125" s="114"/>
      <c r="H125" s="115"/>
      <c r="I125" s="115"/>
      <c r="J125" s="115"/>
      <c r="K125" s="115"/>
      <c r="L125" s="115"/>
      <c r="M125" s="115"/>
      <c r="N125" s="115"/>
    </row>
    <row r="126" spans="1:14" s="12" customFormat="1" x14ac:dyDescent="0.3">
      <c r="A126" s="113"/>
      <c r="B126" s="113"/>
      <c r="C126" s="113"/>
      <c r="D126" s="113"/>
      <c r="E126" s="113"/>
      <c r="F126" s="113"/>
      <c r="G126" s="114"/>
      <c r="H126" s="115"/>
      <c r="I126" s="115"/>
      <c r="J126" s="115"/>
      <c r="K126" s="115"/>
      <c r="L126" s="115"/>
      <c r="M126" s="115"/>
      <c r="N126" s="115"/>
    </row>
    <row r="127" spans="1:14" s="12" customFormat="1" x14ac:dyDescent="0.3">
      <c r="A127" s="113"/>
      <c r="B127" s="113"/>
      <c r="C127" s="113"/>
      <c r="D127" s="113"/>
      <c r="E127" s="113"/>
      <c r="F127" s="113"/>
      <c r="G127" s="114"/>
      <c r="H127" s="115"/>
      <c r="I127" s="115"/>
      <c r="J127" s="115"/>
      <c r="K127" s="115"/>
      <c r="L127" s="115"/>
      <c r="M127" s="115"/>
      <c r="N127" s="115"/>
    </row>
    <row r="128" spans="1:14" s="12" customFormat="1" x14ac:dyDescent="0.3">
      <c r="A128" s="113"/>
      <c r="B128" s="113"/>
      <c r="C128" s="113"/>
      <c r="D128" s="113"/>
      <c r="E128" s="113"/>
      <c r="F128" s="113"/>
      <c r="G128" s="114"/>
      <c r="H128" s="115"/>
      <c r="I128" s="115"/>
      <c r="J128" s="115"/>
      <c r="K128" s="115"/>
      <c r="L128" s="115"/>
      <c r="M128" s="115"/>
      <c r="N128" s="115"/>
    </row>
    <row r="129" spans="1:14" s="12" customFormat="1" x14ac:dyDescent="0.3">
      <c r="A129" s="113"/>
      <c r="B129" s="113"/>
      <c r="C129" s="113"/>
      <c r="D129" s="113"/>
      <c r="E129" s="113"/>
      <c r="F129" s="113"/>
      <c r="G129" s="114"/>
      <c r="H129" s="115"/>
      <c r="I129" s="115"/>
      <c r="J129" s="115"/>
      <c r="K129" s="115"/>
      <c r="L129" s="115"/>
      <c r="M129" s="115"/>
      <c r="N129" s="115"/>
    </row>
    <row r="130" spans="1:14" s="12" customFormat="1" x14ac:dyDescent="0.3">
      <c r="A130" s="113"/>
      <c r="B130" s="113"/>
      <c r="C130" s="113"/>
      <c r="D130" s="113"/>
      <c r="E130" s="113"/>
      <c r="F130" s="113"/>
      <c r="G130" s="114"/>
      <c r="H130" s="115"/>
      <c r="I130" s="115"/>
      <c r="J130" s="115"/>
      <c r="K130" s="115"/>
      <c r="L130" s="115"/>
      <c r="M130" s="115"/>
      <c r="N130" s="115"/>
    </row>
    <row r="131" spans="1:14" s="12" customFormat="1" x14ac:dyDescent="0.3">
      <c r="A131" s="113"/>
      <c r="B131" s="113"/>
      <c r="C131" s="113"/>
      <c r="D131" s="113"/>
      <c r="E131" s="113"/>
      <c r="F131" s="113"/>
      <c r="G131" s="114"/>
      <c r="H131" s="115"/>
      <c r="I131" s="115"/>
      <c r="J131" s="115"/>
      <c r="K131" s="115"/>
      <c r="L131" s="115"/>
      <c r="M131" s="115"/>
      <c r="N131" s="115"/>
    </row>
    <row r="132" spans="1:14" s="12" customFormat="1" x14ac:dyDescent="0.3">
      <c r="A132" s="113"/>
      <c r="B132" s="113"/>
      <c r="C132" s="113"/>
      <c r="D132" s="113"/>
      <c r="E132" s="113"/>
      <c r="F132" s="113"/>
      <c r="G132" s="114"/>
      <c r="H132" s="115"/>
      <c r="I132" s="115"/>
      <c r="J132" s="115"/>
      <c r="K132" s="115"/>
      <c r="L132" s="115"/>
      <c r="M132" s="115"/>
      <c r="N132" s="115"/>
    </row>
    <row r="133" spans="1:14" s="12" customFormat="1" x14ac:dyDescent="0.3">
      <c r="A133" s="113"/>
      <c r="B133" s="113"/>
      <c r="C133" s="113"/>
      <c r="D133" s="113"/>
      <c r="E133" s="113"/>
      <c r="F133" s="113"/>
      <c r="G133" s="114"/>
      <c r="H133" s="115"/>
      <c r="I133" s="115"/>
      <c r="J133" s="115"/>
      <c r="K133" s="115"/>
      <c r="L133" s="115"/>
      <c r="M133" s="115"/>
      <c r="N133" s="115"/>
    </row>
    <row r="134" spans="1:14" s="12" customFormat="1" x14ac:dyDescent="0.3">
      <c r="A134" s="113"/>
      <c r="B134" s="113"/>
      <c r="C134" s="113"/>
      <c r="D134" s="113"/>
      <c r="E134" s="113"/>
      <c r="F134" s="113"/>
      <c r="G134" s="114"/>
      <c r="H134" s="115"/>
      <c r="I134" s="115"/>
      <c r="J134" s="115"/>
      <c r="K134" s="115"/>
      <c r="L134" s="115"/>
      <c r="M134" s="115"/>
      <c r="N134" s="115"/>
    </row>
    <row r="135" spans="1:14" s="12" customFormat="1" x14ac:dyDescent="0.3">
      <c r="A135" s="113"/>
      <c r="B135" s="113"/>
      <c r="C135" s="113"/>
      <c r="D135" s="113"/>
      <c r="E135" s="113"/>
      <c r="F135" s="113"/>
      <c r="G135" s="114"/>
      <c r="H135" s="115"/>
      <c r="I135" s="115"/>
      <c r="J135" s="115"/>
      <c r="K135" s="115"/>
      <c r="L135" s="115"/>
      <c r="M135" s="115"/>
      <c r="N135" s="115"/>
    </row>
    <row r="136" spans="1:14" s="12" customFormat="1" x14ac:dyDescent="0.3">
      <c r="A136" s="113"/>
      <c r="B136" s="113"/>
      <c r="C136" s="113"/>
      <c r="D136" s="113"/>
      <c r="E136" s="113"/>
      <c r="F136" s="113"/>
      <c r="G136" s="114"/>
      <c r="H136" s="115"/>
      <c r="I136" s="115"/>
      <c r="J136" s="115"/>
      <c r="K136" s="115"/>
      <c r="L136" s="115"/>
      <c r="M136" s="115"/>
      <c r="N136" s="115"/>
    </row>
    <row r="137" spans="1:14" s="12" customFormat="1" x14ac:dyDescent="0.3">
      <c r="A137" s="113"/>
      <c r="B137" s="113"/>
      <c r="C137" s="113"/>
      <c r="D137" s="113"/>
      <c r="E137" s="113"/>
      <c r="F137" s="113"/>
      <c r="G137" s="114"/>
      <c r="H137" s="115"/>
      <c r="I137" s="115"/>
      <c r="J137" s="115"/>
      <c r="K137" s="115"/>
      <c r="L137" s="115"/>
      <c r="M137" s="115"/>
      <c r="N137" s="115"/>
    </row>
    <row r="138" spans="1:14" s="12" customFormat="1" x14ac:dyDescent="0.3">
      <c r="A138" s="113"/>
      <c r="B138" s="113"/>
      <c r="C138" s="113"/>
      <c r="D138" s="113"/>
      <c r="E138" s="113"/>
      <c r="F138" s="113"/>
      <c r="G138" s="114"/>
      <c r="H138" s="115"/>
      <c r="I138" s="115"/>
      <c r="J138" s="115"/>
      <c r="K138" s="115"/>
      <c r="L138" s="115"/>
      <c r="M138" s="115"/>
      <c r="N138" s="115"/>
    </row>
    <row r="139" spans="1:14" s="12" customFormat="1" x14ac:dyDescent="0.3">
      <c r="A139" s="113"/>
      <c r="B139" s="113"/>
      <c r="C139" s="113"/>
      <c r="D139" s="113"/>
      <c r="E139" s="113"/>
      <c r="F139" s="113"/>
      <c r="G139" s="114"/>
      <c r="H139" s="115"/>
      <c r="I139" s="115"/>
      <c r="J139" s="115"/>
      <c r="K139" s="115"/>
      <c r="L139" s="115"/>
      <c r="M139" s="115"/>
      <c r="N139" s="115"/>
    </row>
    <row r="140" spans="1:14" s="12" customFormat="1" x14ac:dyDescent="0.3">
      <c r="A140" s="113"/>
      <c r="B140" s="113"/>
      <c r="C140" s="113"/>
      <c r="D140" s="113"/>
      <c r="E140" s="113"/>
      <c r="F140" s="113"/>
      <c r="G140" s="114"/>
      <c r="H140" s="115"/>
      <c r="I140" s="115"/>
      <c r="J140" s="115"/>
      <c r="K140" s="115"/>
      <c r="L140" s="115"/>
      <c r="M140" s="115"/>
      <c r="N140" s="115"/>
    </row>
    <row r="141" spans="1:14" s="12" customFormat="1" x14ac:dyDescent="0.3">
      <c r="A141" s="113"/>
      <c r="B141" s="113"/>
      <c r="C141" s="113"/>
      <c r="D141" s="113"/>
      <c r="E141" s="113"/>
      <c r="F141" s="113"/>
      <c r="G141" s="114"/>
      <c r="H141" s="115"/>
      <c r="I141" s="115"/>
      <c r="J141" s="115"/>
      <c r="K141" s="115"/>
      <c r="L141" s="115"/>
      <c r="M141" s="115"/>
      <c r="N141" s="115"/>
    </row>
    <row r="142" spans="1:14" s="12" customFormat="1" x14ac:dyDescent="0.3">
      <c r="A142" s="113"/>
      <c r="B142" s="113"/>
      <c r="C142" s="113"/>
      <c r="D142" s="113"/>
      <c r="E142" s="113"/>
      <c r="F142" s="113"/>
      <c r="G142" s="114"/>
      <c r="H142" s="115"/>
      <c r="I142" s="115"/>
      <c r="J142" s="115"/>
      <c r="K142" s="115"/>
      <c r="L142" s="115"/>
      <c r="M142" s="115"/>
      <c r="N142" s="115"/>
    </row>
    <row r="143" spans="1:14" s="12" customFormat="1" x14ac:dyDescent="0.3">
      <c r="A143" s="113"/>
      <c r="B143" s="113"/>
      <c r="C143" s="113"/>
      <c r="D143" s="113"/>
      <c r="E143" s="113"/>
      <c r="F143" s="113"/>
      <c r="G143" s="114"/>
      <c r="H143" s="115"/>
      <c r="I143" s="115"/>
      <c r="J143" s="115"/>
      <c r="K143" s="115"/>
      <c r="L143" s="115"/>
      <c r="M143" s="115"/>
      <c r="N143" s="115"/>
    </row>
    <row r="144" spans="1:14" s="12" customFormat="1" x14ac:dyDescent="0.3">
      <c r="A144" s="113"/>
      <c r="B144" s="113"/>
      <c r="C144" s="113"/>
      <c r="D144" s="113"/>
      <c r="E144" s="113"/>
      <c r="F144" s="113"/>
      <c r="G144" s="114"/>
      <c r="H144" s="115"/>
      <c r="I144" s="115"/>
      <c r="J144" s="115"/>
      <c r="K144" s="115"/>
      <c r="L144" s="115"/>
      <c r="M144" s="115"/>
      <c r="N144" s="115"/>
    </row>
    <row r="145" spans="1:14" s="12" customFormat="1" x14ac:dyDescent="0.3">
      <c r="A145" s="113"/>
      <c r="B145" s="113"/>
      <c r="C145" s="113"/>
      <c r="D145" s="113"/>
      <c r="E145" s="113"/>
      <c r="F145" s="113"/>
      <c r="G145" s="114"/>
      <c r="H145" s="115"/>
      <c r="I145" s="115"/>
      <c r="J145" s="115"/>
      <c r="K145" s="115"/>
      <c r="L145" s="115"/>
      <c r="M145" s="115"/>
      <c r="N145" s="115"/>
    </row>
    <row r="146" spans="1:14" s="12" customFormat="1" x14ac:dyDescent="0.3">
      <c r="A146" s="113"/>
      <c r="B146" s="113"/>
      <c r="C146" s="113"/>
      <c r="D146" s="113"/>
      <c r="E146" s="113"/>
      <c r="F146" s="113"/>
      <c r="G146" s="114"/>
      <c r="H146" s="115"/>
      <c r="I146" s="115"/>
      <c r="J146" s="115"/>
      <c r="K146" s="115"/>
      <c r="L146" s="115"/>
      <c r="M146" s="115"/>
      <c r="N146" s="115"/>
    </row>
    <row r="147" spans="1:14" s="12" customFormat="1" x14ac:dyDescent="0.3">
      <c r="A147" s="113"/>
      <c r="B147" s="113"/>
      <c r="C147" s="113"/>
      <c r="D147" s="113"/>
      <c r="E147" s="113"/>
      <c r="F147" s="113"/>
      <c r="G147" s="114"/>
      <c r="H147" s="115"/>
      <c r="I147" s="115"/>
      <c r="J147" s="115"/>
      <c r="K147" s="115"/>
      <c r="L147" s="115"/>
      <c r="M147" s="115"/>
      <c r="N147" s="115"/>
    </row>
    <row r="148" spans="1:14" s="12" customFormat="1" x14ac:dyDescent="0.3">
      <c r="A148" s="113"/>
      <c r="B148" s="113"/>
      <c r="C148" s="113"/>
      <c r="D148" s="113"/>
      <c r="E148" s="113"/>
      <c r="F148" s="113"/>
      <c r="G148" s="114"/>
      <c r="H148" s="115"/>
      <c r="I148" s="115"/>
      <c r="J148" s="115"/>
      <c r="K148" s="115"/>
      <c r="L148" s="115"/>
      <c r="M148" s="115"/>
      <c r="N148" s="115"/>
    </row>
    <row r="149" spans="1:14" s="12" customFormat="1" x14ac:dyDescent="0.3">
      <c r="A149" s="113"/>
      <c r="B149" s="113"/>
      <c r="C149" s="113"/>
      <c r="D149" s="113"/>
      <c r="E149" s="113"/>
      <c r="F149" s="113"/>
      <c r="G149" s="114"/>
      <c r="H149" s="115"/>
      <c r="I149" s="115"/>
      <c r="J149" s="115"/>
      <c r="K149" s="115"/>
      <c r="L149" s="115"/>
      <c r="M149" s="115"/>
      <c r="N149" s="115"/>
    </row>
    <row r="150" spans="1:14" s="12" customFormat="1" x14ac:dyDescent="0.3">
      <c r="A150" s="113"/>
      <c r="B150" s="113"/>
      <c r="C150" s="113"/>
      <c r="D150" s="113"/>
      <c r="E150" s="113"/>
      <c r="F150" s="113"/>
      <c r="G150" s="114"/>
      <c r="H150" s="115"/>
      <c r="I150" s="115"/>
      <c r="J150" s="115"/>
      <c r="K150" s="115"/>
      <c r="L150" s="115"/>
      <c r="M150" s="115"/>
      <c r="N150" s="115"/>
    </row>
    <row r="151" spans="1:14" s="12" customFormat="1" x14ac:dyDescent="0.3">
      <c r="A151" s="113"/>
      <c r="B151" s="113"/>
      <c r="C151" s="113"/>
      <c r="D151" s="113"/>
      <c r="E151" s="113"/>
      <c r="F151" s="113"/>
      <c r="G151" s="114"/>
      <c r="H151" s="115"/>
      <c r="I151" s="115"/>
      <c r="J151" s="115"/>
      <c r="K151" s="115"/>
      <c r="L151" s="115"/>
      <c r="M151" s="115"/>
      <c r="N151" s="115"/>
    </row>
    <row r="152" spans="1:14" s="12" customFormat="1" x14ac:dyDescent="0.3">
      <c r="A152" s="113"/>
      <c r="B152" s="113"/>
      <c r="C152" s="113"/>
      <c r="D152" s="113"/>
      <c r="E152" s="113"/>
      <c r="F152" s="113"/>
      <c r="G152" s="114"/>
      <c r="H152" s="115"/>
      <c r="I152" s="115"/>
      <c r="J152" s="115"/>
      <c r="K152" s="115"/>
      <c r="L152" s="115"/>
      <c r="M152" s="115"/>
      <c r="N152" s="115"/>
    </row>
    <row r="153" spans="1:14" s="12" customFormat="1" x14ac:dyDescent="0.3">
      <c r="A153" s="113"/>
      <c r="B153" s="113"/>
      <c r="C153" s="113"/>
      <c r="D153" s="113"/>
      <c r="E153" s="113"/>
      <c r="F153" s="113"/>
      <c r="G153" s="114"/>
      <c r="H153" s="115"/>
      <c r="I153" s="115"/>
      <c r="J153" s="115"/>
      <c r="K153" s="115"/>
      <c r="L153" s="115"/>
      <c r="M153" s="115"/>
      <c r="N153" s="115"/>
    </row>
    <row r="154" spans="1:14" s="12" customFormat="1" x14ac:dyDescent="0.3">
      <c r="A154" s="113"/>
      <c r="B154" s="113"/>
      <c r="C154" s="113"/>
      <c r="D154" s="113"/>
      <c r="E154" s="113"/>
      <c r="F154" s="113"/>
      <c r="G154" s="114"/>
      <c r="H154" s="115"/>
      <c r="I154" s="115"/>
      <c r="J154" s="115"/>
      <c r="K154" s="115"/>
      <c r="L154" s="115"/>
      <c r="M154" s="115"/>
      <c r="N154" s="115"/>
    </row>
    <row r="155" spans="1:14" s="12" customFormat="1" x14ac:dyDescent="0.3">
      <c r="A155" s="113"/>
      <c r="B155" s="113"/>
      <c r="C155" s="113"/>
      <c r="D155" s="113"/>
      <c r="E155" s="113"/>
      <c r="F155" s="113"/>
      <c r="G155" s="114"/>
      <c r="H155" s="115"/>
      <c r="I155" s="115"/>
      <c r="J155" s="115"/>
      <c r="K155" s="115"/>
      <c r="L155" s="115"/>
      <c r="M155" s="115"/>
      <c r="N155" s="115"/>
    </row>
    <row r="156" spans="1:14" s="12" customFormat="1" x14ac:dyDescent="0.3">
      <c r="A156" s="113"/>
      <c r="B156" s="113"/>
      <c r="C156" s="113"/>
      <c r="D156" s="113"/>
      <c r="E156" s="113"/>
      <c r="F156" s="113"/>
      <c r="G156" s="114"/>
      <c r="H156" s="115"/>
      <c r="I156" s="115"/>
      <c r="J156" s="115"/>
      <c r="K156" s="115"/>
      <c r="L156" s="115"/>
      <c r="M156" s="115"/>
      <c r="N156" s="115"/>
    </row>
    <row r="157" spans="1:14" s="12" customFormat="1" x14ac:dyDescent="0.3">
      <c r="A157" s="113"/>
      <c r="B157" s="113"/>
      <c r="C157" s="113"/>
      <c r="D157" s="113"/>
      <c r="E157" s="113"/>
      <c r="F157" s="113"/>
      <c r="G157" s="114"/>
      <c r="H157" s="115"/>
      <c r="I157" s="115"/>
      <c r="J157" s="115"/>
      <c r="K157" s="115"/>
      <c r="L157" s="115"/>
      <c r="M157" s="115"/>
      <c r="N157" s="115"/>
    </row>
    <row r="158" spans="1:14" s="12" customFormat="1" x14ac:dyDescent="0.3">
      <c r="A158" s="113"/>
      <c r="B158" s="113"/>
      <c r="C158" s="113"/>
      <c r="D158" s="113"/>
      <c r="E158" s="113"/>
      <c r="F158" s="113"/>
      <c r="G158" s="114"/>
      <c r="H158" s="115"/>
      <c r="I158" s="115"/>
      <c r="J158" s="115"/>
      <c r="K158" s="115"/>
      <c r="L158" s="115"/>
      <c r="M158" s="115"/>
      <c r="N158" s="115"/>
    </row>
    <row r="159" spans="1:14" s="12" customFormat="1" x14ac:dyDescent="0.3">
      <c r="A159" s="113"/>
      <c r="B159" s="113"/>
      <c r="C159" s="113"/>
      <c r="D159" s="113"/>
      <c r="E159" s="113"/>
      <c r="F159" s="113"/>
      <c r="G159" s="114"/>
      <c r="H159" s="115"/>
      <c r="I159" s="115"/>
      <c r="J159" s="115"/>
      <c r="K159" s="115"/>
      <c r="L159" s="115"/>
      <c r="M159" s="115"/>
      <c r="N159" s="115"/>
    </row>
    <row r="160" spans="1:14" s="12" customFormat="1" x14ac:dyDescent="0.3">
      <c r="A160" s="113"/>
      <c r="B160" s="113"/>
      <c r="C160" s="113"/>
      <c r="D160" s="113"/>
      <c r="E160" s="113"/>
      <c r="F160" s="113"/>
      <c r="G160" s="114"/>
      <c r="H160" s="115"/>
      <c r="I160" s="115"/>
      <c r="J160" s="115"/>
      <c r="K160" s="115"/>
      <c r="L160" s="115"/>
      <c r="M160" s="115"/>
      <c r="N160" s="115"/>
    </row>
  </sheetData>
  <pageMargins left="0.7" right="0.7" top="0.75" bottom="0.75" header="0.3" footer="0.3"/>
  <pageSetup orientation="portrait" r:id="rId1"/>
  <drawing r:id="rId2"/>
  <legacyDrawing r:id="rId3"/>
  <controls>
    <mc:AlternateContent xmlns:mc="http://schemas.openxmlformats.org/markup-compatibility/2006">
      <mc:Choice Requires="x14">
        <control shapeId="30740" r:id="rId4" name="cmdRun">
          <controlPr defaultSize="0" autoLine="0" r:id="rId5">
            <anchor moveWithCells="1">
              <from>
                <xdr:col>10</xdr:col>
                <xdr:colOff>403860</xdr:colOff>
                <xdr:row>2</xdr:row>
                <xdr:rowOff>38100</xdr:rowOff>
              </from>
              <to>
                <xdr:col>12</xdr:col>
                <xdr:colOff>167640</xdr:colOff>
                <xdr:row>4</xdr:row>
                <xdr:rowOff>0</xdr:rowOff>
              </to>
            </anchor>
          </controlPr>
        </control>
      </mc:Choice>
      <mc:Fallback>
        <control shapeId="30740" r:id="rId4" name="cmdRun"/>
      </mc:Fallback>
    </mc:AlternateContent>
    <mc:AlternateContent xmlns:mc="http://schemas.openxmlformats.org/markup-compatibility/2006">
      <mc:Choice Requires="x14">
        <control shapeId="30723" r:id="rId6" name="cmbBoxOpc">
          <controlPr defaultSize="0" autoLine="0" linkedCell="B4" r:id="rId7">
            <anchor moveWithCells="1">
              <from>
                <xdr:col>1</xdr:col>
                <xdr:colOff>0</xdr:colOff>
                <xdr:row>2</xdr:row>
                <xdr:rowOff>137160</xdr:rowOff>
              </from>
              <to>
                <xdr:col>3</xdr:col>
                <xdr:colOff>45720</xdr:colOff>
                <xdr:row>4</xdr:row>
                <xdr:rowOff>22860</xdr:rowOff>
              </to>
            </anchor>
          </controlPr>
        </control>
      </mc:Choice>
      <mc:Fallback>
        <control shapeId="30723" r:id="rId6" name="cmbBoxOpc"/>
      </mc:Fallback>
    </mc:AlternateContent>
    <mc:AlternateContent xmlns:mc="http://schemas.openxmlformats.org/markup-compatibility/2006">
      <mc:Choice Requires="x14">
        <control shapeId="30722" r:id="rId8" name="cmdWriteOpc">
          <controlPr defaultSize="0" autoLine="0" r:id="rId9">
            <anchor moveWithCells="1">
              <from>
                <xdr:col>8</xdr:col>
                <xdr:colOff>403860</xdr:colOff>
                <xdr:row>2</xdr:row>
                <xdr:rowOff>38100</xdr:rowOff>
              </from>
              <to>
                <xdr:col>10</xdr:col>
                <xdr:colOff>175260</xdr:colOff>
                <xdr:row>3</xdr:row>
                <xdr:rowOff>167640</xdr:rowOff>
              </to>
            </anchor>
          </controlPr>
        </control>
      </mc:Choice>
      <mc:Fallback>
        <control shapeId="30722" r:id="rId8" name="cmdWriteOpc"/>
      </mc:Fallback>
    </mc:AlternateContent>
    <mc:AlternateContent xmlns:mc="http://schemas.openxmlformats.org/markup-compatibility/2006">
      <mc:Choice Requires="x14">
        <control shapeId="30721" r:id="rId10" name="cmdReadOpc">
          <controlPr defaultSize="0" autoLine="0" r:id="rId11">
            <anchor moveWithCells="1">
              <from>
                <xdr:col>6</xdr:col>
                <xdr:colOff>594360</xdr:colOff>
                <xdr:row>2</xdr:row>
                <xdr:rowOff>38100</xdr:rowOff>
              </from>
              <to>
                <xdr:col>8</xdr:col>
                <xdr:colOff>335280</xdr:colOff>
                <xdr:row>3</xdr:row>
                <xdr:rowOff>167640</xdr:rowOff>
              </to>
            </anchor>
          </controlPr>
        </control>
      </mc:Choice>
      <mc:Fallback>
        <control shapeId="30721" r:id="rId10" name="cmdReadOpc"/>
      </mc:Fallback>
    </mc:AlternateContent>
    <mc:AlternateContent xmlns:mc="http://schemas.openxmlformats.org/markup-compatibility/2006">
      <mc:Choice Requires="x14">
        <control shapeId="30739" r:id="rId12" name="cmdGetOpc">
          <controlPr defaultSize="0" autoLine="0" r:id="rId13">
            <anchor moveWithCells="1">
              <from>
                <xdr:col>5</xdr:col>
                <xdr:colOff>45720</xdr:colOff>
                <xdr:row>2</xdr:row>
                <xdr:rowOff>38100</xdr:rowOff>
              </from>
              <to>
                <xdr:col>6</xdr:col>
                <xdr:colOff>441960</xdr:colOff>
                <xdr:row>3</xdr:row>
                <xdr:rowOff>167640</xdr:rowOff>
              </to>
            </anchor>
          </controlPr>
        </control>
      </mc:Choice>
      <mc:Fallback>
        <control shapeId="30739" r:id="rId12" name="cmdGetOp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F114"/>
  <sheetViews>
    <sheetView workbookViewId="0">
      <pane ySplit="4" topLeftCell="A5" activePane="bottomLeft" state="frozen"/>
      <selection pane="bottomLeft" activeCell="J112" sqref="J112"/>
    </sheetView>
  </sheetViews>
  <sheetFormatPr defaultRowHeight="14.4" x14ac:dyDescent="0.3"/>
  <cols>
    <col min="1" max="1" width="12.33203125" customWidth="1"/>
    <col min="2" max="2" width="17.109375" customWidth="1"/>
    <col min="3" max="5" width="9.6640625" customWidth="1"/>
    <col min="6" max="6" width="21.5546875" bestFit="1" customWidth="1"/>
  </cols>
  <sheetData>
    <row r="1" spans="1:6" ht="21" x14ac:dyDescent="0.3">
      <c r="A1" s="125" t="s">
        <v>1456</v>
      </c>
    </row>
    <row r="2" spans="1:6" x14ac:dyDescent="0.3">
      <c r="A2" s="91" t="s">
        <v>1462</v>
      </c>
      <c r="B2" s="92"/>
      <c r="C2" s="93" t="s">
        <v>1463</v>
      </c>
    </row>
    <row r="4" spans="1:6" s="8" customFormat="1" x14ac:dyDescent="0.3">
      <c r="A4" s="138" t="s">
        <v>1141</v>
      </c>
      <c r="B4" s="138" t="s">
        <v>1142</v>
      </c>
      <c r="C4" s="138" t="s">
        <v>1270</v>
      </c>
      <c r="D4" s="138" t="s">
        <v>1269</v>
      </c>
      <c r="E4" s="172" t="s">
        <v>1839</v>
      </c>
      <c r="F4" s="172"/>
    </row>
    <row r="5" spans="1:6" x14ac:dyDescent="0.3">
      <c r="A5">
        <v>1</v>
      </c>
      <c r="B5" t="s">
        <v>3418</v>
      </c>
      <c r="C5">
        <v>32.409999999999997</v>
      </c>
      <c r="D5">
        <v>-99.68</v>
      </c>
      <c r="E5">
        <v>545.6</v>
      </c>
      <c r="F5" t="s">
        <v>3530</v>
      </c>
    </row>
    <row r="6" spans="1:6" x14ac:dyDescent="0.3">
      <c r="A6">
        <v>2</v>
      </c>
      <c r="B6" t="s">
        <v>3419</v>
      </c>
      <c r="C6" s="28">
        <v>32.729999999999997</v>
      </c>
      <c r="D6" s="28">
        <v>-99.3</v>
      </c>
      <c r="E6">
        <v>426.7</v>
      </c>
      <c r="F6" t="s">
        <v>3531</v>
      </c>
    </row>
    <row r="7" spans="1:6" x14ac:dyDescent="0.3">
      <c r="A7">
        <v>3</v>
      </c>
      <c r="B7" t="s">
        <v>3420</v>
      </c>
      <c r="C7" s="28">
        <v>32.75</v>
      </c>
      <c r="D7" s="28">
        <v>-99.85</v>
      </c>
      <c r="E7">
        <v>520.29999999999995</v>
      </c>
      <c r="F7" t="s">
        <v>3532</v>
      </c>
    </row>
    <row r="8" spans="1:6" x14ac:dyDescent="0.3">
      <c r="A8">
        <v>4</v>
      </c>
      <c r="B8" t="s">
        <v>3421</v>
      </c>
      <c r="C8" s="28">
        <v>33.6</v>
      </c>
      <c r="D8" s="28">
        <v>-98.61</v>
      </c>
      <c r="E8">
        <v>321.2</v>
      </c>
      <c r="F8" t="s">
        <v>3533</v>
      </c>
    </row>
    <row r="9" spans="1:6" x14ac:dyDescent="0.3">
      <c r="A9">
        <v>5</v>
      </c>
      <c r="B9" t="s">
        <v>3422</v>
      </c>
      <c r="C9" s="28">
        <v>32.74</v>
      </c>
      <c r="D9" s="28">
        <v>-97.13</v>
      </c>
      <c r="E9">
        <v>199.6</v>
      </c>
      <c r="F9" t="s">
        <v>3534</v>
      </c>
    </row>
    <row r="10" spans="1:6" x14ac:dyDescent="0.3">
      <c r="A10">
        <v>6</v>
      </c>
      <c r="B10" t="s">
        <v>3423</v>
      </c>
      <c r="C10" s="28">
        <v>32.159999999999997</v>
      </c>
      <c r="D10" s="28">
        <v>-95.83</v>
      </c>
      <c r="E10">
        <v>136.5</v>
      </c>
      <c r="F10" t="s">
        <v>3535</v>
      </c>
    </row>
    <row r="11" spans="1:6" x14ac:dyDescent="0.3">
      <c r="A11">
        <v>7</v>
      </c>
      <c r="B11" t="s">
        <v>3424</v>
      </c>
      <c r="C11" s="28">
        <v>30.32</v>
      </c>
      <c r="D11" s="28">
        <v>-97.76</v>
      </c>
      <c r="E11">
        <v>204.2</v>
      </c>
      <c r="F11" t="s">
        <v>3536</v>
      </c>
    </row>
    <row r="12" spans="1:6" x14ac:dyDescent="0.3">
      <c r="A12">
        <v>8</v>
      </c>
      <c r="B12" t="s">
        <v>3425</v>
      </c>
      <c r="C12" s="28">
        <v>32.26</v>
      </c>
      <c r="D12" s="28">
        <v>-96.64</v>
      </c>
      <c r="E12">
        <v>140.5</v>
      </c>
      <c r="F12" t="s">
        <v>3537</v>
      </c>
    </row>
    <row r="13" spans="1:6" x14ac:dyDescent="0.3">
      <c r="A13">
        <v>9</v>
      </c>
      <c r="B13" t="s">
        <v>3426</v>
      </c>
      <c r="C13" s="28">
        <v>28.46</v>
      </c>
      <c r="D13" s="28">
        <v>-97.71</v>
      </c>
      <c r="E13">
        <v>77.7</v>
      </c>
      <c r="F13" t="s">
        <v>3538</v>
      </c>
    </row>
    <row r="14" spans="1:6" x14ac:dyDescent="0.3">
      <c r="A14">
        <v>10</v>
      </c>
      <c r="B14" t="s">
        <v>3427</v>
      </c>
      <c r="C14" s="28">
        <v>31.1</v>
      </c>
      <c r="D14" s="28">
        <v>-97.48</v>
      </c>
      <c r="E14">
        <v>202.4</v>
      </c>
      <c r="F14" t="s">
        <v>3539</v>
      </c>
    </row>
    <row r="15" spans="1:6" x14ac:dyDescent="0.3">
      <c r="A15">
        <v>11</v>
      </c>
      <c r="B15" t="s">
        <v>3428</v>
      </c>
      <c r="C15" s="28">
        <v>32.65</v>
      </c>
      <c r="D15" s="28">
        <v>-97.44</v>
      </c>
      <c r="E15">
        <v>240.8</v>
      </c>
      <c r="F15" t="s">
        <v>3540</v>
      </c>
    </row>
    <row r="16" spans="1:6" x14ac:dyDescent="0.3">
      <c r="A16">
        <v>12</v>
      </c>
      <c r="B16" t="s">
        <v>3429</v>
      </c>
      <c r="C16" s="28">
        <v>30.11</v>
      </c>
      <c r="D16" s="28">
        <v>-98.43</v>
      </c>
      <c r="E16">
        <v>419.1</v>
      </c>
      <c r="F16" t="s">
        <v>3541</v>
      </c>
    </row>
    <row r="17" spans="1:6" x14ac:dyDescent="0.3">
      <c r="A17">
        <v>13</v>
      </c>
      <c r="B17" t="s">
        <v>3430</v>
      </c>
      <c r="C17" s="28">
        <v>29.8</v>
      </c>
      <c r="D17" s="28">
        <v>-98.74</v>
      </c>
      <c r="E17">
        <v>440.1</v>
      </c>
      <c r="F17" t="s">
        <v>3542</v>
      </c>
    </row>
    <row r="18" spans="1:6" x14ac:dyDescent="0.3">
      <c r="A18">
        <v>14</v>
      </c>
      <c r="B18" t="s">
        <v>3431</v>
      </c>
      <c r="C18" s="28">
        <v>33.64</v>
      </c>
      <c r="D18" s="28">
        <v>-96.17</v>
      </c>
      <c r="E18">
        <v>182.9</v>
      </c>
      <c r="F18" t="s">
        <v>3543</v>
      </c>
    </row>
    <row r="19" spans="1:6" x14ac:dyDescent="0.3">
      <c r="A19">
        <v>15</v>
      </c>
      <c r="B19" t="s">
        <v>3432</v>
      </c>
      <c r="C19" s="28">
        <v>33.549999999999997</v>
      </c>
      <c r="D19" s="28">
        <v>-97.85</v>
      </c>
      <c r="E19">
        <v>329.2</v>
      </c>
      <c r="F19" t="s">
        <v>3544</v>
      </c>
    </row>
    <row r="20" spans="1:6" x14ac:dyDescent="0.3">
      <c r="A20">
        <v>16</v>
      </c>
      <c r="B20" t="s">
        <v>3433</v>
      </c>
      <c r="C20" s="28">
        <v>31.14</v>
      </c>
      <c r="D20" s="28">
        <v>-99.35</v>
      </c>
      <c r="E20">
        <v>521.20000000000005</v>
      </c>
      <c r="F20" t="s">
        <v>3545</v>
      </c>
    </row>
    <row r="21" spans="1:6" x14ac:dyDescent="0.3">
      <c r="A21">
        <v>17</v>
      </c>
      <c r="B21" t="s">
        <v>3434</v>
      </c>
      <c r="C21" s="28">
        <v>32.75</v>
      </c>
      <c r="D21" s="28">
        <v>-98.9</v>
      </c>
      <c r="E21">
        <v>356.6</v>
      </c>
      <c r="F21" t="s">
        <v>3546</v>
      </c>
    </row>
    <row r="22" spans="1:6" x14ac:dyDescent="0.3">
      <c r="A22">
        <v>18</v>
      </c>
      <c r="B22" t="s">
        <v>3435</v>
      </c>
      <c r="C22" s="28">
        <v>30.16</v>
      </c>
      <c r="D22" s="28">
        <v>-96.4</v>
      </c>
      <c r="E22">
        <v>95.4</v>
      </c>
      <c r="F22" t="s">
        <v>3547</v>
      </c>
    </row>
    <row r="23" spans="1:6" x14ac:dyDescent="0.3">
      <c r="A23">
        <v>19</v>
      </c>
      <c r="B23" t="s">
        <v>3436</v>
      </c>
      <c r="C23" s="28">
        <v>33.21</v>
      </c>
      <c r="D23" s="28">
        <v>-97.78</v>
      </c>
      <c r="E23">
        <v>234.4</v>
      </c>
      <c r="F23" t="s">
        <v>3548</v>
      </c>
    </row>
    <row r="24" spans="1:6" x14ac:dyDescent="0.3">
      <c r="A24">
        <v>20</v>
      </c>
      <c r="B24" t="s">
        <v>3437</v>
      </c>
      <c r="C24" s="28">
        <v>31.74</v>
      </c>
      <c r="D24" s="28">
        <v>-98.95</v>
      </c>
      <c r="E24">
        <v>426.7</v>
      </c>
      <c r="F24" t="s">
        <v>3549</v>
      </c>
    </row>
    <row r="25" spans="1:6" x14ac:dyDescent="0.3">
      <c r="A25">
        <v>21</v>
      </c>
      <c r="B25" t="s">
        <v>3438</v>
      </c>
      <c r="C25" s="28">
        <v>32.51</v>
      </c>
      <c r="D25" s="28">
        <v>-97.34</v>
      </c>
      <c r="E25">
        <v>232.2</v>
      </c>
      <c r="F25" t="s">
        <v>3550</v>
      </c>
    </row>
    <row r="26" spans="1:6" x14ac:dyDescent="0.3">
      <c r="A26">
        <v>22</v>
      </c>
      <c r="B26" t="s">
        <v>3439</v>
      </c>
      <c r="C26" s="28">
        <v>30.76</v>
      </c>
      <c r="D26" s="28">
        <v>-98.23</v>
      </c>
      <c r="E26">
        <v>391.6</v>
      </c>
      <c r="F26" t="s">
        <v>3551</v>
      </c>
    </row>
    <row r="27" spans="1:6" x14ac:dyDescent="0.3">
      <c r="A27">
        <v>23</v>
      </c>
      <c r="B27" t="s">
        <v>3440</v>
      </c>
      <c r="C27" s="28">
        <v>30.85</v>
      </c>
      <c r="D27" s="28">
        <v>-96.97</v>
      </c>
      <c r="E27">
        <v>110.9</v>
      </c>
      <c r="F27" t="s">
        <v>3552</v>
      </c>
    </row>
    <row r="28" spans="1:6" x14ac:dyDescent="0.3">
      <c r="A28">
        <v>24</v>
      </c>
      <c r="B28" t="s">
        <v>3441</v>
      </c>
      <c r="C28" s="28">
        <v>29.87</v>
      </c>
      <c r="D28" s="28">
        <v>-98.2</v>
      </c>
      <c r="E28">
        <v>304.8</v>
      </c>
      <c r="F28" t="s">
        <v>3553</v>
      </c>
    </row>
    <row r="29" spans="1:6" x14ac:dyDescent="0.3">
      <c r="A29">
        <v>25</v>
      </c>
      <c r="B29" t="s">
        <v>3442</v>
      </c>
      <c r="C29" s="28">
        <v>31.26</v>
      </c>
      <c r="D29" s="28">
        <v>-95.97</v>
      </c>
      <c r="E29">
        <v>97.5</v>
      </c>
      <c r="F29" t="s">
        <v>3554</v>
      </c>
    </row>
    <row r="30" spans="1:6" x14ac:dyDescent="0.3">
      <c r="A30">
        <v>26</v>
      </c>
      <c r="B30" t="s">
        <v>3443</v>
      </c>
      <c r="C30" s="28">
        <v>33.619999999999997</v>
      </c>
      <c r="D30" s="28">
        <v>-95.07</v>
      </c>
      <c r="E30">
        <v>132.6</v>
      </c>
      <c r="F30" t="s">
        <v>3555</v>
      </c>
    </row>
    <row r="31" spans="1:6" x14ac:dyDescent="0.3">
      <c r="A31">
        <v>27</v>
      </c>
      <c r="B31" t="s">
        <v>3444</v>
      </c>
      <c r="C31" s="28">
        <v>32.31</v>
      </c>
      <c r="D31" s="28">
        <v>-97.41</v>
      </c>
      <c r="E31">
        <v>238.6</v>
      </c>
      <c r="F31" t="s">
        <v>3556</v>
      </c>
    </row>
    <row r="32" spans="1:6" x14ac:dyDescent="0.3">
      <c r="A32">
        <v>28</v>
      </c>
      <c r="B32" t="s">
        <v>3445</v>
      </c>
      <c r="C32" s="28">
        <v>31.82</v>
      </c>
      <c r="D32" s="28">
        <v>-99.42</v>
      </c>
      <c r="E32">
        <v>526.4</v>
      </c>
      <c r="F32" t="s">
        <v>3557</v>
      </c>
    </row>
    <row r="33" spans="1:6" x14ac:dyDescent="0.3">
      <c r="A33">
        <v>29</v>
      </c>
      <c r="B33" t="s">
        <v>3446</v>
      </c>
      <c r="C33" s="28">
        <v>30.59</v>
      </c>
      <c r="D33" s="28">
        <v>-96.37</v>
      </c>
      <c r="E33">
        <v>93</v>
      </c>
      <c r="F33" t="s">
        <v>3558</v>
      </c>
    </row>
    <row r="34" spans="1:6" x14ac:dyDescent="0.3">
      <c r="A34">
        <v>30</v>
      </c>
      <c r="B34" t="s">
        <v>3447</v>
      </c>
      <c r="C34">
        <v>29.7</v>
      </c>
      <c r="D34">
        <v>-96.57</v>
      </c>
      <c r="E34">
        <v>68.599999999999994</v>
      </c>
      <c r="F34" t="s">
        <v>3559</v>
      </c>
    </row>
    <row r="35" spans="1:6" x14ac:dyDescent="0.3">
      <c r="A35">
        <v>31</v>
      </c>
      <c r="B35" t="s">
        <v>3448</v>
      </c>
      <c r="C35">
        <v>32.119999999999997</v>
      </c>
      <c r="D35">
        <v>-96.49</v>
      </c>
      <c r="E35">
        <v>136.80000000000001</v>
      </c>
      <c r="F35" t="s">
        <v>3560</v>
      </c>
    </row>
    <row r="36" spans="1:6" x14ac:dyDescent="0.3">
      <c r="A36">
        <v>32</v>
      </c>
      <c r="B36" t="s">
        <v>3449</v>
      </c>
      <c r="C36">
        <v>32.9</v>
      </c>
      <c r="D36">
        <v>-97.02</v>
      </c>
      <c r="E36">
        <v>170.7</v>
      </c>
      <c r="F36" t="s">
        <v>3561</v>
      </c>
    </row>
    <row r="37" spans="1:6" x14ac:dyDescent="0.3">
      <c r="A37">
        <v>33</v>
      </c>
      <c r="B37" t="s">
        <v>3450</v>
      </c>
      <c r="C37">
        <v>32.85</v>
      </c>
      <c r="D37">
        <v>-96.86</v>
      </c>
      <c r="E37">
        <v>134.1</v>
      </c>
      <c r="F37" t="s">
        <v>3562</v>
      </c>
    </row>
    <row r="38" spans="1:6" x14ac:dyDescent="0.3">
      <c r="A38">
        <v>34</v>
      </c>
      <c r="B38" t="s">
        <v>3451</v>
      </c>
      <c r="C38">
        <v>33.82</v>
      </c>
      <c r="D38">
        <v>-96.57</v>
      </c>
      <c r="E38">
        <v>186.8</v>
      </c>
      <c r="F38" t="s">
        <v>3563</v>
      </c>
    </row>
    <row r="39" spans="1:6" x14ac:dyDescent="0.3">
      <c r="A39">
        <v>35</v>
      </c>
      <c r="B39" t="s">
        <v>3452</v>
      </c>
      <c r="C39">
        <v>33.200000000000003</v>
      </c>
      <c r="D39">
        <v>-97.11</v>
      </c>
      <c r="E39">
        <v>192</v>
      </c>
      <c r="F39" t="s">
        <v>3564</v>
      </c>
    </row>
    <row r="40" spans="1:6" x14ac:dyDescent="0.3">
      <c r="A40">
        <v>36</v>
      </c>
      <c r="B40" t="s">
        <v>3453</v>
      </c>
      <c r="C40">
        <v>30.21</v>
      </c>
      <c r="D40">
        <v>-97.98</v>
      </c>
      <c r="E40">
        <v>341.4</v>
      </c>
      <c r="F40" t="s">
        <v>3565</v>
      </c>
    </row>
    <row r="41" spans="1:6" x14ac:dyDescent="0.3">
      <c r="A41">
        <v>37</v>
      </c>
      <c r="B41" t="s">
        <v>3454</v>
      </c>
      <c r="C41">
        <v>32.06</v>
      </c>
      <c r="D41">
        <v>-98.31</v>
      </c>
      <c r="E41">
        <v>447.4</v>
      </c>
      <c r="F41" t="s">
        <v>3566</v>
      </c>
    </row>
    <row r="42" spans="1:6" x14ac:dyDescent="0.3">
      <c r="A42">
        <v>38</v>
      </c>
      <c r="B42" t="s">
        <v>3455</v>
      </c>
      <c r="C42">
        <v>32.4</v>
      </c>
      <c r="D42">
        <v>-98.82</v>
      </c>
      <c r="E42">
        <v>438.3</v>
      </c>
      <c r="F42" t="s">
        <v>3567</v>
      </c>
    </row>
    <row r="43" spans="1:6" x14ac:dyDescent="0.3">
      <c r="A43">
        <v>39</v>
      </c>
      <c r="B43" t="s">
        <v>3456</v>
      </c>
      <c r="C43">
        <v>30.35</v>
      </c>
      <c r="D43">
        <v>-97.37</v>
      </c>
      <c r="E43">
        <v>176.5</v>
      </c>
      <c r="F43" t="s">
        <v>3568</v>
      </c>
    </row>
    <row r="44" spans="1:6" x14ac:dyDescent="0.3">
      <c r="A44">
        <v>40</v>
      </c>
      <c r="B44" t="s">
        <v>3457</v>
      </c>
      <c r="C44">
        <v>32.869999999999997</v>
      </c>
      <c r="D44">
        <v>-95.78</v>
      </c>
      <c r="E44">
        <v>147.5</v>
      </c>
      <c r="F44" t="s">
        <v>3569</v>
      </c>
    </row>
    <row r="45" spans="1:6" x14ac:dyDescent="0.3">
      <c r="A45">
        <v>41</v>
      </c>
      <c r="B45" t="s">
        <v>3458</v>
      </c>
      <c r="C45">
        <v>31.46</v>
      </c>
      <c r="D45">
        <v>-98.16</v>
      </c>
      <c r="E45">
        <v>379.5</v>
      </c>
      <c r="F45" t="s">
        <v>3570</v>
      </c>
    </row>
    <row r="46" spans="1:6" x14ac:dyDescent="0.3">
      <c r="A46">
        <v>42</v>
      </c>
      <c r="B46" t="s">
        <v>3459</v>
      </c>
      <c r="C46">
        <v>31.73</v>
      </c>
      <c r="D46">
        <v>-96.21</v>
      </c>
      <c r="E46">
        <v>131.69999999999999</v>
      </c>
      <c r="F46" t="s">
        <v>3571</v>
      </c>
    </row>
    <row r="47" spans="1:6" x14ac:dyDescent="0.3">
      <c r="A47">
        <v>43</v>
      </c>
      <c r="B47" t="s">
        <v>3460</v>
      </c>
      <c r="C47">
        <v>32.53</v>
      </c>
      <c r="D47">
        <v>-96.66</v>
      </c>
      <c r="E47">
        <v>143.19999999999999</v>
      </c>
      <c r="F47" t="s">
        <v>3572</v>
      </c>
    </row>
    <row r="48" spans="1:6" x14ac:dyDescent="0.3">
      <c r="A48">
        <v>44</v>
      </c>
      <c r="B48" t="s">
        <v>3461</v>
      </c>
      <c r="C48">
        <v>29.63</v>
      </c>
      <c r="D48">
        <v>-97.07</v>
      </c>
      <c r="E48">
        <v>143.19999999999999</v>
      </c>
      <c r="F48" t="s">
        <v>3573</v>
      </c>
    </row>
    <row r="49" spans="1:6" x14ac:dyDescent="0.3">
      <c r="A49">
        <v>45</v>
      </c>
      <c r="B49" t="s">
        <v>3462</v>
      </c>
      <c r="C49">
        <v>31.03</v>
      </c>
      <c r="D49">
        <v>-96.49</v>
      </c>
      <c r="E49">
        <v>142.30000000000001</v>
      </c>
      <c r="F49" t="s">
        <v>3574</v>
      </c>
    </row>
    <row r="50" spans="1:6" x14ac:dyDescent="0.3">
      <c r="A50">
        <v>46</v>
      </c>
      <c r="B50" t="s">
        <v>3463</v>
      </c>
      <c r="C50">
        <v>33.64</v>
      </c>
      <c r="D50">
        <v>-97.15</v>
      </c>
      <c r="E50">
        <v>237.7</v>
      </c>
      <c r="F50" t="s">
        <v>3575</v>
      </c>
    </row>
    <row r="51" spans="1:6" x14ac:dyDescent="0.3">
      <c r="A51">
        <v>47</v>
      </c>
      <c r="B51" t="s">
        <v>3464</v>
      </c>
      <c r="C51">
        <v>31.41</v>
      </c>
      <c r="D51">
        <v>-97.7</v>
      </c>
      <c r="E51">
        <v>251.8</v>
      </c>
      <c r="F51" t="s">
        <v>3576</v>
      </c>
    </row>
    <row r="52" spans="1:6" x14ac:dyDescent="0.3">
      <c r="A52">
        <v>48</v>
      </c>
      <c r="B52" t="s">
        <v>3465</v>
      </c>
      <c r="C52">
        <v>30.63</v>
      </c>
      <c r="D52">
        <v>-97.68</v>
      </c>
      <c r="E52">
        <v>228</v>
      </c>
      <c r="F52" t="s">
        <v>3577</v>
      </c>
    </row>
    <row r="53" spans="1:6" x14ac:dyDescent="0.3">
      <c r="A53">
        <v>49</v>
      </c>
      <c r="B53" t="s">
        <v>3466</v>
      </c>
      <c r="C53">
        <v>32.229999999999997</v>
      </c>
      <c r="D53">
        <v>-97.79</v>
      </c>
      <c r="E53">
        <v>199.6</v>
      </c>
      <c r="F53" t="s">
        <v>3578</v>
      </c>
    </row>
    <row r="54" spans="1:6" x14ac:dyDescent="0.3">
      <c r="A54">
        <v>50</v>
      </c>
      <c r="B54" t="s">
        <v>3468</v>
      </c>
      <c r="C54">
        <v>31.44</v>
      </c>
      <c r="D54">
        <v>-98.59</v>
      </c>
      <c r="E54">
        <v>459.3</v>
      </c>
      <c r="F54" t="s">
        <v>3579</v>
      </c>
    </row>
    <row r="55" spans="1:6" x14ac:dyDescent="0.3">
      <c r="A55">
        <v>51</v>
      </c>
      <c r="B55" t="s">
        <v>3469</v>
      </c>
      <c r="C55">
        <v>29.53</v>
      </c>
      <c r="D55">
        <v>-97.45</v>
      </c>
      <c r="E55">
        <v>115.8</v>
      </c>
      <c r="F55" t="s">
        <v>3580</v>
      </c>
    </row>
    <row r="56" spans="1:6" x14ac:dyDescent="0.3">
      <c r="A56">
        <v>52</v>
      </c>
      <c r="B56" t="s">
        <v>3470</v>
      </c>
      <c r="C56">
        <v>33.119999999999997</v>
      </c>
      <c r="D56">
        <v>-98.57</v>
      </c>
      <c r="E56">
        <v>328.6</v>
      </c>
      <c r="F56" t="s">
        <v>3581</v>
      </c>
    </row>
    <row r="57" spans="1:6" x14ac:dyDescent="0.3">
      <c r="A57">
        <v>53</v>
      </c>
      <c r="B57" t="s">
        <v>3471</v>
      </c>
      <c r="C57">
        <v>32.950000000000003</v>
      </c>
      <c r="D57">
        <v>-97.06</v>
      </c>
      <c r="E57">
        <v>178.3</v>
      </c>
      <c r="F57" t="s">
        <v>3582</v>
      </c>
    </row>
    <row r="58" spans="1:6" x14ac:dyDescent="0.3">
      <c r="A58">
        <v>54</v>
      </c>
      <c r="B58" t="s">
        <v>3472</v>
      </c>
      <c r="C58">
        <v>33.17</v>
      </c>
      <c r="D58">
        <v>-96.1</v>
      </c>
      <c r="E58">
        <v>166.1</v>
      </c>
      <c r="F58" t="s">
        <v>3583</v>
      </c>
    </row>
    <row r="59" spans="1:6" x14ac:dyDescent="0.3">
      <c r="A59">
        <v>55</v>
      </c>
      <c r="B59" t="s">
        <v>3473</v>
      </c>
      <c r="C59">
        <v>29.47</v>
      </c>
      <c r="D59">
        <v>-96.94</v>
      </c>
      <c r="E59">
        <v>83.8</v>
      </c>
      <c r="F59" t="s">
        <v>3584</v>
      </c>
    </row>
    <row r="60" spans="1:6" x14ac:dyDescent="0.3">
      <c r="A60">
        <v>56</v>
      </c>
      <c r="B60" t="s">
        <v>3474</v>
      </c>
      <c r="C60">
        <v>33.159999999999997</v>
      </c>
      <c r="D60">
        <v>-99.75</v>
      </c>
      <c r="E60">
        <v>487.7</v>
      </c>
      <c r="F60" t="s">
        <v>3585</v>
      </c>
    </row>
    <row r="61" spans="1:6" x14ac:dyDescent="0.3">
      <c r="A61">
        <v>57</v>
      </c>
      <c r="B61" t="s">
        <v>3475</v>
      </c>
      <c r="C61">
        <v>33.81</v>
      </c>
      <c r="D61">
        <v>-98.2</v>
      </c>
      <c r="E61">
        <v>283.5</v>
      </c>
      <c r="F61" t="s">
        <v>3586</v>
      </c>
    </row>
    <row r="62" spans="1:6" x14ac:dyDescent="0.3">
      <c r="A62">
        <v>58</v>
      </c>
      <c r="B62" t="s">
        <v>3476</v>
      </c>
      <c r="C62">
        <v>31.98</v>
      </c>
      <c r="D62">
        <v>-98.03</v>
      </c>
      <c r="E62">
        <v>317.89999999999998</v>
      </c>
      <c r="F62" t="s">
        <v>3587</v>
      </c>
    </row>
    <row r="63" spans="1:6" x14ac:dyDescent="0.3">
      <c r="A63">
        <v>59</v>
      </c>
      <c r="B63" t="s">
        <v>3477</v>
      </c>
      <c r="C63">
        <v>32.020000000000003</v>
      </c>
      <c r="D63">
        <v>-97.11</v>
      </c>
      <c r="E63">
        <v>167.6</v>
      </c>
      <c r="F63" t="s">
        <v>3588</v>
      </c>
    </row>
    <row r="64" spans="1:6" x14ac:dyDescent="0.3">
      <c r="A64">
        <v>60</v>
      </c>
      <c r="B64" t="s">
        <v>3478</v>
      </c>
      <c r="C64">
        <v>31.85</v>
      </c>
      <c r="D64">
        <v>-99.56</v>
      </c>
      <c r="E64">
        <v>591.9</v>
      </c>
      <c r="F64" t="s">
        <v>3589</v>
      </c>
    </row>
    <row r="65" spans="1:6" x14ac:dyDescent="0.3">
      <c r="A65">
        <v>61</v>
      </c>
      <c r="B65" t="s">
        <v>3479</v>
      </c>
      <c r="C65">
        <v>33.22</v>
      </c>
      <c r="D65">
        <v>-98.16</v>
      </c>
      <c r="E65">
        <v>329.8</v>
      </c>
      <c r="F65" t="s">
        <v>3590</v>
      </c>
    </row>
    <row r="66" spans="1:6" x14ac:dyDescent="0.3">
      <c r="A66">
        <v>62</v>
      </c>
      <c r="B66" t="s">
        <v>3480</v>
      </c>
      <c r="C66">
        <v>30.28</v>
      </c>
      <c r="D66">
        <v>-98.42</v>
      </c>
      <c r="E66">
        <v>375.5</v>
      </c>
      <c r="F66" t="s">
        <v>3591</v>
      </c>
    </row>
    <row r="67" spans="1:6" x14ac:dyDescent="0.3">
      <c r="A67">
        <v>63</v>
      </c>
      <c r="B67" t="s">
        <v>3481</v>
      </c>
      <c r="C67">
        <v>32.56</v>
      </c>
      <c r="D67">
        <v>-96.27</v>
      </c>
      <c r="E67">
        <v>128</v>
      </c>
      <c r="F67" t="s">
        <v>3592</v>
      </c>
    </row>
    <row r="68" spans="1:6" x14ac:dyDescent="0.3">
      <c r="A68">
        <v>64</v>
      </c>
      <c r="B68" t="s">
        <v>3482</v>
      </c>
      <c r="C68">
        <v>29.92</v>
      </c>
      <c r="D68">
        <v>-96.88</v>
      </c>
      <c r="E68">
        <v>108.8</v>
      </c>
      <c r="F68" t="s">
        <v>3593</v>
      </c>
    </row>
    <row r="69" spans="1:6" x14ac:dyDescent="0.3">
      <c r="A69">
        <v>65</v>
      </c>
      <c r="B69" t="s">
        <v>3483</v>
      </c>
      <c r="C69">
        <v>31.07</v>
      </c>
      <c r="D69">
        <v>-98.19</v>
      </c>
      <c r="E69">
        <v>314.5</v>
      </c>
      <c r="F69" t="s">
        <v>3594</v>
      </c>
    </row>
    <row r="70" spans="1:6" x14ac:dyDescent="0.3">
      <c r="A70">
        <v>66</v>
      </c>
      <c r="B70" t="s">
        <v>3484</v>
      </c>
      <c r="C70">
        <v>30.41</v>
      </c>
      <c r="D70">
        <v>-97.01</v>
      </c>
      <c r="E70">
        <v>141.69999999999999</v>
      </c>
      <c r="F70" t="s">
        <v>3595</v>
      </c>
    </row>
    <row r="71" spans="1:6" x14ac:dyDescent="0.3">
      <c r="A71">
        <v>67</v>
      </c>
      <c r="B71" t="s">
        <v>3485</v>
      </c>
      <c r="C71">
        <v>29.68</v>
      </c>
      <c r="D71">
        <v>-97.66</v>
      </c>
      <c r="E71">
        <v>121.9</v>
      </c>
      <c r="F71" t="s">
        <v>3596</v>
      </c>
    </row>
    <row r="72" spans="1:6" x14ac:dyDescent="0.3">
      <c r="A72">
        <v>68</v>
      </c>
      <c r="B72" t="s">
        <v>3486</v>
      </c>
      <c r="C72">
        <v>30.94</v>
      </c>
      <c r="D72">
        <v>-95.92</v>
      </c>
      <c r="E72">
        <v>76.8</v>
      </c>
      <c r="F72" t="s">
        <v>3597</v>
      </c>
    </row>
    <row r="73" spans="1:6" x14ac:dyDescent="0.3">
      <c r="A73">
        <v>69</v>
      </c>
      <c r="B73" t="s">
        <v>3487</v>
      </c>
      <c r="C73">
        <v>31.33</v>
      </c>
      <c r="D73">
        <v>-96.86</v>
      </c>
      <c r="E73">
        <v>117.3</v>
      </c>
      <c r="F73" t="s">
        <v>3598</v>
      </c>
    </row>
    <row r="74" spans="1:6" x14ac:dyDescent="0.3">
      <c r="A74">
        <v>70</v>
      </c>
      <c r="B74" t="s">
        <v>3488</v>
      </c>
      <c r="C74">
        <v>30.75</v>
      </c>
      <c r="D74">
        <v>-99.23</v>
      </c>
      <c r="E74">
        <v>472.4</v>
      </c>
      <c r="F74" t="s">
        <v>3599</v>
      </c>
    </row>
    <row r="75" spans="1:6" x14ac:dyDescent="0.3">
      <c r="A75">
        <v>71</v>
      </c>
      <c r="B75" t="s">
        <v>3489</v>
      </c>
      <c r="C75">
        <v>31.44</v>
      </c>
      <c r="D75">
        <v>-97.4</v>
      </c>
      <c r="E75">
        <v>220.4</v>
      </c>
      <c r="F75" t="s">
        <v>3600</v>
      </c>
    </row>
    <row r="76" spans="1:6" x14ac:dyDescent="0.3">
      <c r="A76">
        <v>72</v>
      </c>
      <c r="B76" t="s">
        <v>3490</v>
      </c>
      <c r="C76">
        <v>31.7</v>
      </c>
      <c r="D76">
        <v>-96.51</v>
      </c>
      <c r="E76">
        <v>161.5</v>
      </c>
      <c r="F76" t="s">
        <v>3601</v>
      </c>
    </row>
    <row r="77" spans="1:6" x14ac:dyDescent="0.3">
      <c r="A77">
        <v>73</v>
      </c>
      <c r="B77" t="s">
        <v>3491</v>
      </c>
      <c r="C77">
        <v>32.78</v>
      </c>
      <c r="D77">
        <v>-98.06</v>
      </c>
      <c r="E77">
        <v>283.5</v>
      </c>
      <c r="F77" t="s">
        <v>3602</v>
      </c>
    </row>
    <row r="78" spans="1:6" x14ac:dyDescent="0.3">
      <c r="A78">
        <v>74</v>
      </c>
      <c r="B78" t="s">
        <v>3492</v>
      </c>
      <c r="C78">
        <v>31.96</v>
      </c>
      <c r="D78">
        <v>-96.69</v>
      </c>
      <c r="E78">
        <v>138.4</v>
      </c>
      <c r="F78" t="s">
        <v>3603</v>
      </c>
    </row>
    <row r="79" spans="1:6" x14ac:dyDescent="0.3">
      <c r="A79">
        <v>75</v>
      </c>
      <c r="B79" t="s">
        <v>3493</v>
      </c>
      <c r="C79">
        <v>29.72</v>
      </c>
      <c r="D79">
        <v>-98.12</v>
      </c>
      <c r="E79">
        <v>208.8</v>
      </c>
      <c r="F79" t="s">
        <v>3604</v>
      </c>
    </row>
    <row r="80" spans="1:6" x14ac:dyDescent="0.3">
      <c r="A80">
        <v>76</v>
      </c>
      <c r="B80" t="s">
        <v>3494</v>
      </c>
      <c r="C80">
        <v>29.27</v>
      </c>
      <c r="D80">
        <v>-97.76</v>
      </c>
      <c r="E80">
        <v>121.9</v>
      </c>
      <c r="F80" t="s">
        <v>3605</v>
      </c>
    </row>
    <row r="81" spans="1:6" x14ac:dyDescent="0.3">
      <c r="A81">
        <v>77</v>
      </c>
      <c r="B81" t="s">
        <v>3495</v>
      </c>
      <c r="C81">
        <v>33.369999999999997</v>
      </c>
      <c r="D81">
        <v>-98.77</v>
      </c>
      <c r="E81">
        <v>364.2</v>
      </c>
      <c r="F81" t="s">
        <v>3606</v>
      </c>
    </row>
    <row r="82" spans="1:6" x14ac:dyDescent="0.3">
      <c r="A82">
        <v>78</v>
      </c>
      <c r="B82" t="s">
        <v>3496</v>
      </c>
      <c r="C82">
        <v>30.02</v>
      </c>
      <c r="D82">
        <v>-97.15</v>
      </c>
      <c r="E82">
        <v>103.6</v>
      </c>
      <c r="F82" t="s">
        <v>3607</v>
      </c>
    </row>
    <row r="83" spans="1:6" x14ac:dyDescent="0.3">
      <c r="A83">
        <v>79</v>
      </c>
      <c r="B83" t="s">
        <v>3497</v>
      </c>
      <c r="C83">
        <v>31.07</v>
      </c>
      <c r="D83">
        <v>-97.73</v>
      </c>
      <c r="E83">
        <v>277.39999999999998</v>
      </c>
      <c r="F83" t="s">
        <v>3608</v>
      </c>
    </row>
    <row r="84" spans="1:6" x14ac:dyDescent="0.3">
      <c r="A84">
        <v>80</v>
      </c>
      <c r="B84" t="s">
        <v>3498</v>
      </c>
      <c r="C84">
        <v>31.04</v>
      </c>
      <c r="D84">
        <v>-97.53</v>
      </c>
      <c r="E84">
        <v>215.2</v>
      </c>
      <c r="F84" t="s">
        <v>3609</v>
      </c>
    </row>
    <row r="85" spans="1:6" x14ac:dyDescent="0.3">
      <c r="A85">
        <v>81</v>
      </c>
      <c r="B85" t="s">
        <v>3499</v>
      </c>
      <c r="C85">
        <v>31.08</v>
      </c>
      <c r="D85">
        <v>-97.32</v>
      </c>
      <c r="E85">
        <v>193.5</v>
      </c>
      <c r="F85" t="s">
        <v>3610</v>
      </c>
    </row>
    <row r="86" spans="1:6" x14ac:dyDescent="0.3">
      <c r="A86">
        <v>82</v>
      </c>
      <c r="B86" t="s">
        <v>3500</v>
      </c>
      <c r="C86">
        <v>31.86</v>
      </c>
      <c r="D86">
        <v>-97.38</v>
      </c>
      <c r="E86">
        <v>174.9</v>
      </c>
      <c r="F86" t="s">
        <v>3611</v>
      </c>
    </row>
    <row r="87" spans="1:6" x14ac:dyDescent="0.3">
      <c r="A87">
        <v>83</v>
      </c>
      <c r="B87" t="s">
        <v>3501</v>
      </c>
      <c r="C87">
        <v>30.34</v>
      </c>
      <c r="D87">
        <v>-96.54</v>
      </c>
      <c r="E87">
        <v>80.2</v>
      </c>
      <c r="F87" t="s">
        <v>3612</v>
      </c>
    </row>
    <row r="88" spans="1:6" x14ac:dyDescent="0.3">
      <c r="A88">
        <v>84</v>
      </c>
      <c r="B88" t="s">
        <v>3502</v>
      </c>
      <c r="C88">
        <v>32.369999999999997</v>
      </c>
      <c r="D88">
        <v>-99.19</v>
      </c>
      <c r="E88">
        <v>496.8</v>
      </c>
      <c r="F88" t="s">
        <v>3613</v>
      </c>
    </row>
    <row r="89" spans="1:6" x14ac:dyDescent="0.3">
      <c r="A89">
        <v>85</v>
      </c>
      <c r="B89" t="s">
        <v>3503</v>
      </c>
      <c r="C89">
        <v>33.04</v>
      </c>
      <c r="D89">
        <v>-96.49</v>
      </c>
      <c r="E89">
        <v>155.4</v>
      </c>
      <c r="F89" t="s">
        <v>3614</v>
      </c>
    </row>
    <row r="90" spans="1:6" x14ac:dyDescent="0.3">
      <c r="A90">
        <v>86</v>
      </c>
      <c r="B90" t="s">
        <v>3504</v>
      </c>
      <c r="C90">
        <v>33.24</v>
      </c>
      <c r="D90">
        <v>-96.64</v>
      </c>
      <c r="E90">
        <v>189.6</v>
      </c>
      <c r="F90" t="s">
        <v>3615</v>
      </c>
    </row>
    <row r="91" spans="1:6" x14ac:dyDescent="0.3">
      <c r="A91">
        <v>87</v>
      </c>
      <c r="B91" t="s">
        <v>3505</v>
      </c>
      <c r="C91">
        <v>31.96</v>
      </c>
      <c r="D91">
        <v>-98.49</v>
      </c>
      <c r="E91">
        <v>372.1</v>
      </c>
      <c r="F91" t="s">
        <v>3616</v>
      </c>
    </row>
    <row r="92" spans="1:6" x14ac:dyDescent="0.3">
      <c r="A92">
        <v>88</v>
      </c>
      <c r="B92" t="s">
        <v>3506</v>
      </c>
      <c r="C92">
        <v>33.65</v>
      </c>
      <c r="D92">
        <v>-97.06</v>
      </c>
      <c r="E92">
        <v>265.2</v>
      </c>
      <c r="F92" t="s">
        <v>3617</v>
      </c>
    </row>
    <row r="93" spans="1:6" x14ac:dyDescent="0.3">
      <c r="A93">
        <v>89</v>
      </c>
      <c r="B93" t="s">
        <v>3507</v>
      </c>
      <c r="C93">
        <v>33.369999999999997</v>
      </c>
      <c r="D93">
        <v>-97.01</v>
      </c>
      <c r="E93">
        <v>210.3</v>
      </c>
      <c r="F93" t="s">
        <v>3618</v>
      </c>
    </row>
    <row r="94" spans="1:6" x14ac:dyDescent="0.3">
      <c r="A94">
        <v>90</v>
      </c>
      <c r="B94" t="s">
        <v>3508</v>
      </c>
      <c r="C94">
        <v>32.08</v>
      </c>
      <c r="D94">
        <v>-98.97</v>
      </c>
      <c r="E94">
        <v>497.7</v>
      </c>
      <c r="F94" t="s">
        <v>3619</v>
      </c>
    </row>
    <row r="95" spans="1:6" x14ac:dyDescent="0.3">
      <c r="A95">
        <v>91</v>
      </c>
      <c r="B95" t="s">
        <v>3509</v>
      </c>
      <c r="C95">
        <v>32.43</v>
      </c>
      <c r="D95">
        <v>-96.84</v>
      </c>
      <c r="E95">
        <v>192</v>
      </c>
      <c r="F95" t="s">
        <v>3620</v>
      </c>
    </row>
    <row r="96" spans="1:6" x14ac:dyDescent="0.3">
      <c r="A96">
        <v>92</v>
      </c>
      <c r="B96" t="s">
        <v>3510</v>
      </c>
      <c r="C96">
        <v>32.25</v>
      </c>
      <c r="D96">
        <v>-98.2</v>
      </c>
      <c r="E96">
        <v>399</v>
      </c>
      <c r="F96" t="s">
        <v>3621</v>
      </c>
    </row>
    <row r="97" spans="1:6" x14ac:dyDescent="0.3">
      <c r="A97">
        <v>93</v>
      </c>
      <c r="B97" t="s">
        <v>3511</v>
      </c>
      <c r="C97">
        <v>33.700000000000003</v>
      </c>
      <c r="D97">
        <v>-96.64</v>
      </c>
      <c r="E97">
        <v>231.6</v>
      </c>
      <c r="F97" t="s">
        <v>3622</v>
      </c>
    </row>
    <row r="98" spans="1:6" x14ac:dyDescent="0.3">
      <c r="A98">
        <v>94</v>
      </c>
      <c r="B98" t="s">
        <v>3512</v>
      </c>
      <c r="C98">
        <v>31.7</v>
      </c>
      <c r="D98">
        <v>-98.1</v>
      </c>
      <c r="E98">
        <v>384</v>
      </c>
      <c r="F98" t="s">
        <v>3623</v>
      </c>
    </row>
    <row r="99" spans="1:6" x14ac:dyDescent="0.3">
      <c r="A99">
        <v>95</v>
      </c>
      <c r="B99" t="s">
        <v>3513</v>
      </c>
      <c r="C99">
        <v>29.87</v>
      </c>
      <c r="D99">
        <v>-97.92</v>
      </c>
      <c r="E99">
        <v>186.5</v>
      </c>
      <c r="F99" t="s">
        <v>3624</v>
      </c>
    </row>
    <row r="100" spans="1:6" x14ac:dyDescent="0.3">
      <c r="A100">
        <v>96</v>
      </c>
      <c r="B100" t="s">
        <v>3514</v>
      </c>
      <c r="C100">
        <v>33.67</v>
      </c>
      <c r="D100">
        <v>-95.56</v>
      </c>
      <c r="E100">
        <v>165.2</v>
      </c>
      <c r="F100" t="s">
        <v>3625</v>
      </c>
    </row>
    <row r="101" spans="1:6" x14ac:dyDescent="0.3">
      <c r="A101">
        <v>97</v>
      </c>
      <c r="B101" t="s">
        <v>3515</v>
      </c>
      <c r="C101">
        <v>31.6</v>
      </c>
      <c r="D101">
        <v>-97.22</v>
      </c>
      <c r="E101">
        <v>150.9</v>
      </c>
      <c r="F101" t="s">
        <v>3626</v>
      </c>
    </row>
    <row r="102" spans="1:6" x14ac:dyDescent="0.3">
      <c r="A102">
        <v>98</v>
      </c>
      <c r="B102" t="s">
        <v>3516</v>
      </c>
      <c r="C102">
        <v>31.62</v>
      </c>
      <c r="D102">
        <v>-97.23</v>
      </c>
      <c r="E102">
        <v>152.4</v>
      </c>
      <c r="F102" t="s">
        <v>3627</v>
      </c>
    </row>
    <row r="103" spans="1:6" x14ac:dyDescent="0.3">
      <c r="A103">
        <v>99</v>
      </c>
      <c r="B103" t="s">
        <v>3517</v>
      </c>
      <c r="C103">
        <v>32.75</v>
      </c>
      <c r="D103">
        <v>-97.77</v>
      </c>
      <c r="E103">
        <v>291.10000000000002</v>
      </c>
      <c r="F103" t="s">
        <v>3628</v>
      </c>
    </row>
    <row r="104" spans="1:6" x14ac:dyDescent="0.3">
      <c r="A104">
        <v>100</v>
      </c>
      <c r="B104" t="s">
        <v>3518</v>
      </c>
      <c r="C104">
        <v>32.770000000000003</v>
      </c>
      <c r="D104">
        <v>-98.93</v>
      </c>
      <c r="E104">
        <v>406</v>
      </c>
      <c r="F104" t="s">
        <v>3629</v>
      </c>
    </row>
    <row r="105" spans="1:6" x14ac:dyDescent="0.3">
      <c r="A105">
        <v>101</v>
      </c>
      <c r="B105" t="s">
        <v>3519</v>
      </c>
      <c r="C105">
        <v>33.18</v>
      </c>
      <c r="D105">
        <v>-99.19</v>
      </c>
      <c r="E105">
        <v>417.6</v>
      </c>
      <c r="F105" t="s">
        <v>3630</v>
      </c>
    </row>
    <row r="106" spans="1:6" x14ac:dyDescent="0.3">
      <c r="A106">
        <v>102</v>
      </c>
      <c r="B106" t="s">
        <v>3520</v>
      </c>
      <c r="C106">
        <v>33.29</v>
      </c>
      <c r="D106">
        <v>-99.1</v>
      </c>
      <c r="E106">
        <v>374.9</v>
      </c>
      <c r="F106" t="s">
        <v>3631</v>
      </c>
    </row>
    <row r="107" spans="1:6" x14ac:dyDescent="0.3">
      <c r="A107">
        <v>103</v>
      </c>
      <c r="B107" t="s">
        <v>3521</v>
      </c>
      <c r="C107">
        <v>30.32</v>
      </c>
      <c r="D107">
        <v>-96.16</v>
      </c>
      <c r="E107">
        <v>65.5</v>
      </c>
      <c r="F107" t="s">
        <v>3632</v>
      </c>
    </row>
    <row r="108" spans="1:6" x14ac:dyDescent="0.3">
      <c r="A108">
        <v>104</v>
      </c>
      <c r="B108" t="s">
        <v>3522</v>
      </c>
      <c r="C108">
        <v>30.68</v>
      </c>
      <c r="D108">
        <v>-97.72</v>
      </c>
      <c r="E108">
        <v>256</v>
      </c>
      <c r="F108" t="s">
        <v>3633</v>
      </c>
    </row>
    <row r="109" spans="1:6" x14ac:dyDescent="0.3">
      <c r="A109">
        <v>105</v>
      </c>
      <c r="B109" t="s">
        <v>3523</v>
      </c>
      <c r="C109">
        <v>30.7</v>
      </c>
      <c r="D109">
        <v>-97.35</v>
      </c>
      <c r="E109">
        <v>172.2</v>
      </c>
      <c r="F109" t="s">
        <v>3634</v>
      </c>
    </row>
    <row r="110" spans="1:6" x14ac:dyDescent="0.3">
      <c r="A110">
        <v>106</v>
      </c>
      <c r="B110" t="s">
        <v>3524</v>
      </c>
      <c r="C110">
        <v>30.57</v>
      </c>
      <c r="D110">
        <v>-97.41</v>
      </c>
      <c r="E110">
        <v>172.2</v>
      </c>
      <c r="F110" t="s">
        <v>3635</v>
      </c>
    </row>
    <row r="111" spans="1:6" x14ac:dyDescent="0.3">
      <c r="A111">
        <v>107</v>
      </c>
      <c r="B111" t="s">
        <v>3525</v>
      </c>
      <c r="C111">
        <v>30.58</v>
      </c>
      <c r="D111">
        <v>-97.42</v>
      </c>
      <c r="E111">
        <v>174</v>
      </c>
      <c r="F111" t="s">
        <v>3636</v>
      </c>
    </row>
    <row r="112" spans="1:6" x14ac:dyDescent="0.3">
      <c r="A112">
        <v>108</v>
      </c>
      <c r="B112" t="s">
        <v>3526</v>
      </c>
      <c r="C112">
        <v>33.08</v>
      </c>
      <c r="D112">
        <v>-97.56</v>
      </c>
      <c r="E112">
        <v>222.5</v>
      </c>
      <c r="F112" t="s">
        <v>3637</v>
      </c>
    </row>
    <row r="113" spans="1:6" x14ac:dyDescent="0.3">
      <c r="A113">
        <v>109</v>
      </c>
      <c r="B113" t="s">
        <v>3527</v>
      </c>
      <c r="C113">
        <v>31.33</v>
      </c>
      <c r="D113">
        <v>-96.85</v>
      </c>
      <c r="E113">
        <v>36.1</v>
      </c>
      <c r="F113" t="s">
        <v>3640</v>
      </c>
    </row>
    <row r="114" spans="1:6" x14ac:dyDescent="0.3">
      <c r="A114">
        <v>110</v>
      </c>
      <c r="B114" t="s">
        <v>3528</v>
      </c>
      <c r="C114">
        <v>-31.6</v>
      </c>
      <c r="D114">
        <v>-55.7</v>
      </c>
      <c r="E114">
        <v>180</v>
      </c>
      <c r="F114" t="s">
        <v>3639</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50" r:id="rId3" name="cmdWriteWtr">
          <controlPr defaultSize="0" autoLine="0" r:id="rId4">
            <anchor moveWithCells="1">
              <from>
                <xdr:col>6</xdr:col>
                <xdr:colOff>259080</xdr:colOff>
                <xdr:row>0</xdr:row>
                <xdr:rowOff>68580</xdr:rowOff>
              </from>
              <to>
                <xdr:col>8</xdr:col>
                <xdr:colOff>60960</xdr:colOff>
                <xdr:row>1</xdr:row>
                <xdr:rowOff>114300</xdr:rowOff>
              </to>
            </anchor>
          </controlPr>
        </control>
      </mc:Choice>
      <mc:Fallback>
        <control shapeId="27650" r:id="rId3" name="cmdWriteWtr"/>
      </mc:Fallback>
    </mc:AlternateContent>
    <mc:AlternateContent xmlns:mc="http://schemas.openxmlformats.org/markup-compatibility/2006">
      <mc:Choice Requires="x14">
        <control shapeId="27649" r:id="rId5" name="cmdReadWtr">
          <controlPr defaultSize="0" autoLine="0" r:id="rId6">
            <anchor moveWithCells="1">
              <from>
                <xdr:col>5</xdr:col>
                <xdr:colOff>632460</xdr:colOff>
                <xdr:row>0</xdr:row>
                <xdr:rowOff>76200</xdr:rowOff>
              </from>
              <to>
                <xdr:col>6</xdr:col>
                <xdr:colOff>175260</xdr:colOff>
                <xdr:row>1</xdr:row>
                <xdr:rowOff>121920</xdr:rowOff>
              </to>
            </anchor>
          </controlPr>
        </control>
      </mc:Choice>
      <mc:Fallback>
        <control shapeId="27649" r:id="rId5" name="cmdReadWt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J114"/>
  <sheetViews>
    <sheetView workbookViewId="0">
      <pane ySplit="4" topLeftCell="A5" activePane="bottomLeft" state="frozen"/>
      <selection pane="bottomLeft" activeCell="A5" sqref="A5"/>
    </sheetView>
  </sheetViews>
  <sheetFormatPr defaultRowHeight="14.4" x14ac:dyDescent="0.3"/>
  <cols>
    <col min="1" max="1" width="12.109375" customWidth="1"/>
    <col min="2" max="2" width="17" customWidth="1"/>
    <col min="3" max="5" width="9.6640625" customWidth="1"/>
    <col min="6" max="6" width="22.5546875" bestFit="1" customWidth="1"/>
  </cols>
  <sheetData>
    <row r="1" spans="1:6" ht="21" x14ac:dyDescent="0.3">
      <c r="A1" s="125" t="s">
        <v>1455</v>
      </c>
    </row>
    <row r="2" spans="1:6" x14ac:dyDescent="0.3">
      <c r="A2" s="91" t="s">
        <v>1462</v>
      </c>
      <c r="B2" s="92"/>
      <c r="C2" s="93" t="s">
        <v>1463</v>
      </c>
    </row>
    <row r="4" spans="1:6" s="8" customFormat="1" x14ac:dyDescent="0.3">
      <c r="A4" s="138" t="s">
        <v>1141</v>
      </c>
      <c r="B4" s="138" t="s">
        <v>1142</v>
      </c>
      <c r="C4" s="138" t="s">
        <v>1270</v>
      </c>
      <c r="D4" s="138" t="s">
        <v>1269</v>
      </c>
      <c r="E4" s="172" t="s">
        <v>1839</v>
      </c>
      <c r="F4" s="172"/>
    </row>
    <row r="5" spans="1:6" x14ac:dyDescent="0.3">
      <c r="A5">
        <v>1</v>
      </c>
      <c r="B5" t="s">
        <v>3641</v>
      </c>
      <c r="C5" s="28">
        <v>32.409999999999997</v>
      </c>
      <c r="D5" s="28">
        <v>-99.68</v>
      </c>
      <c r="E5">
        <v>545.6</v>
      </c>
      <c r="F5" t="s">
        <v>3530</v>
      </c>
    </row>
    <row r="6" spans="1:6" x14ac:dyDescent="0.3">
      <c r="A6">
        <v>2</v>
      </c>
      <c r="B6" t="s">
        <v>3642</v>
      </c>
      <c r="C6">
        <v>32.729999999999997</v>
      </c>
      <c r="D6">
        <v>-99.3</v>
      </c>
      <c r="E6">
        <v>426.7</v>
      </c>
      <c r="F6" t="s">
        <v>3531</v>
      </c>
    </row>
    <row r="7" spans="1:6" x14ac:dyDescent="0.3">
      <c r="A7">
        <v>3</v>
      </c>
      <c r="B7" t="s">
        <v>3643</v>
      </c>
      <c r="C7">
        <v>32.75</v>
      </c>
      <c r="D7">
        <v>-99.85</v>
      </c>
      <c r="E7">
        <v>520.29999999999995</v>
      </c>
      <c r="F7" t="s">
        <v>3532</v>
      </c>
    </row>
    <row r="8" spans="1:6" x14ac:dyDescent="0.3">
      <c r="A8">
        <v>4</v>
      </c>
      <c r="B8" t="s">
        <v>3644</v>
      </c>
      <c r="C8">
        <v>33.6</v>
      </c>
      <c r="D8">
        <v>-98.61</v>
      </c>
      <c r="E8">
        <v>321.2</v>
      </c>
      <c r="F8" t="s">
        <v>3533</v>
      </c>
    </row>
    <row r="9" spans="1:6" x14ac:dyDescent="0.3">
      <c r="A9">
        <v>5</v>
      </c>
      <c r="B9" t="s">
        <v>3645</v>
      </c>
      <c r="C9">
        <v>32.74</v>
      </c>
      <c r="D9">
        <v>-97.13</v>
      </c>
      <c r="E9">
        <v>199.6</v>
      </c>
      <c r="F9" t="s">
        <v>3534</v>
      </c>
    </row>
    <row r="10" spans="1:6" x14ac:dyDescent="0.3">
      <c r="A10">
        <v>6</v>
      </c>
      <c r="B10" t="s">
        <v>3646</v>
      </c>
      <c r="C10">
        <v>32.159999999999997</v>
      </c>
      <c r="D10">
        <v>-95.83</v>
      </c>
      <c r="E10">
        <v>136.5</v>
      </c>
      <c r="F10" t="s">
        <v>3535</v>
      </c>
    </row>
    <row r="11" spans="1:6" x14ac:dyDescent="0.3">
      <c r="A11">
        <v>7</v>
      </c>
      <c r="B11" t="s">
        <v>3647</v>
      </c>
      <c r="C11">
        <v>30.32</v>
      </c>
      <c r="D11">
        <v>-97.76</v>
      </c>
      <c r="E11">
        <v>204.2</v>
      </c>
      <c r="F11" t="s">
        <v>3536</v>
      </c>
    </row>
    <row r="12" spans="1:6" x14ac:dyDescent="0.3">
      <c r="A12">
        <v>8</v>
      </c>
      <c r="B12" t="s">
        <v>3648</v>
      </c>
      <c r="C12">
        <v>32.26</v>
      </c>
      <c r="D12">
        <v>-96.64</v>
      </c>
      <c r="E12">
        <v>140.5</v>
      </c>
      <c r="F12" t="s">
        <v>3537</v>
      </c>
    </row>
    <row r="13" spans="1:6" x14ac:dyDescent="0.3">
      <c r="A13">
        <v>9</v>
      </c>
      <c r="B13" t="s">
        <v>3649</v>
      </c>
      <c r="C13">
        <v>28.46</v>
      </c>
      <c r="D13">
        <v>-97.71</v>
      </c>
      <c r="E13">
        <v>77.7</v>
      </c>
      <c r="F13" t="s">
        <v>3538</v>
      </c>
    </row>
    <row r="14" spans="1:6" x14ac:dyDescent="0.3">
      <c r="A14">
        <v>10</v>
      </c>
      <c r="B14" t="s">
        <v>3650</v>
      </c>
      <c r="C14">
        <v>31.1</v>
      </c>
      <c r="D14">
        <v>-97.48</v>
      </c>
      <c r="E14">
        <v>202.4</v>
      </c>
      <c r="F14" t="s">
        <v>3539</v>
      </c>
    </row>
    <row r="15" spans="1:6" x14ac:dyDescent="0.3">
      <c r="A15">
        <v>11</v>
      </c>
      <c r="B15" t="s">
        <v>3651</v>
      </c>
      <c r="C15">
        <v>32.65</v>
      </c>
      <c r="D15">
        <v>-97.44</v>
      </c>
      <c r="E15">
        <v>240.8</v>
      </c>
      <c r="F15" t="s">
        <v>3540</v>
      </c>
    </row>
    <row r="16" spans="1:6" x14ac:dyDescent="0.3">
      <c r="A16">
        <v>12</v>
      </c>
      <c r="B16" t="s">
        <v>3652</v>
      </c>
      <c r="C16">
        <v>30.11</v>
      </c>
      <c r="D16">
        <v>-98.43</v>
      </c>
      <c r="E16">
        <v>419.1</v>
      </c>
      <c r="F16" t="s">
        <v>3541</v>
      </c>
    </row>
    <row r="17" spans="1:6" x14ac:dyDescent="0.3">
      <c r="A17">
        <v>13</v>
      </c>
      <c r="B17" t="s">
        <v>3653</v>
      </c>
      <c r="C17">
        <v>29.8</v>
      </c>
      <c r="D17">
        <v>-98.74</v>
      </c>
      <c r="E17">
        <v>440.1</v>
      </c>
      <c r="F17" t="s">
        <v>3542</v>
      </c>
    </row>
    <row r="18" spans="1:6" x14ac:dyDescent="0.3">
      <c r="A18">
        <v>14</v>
      </c>
      <c r="B18" t="s">
        <v>3654</v>
      </c>
      <c r="C18">
        <v>33.64</v>
      </c>
      <c r="D18">
        <v>-96.17</v>
      </c>
      <c r="E18">
        <v>182.9</v>
      </c>
      <c r="F18" t="s">
        <v>3543</v>
      </c>
    </row>
    <row r="19" spans="1:6" x14ac:dyDescent="0.3">
      <c r="A19">
        <v>15</v>
      </c>
      <c r="B19" t="s">
        <v>3655</v>
      </c>
      <c r="C19">
        <v>33.549999999999997</v>
      </c>
      <c r="D19">
        <v>-97.85</v>
      </c>
      <c r="E19">
        <v>329.2</v>
      </c>
      <c r="F19" t="s">
        <v>3544</v>
      </c>
    </row>
    <row r="20" spans="1:6" x14ac:dyDescent="0.3">
      <c r="A20">
        <v>16</v>
      </c>
      <c r="B20" t="s">
        <v>3656</v>
      </c>
      <c r="C20">
        <v>31.14</v>
      </c>
      <c r="D20">
        <v>-99.35</v>
      </c>
      <c r="E20">
        <v>521.20000000000005</v>
      </c>
      <c r="F20" t="s">
        <v>3545</v>
      </c>
    </row>
    <row r="21" spans="1:6" x14ac:dyDescent="0.3">
      <c r="A21">
        <v>17</v>
      </c>
      <c r="B21" t="s">
        <v>3657</v>
      </c>
      <c r="C21">
        <v>32.75</v>
      </c>
      <c r="D21">
        <v>-98.9</v>
      </c>
      <c r="E21">
        <v>356.6</v>
      </c>
      <c r="F21" t="s">
        <v>3546</v>
      </c>
    </row>
    <row r="22" spans="1:6" x14ac:dyDescent="0.3">
      <c r="A22">
        <v>18</v>
      </c>
      <c r="B22" t="s">
        <v>3658</v>
      </c>
      <c r="C22">
        <v>30.16</v>
      </c>
      <c r="D22">
        <v>-96.4</v>
      </c>
      <c r="E22">
        <v>95.4</v>
      </c>
      <c r="F22" t="s">
        <v>3547</v>
      </c>
    </row>
    <row r="23" spans="1:6" x14ac:dyDescent="0.3">
      <c r="A23">
        <v>19</v>
      </c>
      <c r="B23" t="s">
        <v>3659</v>
      </c>
      <c r="C23">
        <v>33.21</v>
      </c>
      <c r="D23">
        <v>-97.78</v>
      </c>
      <c r="E23">
        <v>234.4</v>
      </c>
      <c r="F23" t="s">
        <v>3548</v>
      </c>
    </row>
    <row r="24" spans="1:6" x14ac:dyDescent="0.3">
      <c r="A24">
        <v>20</v>
      </c>
      <c r="B24" t="s">
        <v>3660</v>
      </c>
      <c r="C24">
        <v>31.74</v>
      </c>
      <c r="D24">
        <v>-98.95</v>
      </c>
      <c r="E24">
        <v>426.7</v>
      </c>
      <c r="F24" t="s">
        <v>3549</v>
      </c>
    </row>
    <row r="25" spans="1:6" x14ac:dyDescent="0.3">
      <c r="A25">
        <v>21</v>
      </c>
      <c r="B25" t="s">
        <v>3661</v>
      </c>
      <c r="C25">
        <v>32.51</v>
      </c>
      <c r="D25">
        <v>-97.34</v>
      </c>
      <c r="E25">
        <v>232.2</v>
      </c>
      <c r="F25" t="s">
        <v>3550</v>
      </c>
    </row>
    <row r="26" spans="1:6" x14ac:dyDescent="0.3">
      <c r="A26">
        <v>22</v>
      </c>
      <c r="B26" t="s">
        <v>3662</v>
      </c>
      <c r="C26">
        <v>30.76</v>
      </c>
      <c r="D26">
        <v>-98.23</v>
      </c>
      <c r="E26">
        <v>391.6</v>
      </c>
      <c r="F26" t="s">
        <v>3551</v>
      </c>
    </row>
    <row r="27" spans="1:6" x14ac:dyDescent="0.3">
      <c r="A27">
        <v>23</v>
      </c>
      <c r="B27" t="s">
        <v>3663</v>
      </c>
      <c r="C27">
        <v>30.85</v>
      </c>
      <c r="D27">
        <v>-96.97</v>
      </c>
      <c r="E27">
        <v>110.9</v>
      </c>
      <c r="F27" t="s">
        <v>3552</v>
      </c>
    </row>
    <row r="28" spans="1:6" x14ac:dyDescent="0.3">
      <c r="A28">
        <v>24</v>
      </c>
      <c r="B28" t="s">
        <v>3664</v>
      </c>
      <c r="C28">
        <v>29.87</v>
      </c>
      <c r="D28">
        <v>-98.2</v>
      </c>
      <c r="E28">
        <v>304.8</v>
      </c>
      <c r="F28" t="s">
        <v>3553</v>
      </c>
    </row>
    <row r="29" spans="1:6" x14ac:dyDescent="0.3">
      <c r="A29">
        <v>25</v>
      </c>
      <c r="B29" t="s">
        <v>3665</v>
      </c>
      <c r="C29">
        <v>31.26</v>
      </c>
      <c r="D29">
        <v>-95.97</v>
      </c>
      <c r="E29">
        <v>97.5</v>
      </c>
      <c r="F29" t="s">
        <v>3554</v>
      </c>
    </row>
    <row r="30" spans="1:6" x14ac:dyDescent="0.3">
      <c r="A30">
        <v>26</v>
      </c>
      <c r="B30" t="s">
        <v>3666</v>
      </c>
      <c r="C30">
        <v>33.619999999999997</v>
      </c>
      <c r="D30">
        <v>-95.07</v>
      </c>
      <c r="E30">
        <v>132.6</v>
      </c>
      <c r="F30" t="s">
        <v>3555</v>
      </c>
    </row>
    <row r="31" spans="1:6" x14ac:dyDescent="0.3">
      <c r="A31">
        <v>27</v>
      </c>
      <c r="B31" t="s">
        <v>3667</v>
      </c>
      <c r="C31">
        <v>32.31</v>
      </c>
      <c r="D31">
        <v>-97.41</v>
      </c>
      <c r="E31">
        <v>238.6</v>
      </c>
      <c r="F31" t="s">
        <v>3556</v>
      </c>
    </row>
    <row r="32" spans="1:6" x14ac:dyDescent="0.3">
      <c r="A32">
        <v>28</v>
      </c>
      <c r="B32" t="s">
        <v>3668</v>
      </c>
      <c r="C32">
        <v>31.82</v>
      </c>
      <c r="D32">
        <v>-99.42</v>
      </c>
      <c r="E32">
        <v>526.4</v>
      </c>
      <c r="F32" t="s">
        <v>3557</v>
      </c>
    </row>
    <row r="33" spans="1:6" x14ac:dyDescent="0.3">
      <c r="A33">
        <v>29</v>
      </c>
      <c r="B33" t="s">
        <v>3669</v>
      </c>
      <c r="C33">
        <v>30.59</v>
      </c>
      <c r="D33">
        <v>-96.37</v>
      </c>
      <c r="E33">
        <v>93</v>
      </c>
      <c r="F33" t="s">
        <v>3558</v>
      </c>
    </row>
    <row r="34" spans="1:6" x14ac:dyDescent="0.3">
      <c r="A34">
        <v>30</v>
      </c>
      <c r="B34" t="s">
        <v>3670</v>
      </c>
      <c r="C34">
        <v>29.7</v>
      </c>
      <c r="D34">
        <v>-96.57</v>
      </c>
      <c r="E34">
        <v>68.599999999999994</v>
      </c>
      <c r="F34" t="s">
        <v>3559</v>
      </c>
    </row>
    <row r="35" spans="1:6" x14ac:dyDescent="0.3">
      <c r="A35">
        <v>31</v>
      </c>
      <c r="B35" t="s">
        <v>3671</v>
      </c>
      <c r="C35">
        <v>32.119999999999997</v>
      </c>
      <c r="D35">
        <v>-96.49</v>
      </c>
      <c r="E35">
        <v>136.80000000000001</v>
      </c>
      <c r="F35" t="s">
        <v>3560</v>
      </c>
    </row>
    <row r="36" spans="1:6" x14ac:dyDescent="0.3">
      <c r="A36">
        <v>32</v>
      </c>
      <c r="B36" t="s">
        <v>3672</v>
      </c>
      <c r="C36">
        <v>32.9</v>
      </c>
      <c r="D36">
        <v>-97.02</v>
      </c>
      <c r="E36">
        <v>170.7</v>
      </c>
      <c r="F36" t="s">
        <v>3561</v>
      </c>
    </row>
    <row r="37" spans="1:6" x14ac:dyDescent="0.3">
      <c r="A37">
        <v>33</v>
      </c>
      <c r="B37" t="s">
        <v>3673</v>
      </c>
      <c r="C37">
        <v>32.85</v>
      </c>
      <c r="D37">
        <v>-96.86</v>
      </c>
      <c r="E37">
        <v>134.1</v>
      </c>
      <c r="F37" t="s">
        <v>3562</v>
      </c>
    </row>
    <row r="38" spans="1:6" x14ac:dyDescent="0.3">
      <c r="A38">
        <v>34</v>
      </c>
      <c r="B38" t="s">
        <v>3674</v>
      </c>
      <c r="C38">
        <v>33.82</v>
      </c>
      <c r="D38">
        <v>-96.57</v>
      </c>
      <c r="E38">
        <v>186.8</v>
      </c>
      <c r="F38" t="s">
        <v>3563</v>
      </c>
    </row>
    <row r="39" spans="1:6" x14ac:dyDescent="0.3">
      <c r="A39">
        <v>35</v>
      </c>
      <c r="B39" t="s">
        <v>3675</v>
      </c>
      <c r="C39">
        <v>33.200000000000003</v>
      </c>
      <c r="D39">
        <v>-97.11</v>
      </c>
      <c r="E39">
        <v>192</v>
      </c>
      <c r="F39" t="s">
        <v>3564</v>
      </c>
    </row>
    <row r="40" spans="1:6" x14ac:dyDescent="0.3">
      <c r="A40">
        <v>36</v>
      </c>
      <c r="B40" t="s">
        <v>3676</v>
      </c>
      <c r="C40">
        <v>30.21</v>
      </c>
      <c r="D40">
        <v>-97.98</v>
      </c>
      <c r="E40">
        <v>341.4</v>
      </c>
      <c r="F40" t="s">
        <v>3565</v>
      </c>
    </row>
    <row r="41" spans="1:6" x14ac:dyDescent="0.3">
      <c r="A41">
        <v>37</v>
      </c>
      <c r="B41" t="s">
        <v>3677</v>
      </c>
      <c r="C41">
        <v>32.06</v>
      </c>
      <c r="D41">
        <v>-98.31</v>
      </c>
      <c r="E41">
        <v>447.4</v>
      </c>
      <c r="F41" t="s">
        <v>3566</v>
      </c>
    </row>
    <row r="42" spans="1:6" x14ac:dyDescent="0.3">
      <c r="A42">
        <v>38</v>
      </c>
      <c r="B42" t="s">
        <v>3678</v>
      </c>
      <c r="C42">
        <v>32.4</v>
      </c>
      <c r="D42">
        <v>-98.82</v>
      </c>
      <c r="E42">
        <v>438.3</v>
      </c>
      <c r="F42" t="s">
        <v>3567</v>
      </c>
    </row>
    <row r="43" spans="1:6" x14ac:dyDescent="0.3">
      <c r="A43">
        <v>39</v>
      </c>
      <c r="B43" t="s">
        <v>3679</v>
      </c>
      <c r="C43">
        <v>30.35</v>
      </c>
      <c r="D43">
        <v>-97.37</v>
      </c>
      <c r="E43">
        <v>176.5</v>
      </c>
      <c r="F43" t="s">
        <v>3568</v>
      </c>
    </row>
    <row r="44" spans="1:6" x14ac:dyDescent="0.3">
      <c r="A44">
        <v>40</v>
      </c>
      <c r="B44" t="s">
        <v>3680</v>
      </c>
      <c r="C44">
        <v>32.869999999999997</v>
      </c>
      <c r="D44">
        <v>-95.78</v>
      </c>
      <c r="E44">
        <v>147.5</v>
      </c>
      <c r="F44" t="s">
        <v>3569</v>
      </c>
    </row>
    <row r="45" spans="1:6" x14ac:dyDescent="0.3">
      <c r="A45">
        <v>41</v>
      </c>
      <c r="B45" t="s">
        <v>3681</v>
      </c>
      <c r="C45">
        <v>31.46</v>
      </c>
      <c r="D45">
        <v>-98.16</v>
      </c>
      <c r="E45">
        <v>379.5</v>
      </c>
      <c r="F45" t="s">
        <v>3570</v>
      </c>
    </row>
    <row r="46" spans="1:6" x14ac:dyDescent="0.3">
      <c r="A46">
        <v>42</v>
      </c>
      <c r="B46" t="s">
        <v>3682</v>
      </c>
      <c r="C46">
        <v>31.73</v>
      </c>
      <c r="D46">
        <v>-96.21</v>
      </c>
      <c r="E46">
        <v>131.69999999999999</v>
      </c>
      <c r="F46" t="s">
        <v>3571</v>
      </c>
    </row>
    <row r="47" spans="1:6" x14ac:dyDescent="0.3">
      <c r="A47">
        <v>43</v>
      </c>
      <c r="B47" t="s">
        <v>3683</v>
      </c>
      <c r="C47">
        <v>32.53</v>
      </c>
      <c r="D47">
        <v>-96.66</v>
      </c>
      <c r="E47">
        <v>143.19999999999999</v>
      </c>
      <c r="F47" t="s">
        <v>3572</v>
      </c>
    </row>
    <row r="48" spans="1:6" x14ac:dyDescent="0.3">
      <c r="A48">
        <v>44</v>
      </c>
      <c r="B48" t="s">
        <v>3684</v>
      </c>
      <c r="C48">
        <v>29.63</v>
      </c>
      <c r="D48">
        <v>-97.07</v>
      </c>
      <c r="E48">
        <v>143.19999999999999</v>
      </c>
      <c r="F48" t="s">
        <v>3573</v>
      </c>
    </row>
    <row r="49" spans="1:10" x14ac:dyDescent="0.3">
      <c r="A49">
        <v>45</v>
      </c>
      <c r="B49" t="s">
        <v>3685</v>
      </c>
      <c r="C49">
        <v>31.03</v>
      </c>
      <c r="D49">
        <v>-96.49</v>
      </c>
      <c r="E49">
        <v>142.30000000000001</v>
      </c>
      <c r="F49" t="s">
        <v>3574</v>
      </c>
    </row>
    <row r="50" spans="1:10" x14ac:dyDescent="0.3">
      <c r="A50">
        <v>46</v>
      </c>
      <c r="B50" t="s">
        <v>3686</v>
      </c>
      <c r="C50">
        <v>33.64</v>
      </c>
      <c r="D50">
        <v>-97.15</v>
      </c>
      <c r="E50">
        <v>237.7</v>
      </c>
      <c r="F50" t="s">
        <v>3575</v>
      </c>
    </row>
    <row r="51" spans="1:10" x14ac:dyDescent="0.3">
      <c r="A51">
        <v>47</v>
      </c>
      <c r="B51" t="s">
        <v>3687</v>
      </c>
      <c r="C51">
        <v>31.41</v>
      </c>
      <c r="D51">
        <v>-97.7</v>
      </c>
      <c r="E51">
        <v>251.8</v>
      </c>
      <c r="F51" t="s">
        <v>3576</v>
      </c>
    </row>
    <row r="52" spans="1:10" x14ac:dyDescent="0.3">
      <c r="A52">
        <v>48</v>
      </c>
      <c r="B52" t="s">
        <v>3688</v>
      </c>
      <c r="C52">
        <v>30.63</v>
      </c>
      <c r="D52">
        <v>-97.68</v>
      </c>
      <c r="E52">
        <v>228</v>
      </c>
      <c r="F52" t="s">
        <v>3577</v>
      </c>
    </row>
    <row r="53" spans="1:10" x14ac:dyDescent="0.3">
      <c r="A53">
        <v>49</v>
      </c>
      <c r="B53" t="s">
        <v>3689</v>
      </c>
      <c r="C53">
        <v>32.229999999999997</v>
      </c>
      <c r="D53">
        <v>-97.79</v>
      </c>
      <c r="E53">
        <v>199.6</v>
      </c>
      <c r="F53" t="s">
        <v>3578</v>
      </c>
      <c r="J53" t="s">
        <v>3467</v>
      </c>
    </row>
    <row r="54" spans="1:10" x14ac:dyDescent="0.3">
      <c r="A54">
        <v>50</v>
      </c>
      <c r="B54" t="s">
        <v>3690</v>
      </c>
      <c r="C54">
        <v>31.44</v>
      </c>
      <c r="D54">
        <v>-98.59</v>
      </c>
      <c r="E54">
        <v>459.3</v>
      </c>
      <c r="F54" t="s">
        <v>3579</v>
      </c>
    </row>
    <row r="55" spans="1:10" x14ac:dyDescent="0.3">
      <c r="A55">
        <v>51</v>
      </c>
      <c r="B55" t="s">
        <v>3691</v>
      </c>
      <c r="C55">
        <v>29.53</v>
      </c>
      <c r="D55">
        <v>-97.45</v>
      </c>
      <c r="E55">
        <v>115.8</v>
      </c>
      <c r="F55" t="s">
        <v>3580</v>
      </c>
    </row>
    <row r="56" spans="1:10" x14ac:dyDescent="0.3">
      <c r="A56">
        <v>52</v>
      </c>
      <c r="B56" t="s">
        <v>3692</v>
      </c>
      <c r="C56">
        <v>33.119999999999997</v>
      </c>
      <c r="D56">
        <v>-98.57</v>
      </c>
      <c r="E56">
        <v>328.6</v>
      </c>
      <c r="F56" t="s">
        <v>3581</v>
      </c>
    </row>
    <row r="57" spans="1:10" x14ac:dyDescent="0.3">
      <c r="A57">
        <v>53</v>
      </c>
      <c r="B57" t="s">
        <v>3693</v>
      </c>
      <c r="C57">
        <v>32.950000000000003</v>
      </c>
      <c r="D57">
        <v>-97.06</v>
      </c>
      <c r="E57">
        <v>178.3</v>
      </c>
      <c r="F57" t="s">
        <v>3582</v>
      </c>
    </row>
    <row r="58" spans="1:10" x14ac:dyDescent="0.3">
      <c r="A58">
        <v>54</v>
      </c>
      <c r="B58" t="s">
        <v>3694</v>
      </c>
      <c r="C58">
        <v>33.17</v>
      </c>
      <c r="D58">
        <v>-96.1</v>
      </c>
      <c r="E58">
        <v>166.1</v>
      </c>
      <c r="F58" t="s">
        <v>3583</v>
      </c>
    </row>
    <row r="59" spans="1:10" x14ac:dyDescent="0.3">
      <c r="A59">
        <v>55</v>
      </c>
      <c r="B59" t="s">
        <v>3695</v>
      </c>
      <c r="C59">
        <v>29.47</v>
      </c>
      <c r="D59">
        <v>-96.94</v>
      </c>
      <c r="E59">
        <v>83.8</v>
      </c>
      <c r="F59" t="s">
        <v>3584</v>
      </c>
    </row>
    <row r="60" spans="1:10" x14ac:dyDescent="0.3">
      <c r="A60">
        <v>56</v>
      </c>
      <c r="B60" t="s">
        <v>3696</v>
      </c>
      <c r="C60">
        <v>33.159999999999997</v>
      </c>
      <c r="D60">
        <v>-99.75</v>
      </c>
      <c r="E60">
        <v>487.7</v>
      </c>
      <c r="F60" t="s">
        <v>3585</v>
      </c>
    </row>
    <row r="61" spans="1:10" x14ac:dyDescent="0.3">
      <c r="A61">
        <v>57</v>
      </c>
      <c r="B61" t="s">
        <v>3697</v>
      </c>
      <c r="C61">
        <v>33.81</v>
      </c>
      <c r="D61">
        <v>-98.2</v>
      </c>
      <c r="E61">
        <v>283.5</v>
      </c>
      <c r="F61" t="s">
        <v>3586</v>
      </c>
    </row>
    <row r="62" spans="1:10" x14ac:dyDescent="0.3">
      <c r="A62">
        <v>58</v>
      </c>
      <c r="B62" t="s">
        <v>3698</v>
      </c>
      <c r="C62">
        <v>31.98</v>
      </c>
      <c r="D62">
        <v>-98.03</v>
      </c>
      <c r="E62">
        <v>317.89999999999998</v>
      </c>
      <c r="F62" t="s">
        <v>3587</v>
      </c>
    </row>
    <row r="63" spans="1:10" x14ac:dyDescent="0.3">
      <c r="A63">
        <v>59</v>
      </c>
      <c r="B63" t="s">
        <v>3699</v>
      </c>
      <c r="C63">
        <v>32.020000000000003</v>
      </c>
      <c r="D63">
        <v>-97.11</v>
      </c>
      <c r="E63">
        <v>167.6</v>
      </c>
      <c r="F63" t="s">
        <v>3588</v>
      </c>
    </row>
    <row r="64" spans="1:10" x14ac:dyDescent="0.3">
      <c r="A64">
        <v>60</v>
      </c>
      <c r="B64" t="s">
        <v>3700</v>
      </c>
      <c r="C64">
        <v>31.85</v>
      </c>
      <c r="D64">
        <v>-99.56</v>
      </c>
      <c r="E64">
        <v>591.9</v>
      </c>
      <c r="F64" t="s">
        <v>3589</v>
      </c>
    </row>
    <row r="65" spans="1:6" x14ac:dyDescent="0.3">
      <c r="A65">
        <v>61</v>
      </c>
      <c r="B65" t="s">
        <v>3701</v>
      </c>
      <c r="C65">
        <v>33.22</v>
      </c>
      <c r="D65">
        <v>-98.16</v>
      </c>
      <c r="E65">
        <v>329.8</v>
      </c>
      <c r="F65" t="s">
        <v>3590</v>
      </c>
    </row>
    <row r="66" spans="1:6" x14ac:dyDescent="0.3">
      <c r="A66">
        <v>62</v>
      </c>
      <c r="B66" t="s">
        <v>3702</v>
      </c>
      <c r="C66">
        <v>30.28</v>
      </c>
      <c r="D66">
        <v>-98.42</v>
      </c>
      <c r="E66">
        <v>375.5</v>
      </c>
      <c r="F66" t="s">
        <v>3591</v>
      </c>
    </row>
    <row r="67" spans="1:6" x14ac:dyDescent="0.3">
      <c r="A67">
        <v>63</v>
      </c>
      <c r="B67" t="s">
        <v>3703</v>
      </c>
      <c r="C67">
        <v>32.56</v>
      </c>
      <c r="D67">
        <v>-96.27</v>
      </c>
      <c r="E67">
        <v>128</v>
      </c>
      <c r="F67" t="s">
        <v>3592</v>
      </c>
    </row>
    <row r="68" spans="1:6" x14ac:dyDescent="0.3">
      <c r="A68">
        <v>64</v>
      </c>
      <c r="B68" t="s">
        <v>3704</v>
      </c>
      <c r="C68">
        <v>29.92</v>
      </c>
      <c r="D68">
        <v>-96.88</v>
      </c>
      <c r="E68">
        <v>108.8</v>
      </c>
      <c r="F68" t="s">
        <v>3593</v>
      </c>
    </row>
    <row r="69" spans="1:6" x14ac:dyDescent="0.3">
      <c r="A69">
        <v>65</v>
      </c>
      <c r="B69" t="s">
        <v>3705</v>
      </c>
      <c r="C69">
        <v>31.07</v>
      </c>
      <c r="D69">
        <v>-98.19</v>
      </c>
      <c r="E69">
        <v>314.5</v>
      </c>
      <c r="F69" t="s">
        <v>3594</v>
      </c>
    </row>
    <row r="70" spans="1:6" x14ac:dyDescent="0.3">
      <c r="A70">
        <v>66</v>
      </c>
      <c r="B70" t="s">
        <v>3706</v>
      </c>
      <c r="C70">
        <v>30.41</v>
      </c>
      <c r="D70">
        <v>-97.01</v>
      </c>
      <c r="E70">
        <v>141.69999999999999</v>
      </c>
      <c r="F70" t="s">
        <v>3595</v>
      </c>
    </row>
    <row r="71" spans="1:6" x14ac:dyDescent="0.3">
      <c r="A71">
        <v>67</v>
      </c>
      <c r="B71" t="s">
        <v>3707</v>
      </c>
      <c r="C71">
        <v>29.68</v>
      </c>
      <c r="D71">
        <v>-97.66</v>
      </c>
      <c r="E71">
        <v>121.9</v>
      </c>
      <c r="F71" t="s">
        <v>3596</v>
      </c>
    </row>
    <row r="72" spans="1:6" x14ac:dyDescent="0.3">
      <c r="A72">
        <v>68</v>
      </c>
      <c r="B72" t="s">
        <v>3708</v>
      </c>
      <c r="C72">
        <v>30.94</v>
      </c>
      <c r="D72">
        <v>-95.92</v>
      </c>
      <c r="E72">
        <v>76.8</v>
      </c>
      <c r="F72" t="s">
        <v>3597</v>
      </c>
    </row>
    <row r="73" spans="1:6" x14ac:dyDescent="0.3">
      <c r="A73">
        <v>69</v>
      </c>
      <c r="B73" t="s">
        <v>3709</v>
      </c>
      <c r="C73">
        <v>31.33</v>
      </c>
      <c r="D73">
        <v>-96.86</v>
      </c>
      <c r="E73">
        <v>117.3</v>
      </c>
      <c r="F73" t="s">
        <v>3598</v>
      </c>
    </row>
    <row r="74" spans="1:6" x14ac:dyDescent="0.3">
      <c r="A74">
        <v>70</v>
      </c>
      <c r="B74" t="s">
        <v>3710</v>
      </c>
      <c r="C74">
        <v>30.75</v>
      </c>
      <c r="D74">
        <v>-99.23</v>
      </c>
      <c r="E74">
        <v>472.4</v>
      </c>
      <c r="F74" t="s">
        <v>3599</v>
      </c>
    </row>
    <row r="75" spans="1:6" x14ac:dyDescent="0.3">
      <c r="A75">
        <v>71</v>
      </c>
      <c r="B75" t="s">
        <v>3711</v>
      </c>
      <c r="C75">
        <v>31.44</v>
      </c>
      <c r="D75">
        <v>-97.4</v>
      </c>
      <c r="E75">
        <v>220.4</v>
      </c>
      <c r="F75" t="s">
        <v>3600</v>
      </c>
    </row>
    <row r="76" spans="1:6" x14ac:dyDescent="0.3">
      <c r="A76">
        <v>72</v>
      </c>
      <c r="B76" t="s">
        <v>3712</v>
      </c>
      <c r="C76">
        <v>31.7</v>
      </c>
      <c r="D76">
        <v>-96.51</v>
      </c>
      <c r="E76">
        <v>161.5</v>
      </c>
      <c r="F76" t="s">
        <v>3601</v>
      </c>
    </row>
    <row r="77" spans="1:6" x14ac:dyDescent="0.3">
      <c r="A77">
        <v>73</v>
      </c>
      <c r="B77" t="s">
        <v>3713</v>
      </c>
      <c r="C77">
        <v>32.78</v>
      </c>
      <c r="D77">
        <v>-98.06</v>
      </c>
      <c r="E77">
        <v>283.5</v>
      </c>
      <c r="F77" t="s">
        <v>3602</v>
      </c>
    </row>
    <row r="78" spans="1:6" x14ac:dyDescent="0.3">
      <c r="A78">
        <v>74</v>
      </c>
      <c r="B78" t="s">
        <v>3714</v>
      </c>
      <c r="C78">
        <v>31.96</v>
      </c>
      <c r="D78">
        <v>-96.69</v>
      </c>
      <c r="E78">
        <v>138.4</v>
      </c>
      <c r="F78" t="s">
        <v>3603</v>
      </c>
    </row>
    <row r="79" spans="1:6" x14ac:dyDescent="0.3">
      <c r="A79">
        <v>75</v>
      </c>
      <c r="B79" t="s">
        <v>3715</v>
      </c>
      <c r="C79">
        <v>29.72</v>
      </c>
      <c r="D79">
        <v>-98.12</v>
      </c>
      <c r="E79">
        <v>208.8</v>
      </c>
      <c r="F79" t="s">
        <v>3604</v>
      </c>
    </row>
    <row r="80" spans="1:6" x14ac:dyDescent="0.3">
      <c r="A80">
        <v>76</v>
      </c>
      <c r="B80" t="s">
        <v>3716</v>
      </c>
      <c r="C80">
        <v>29.27</v>
      </c>
      <c r="D80">
        <v>-97.76</v>
      </c>
      <c r="E80">
        <v>121.9</v>
      </c>
      <c r="F80" t="s">
        <v>3605</v>
      </c>
    </row>
    <row r="81" spans="1:6" x14ac:dyDescent="0.3">
      <c r="A81">
        <v>77</v>
      </c>
      <c r="B81" t="s">
        <v>3717</v>
      </c>
      <c r="C81">
        <v>33.369999999999997</v>
      </c>
      <c r="D81">
        <v>-98.77</v>
      </c>
      <c r="E81">
        <v>364.2</v>
      </c>
      <c r="F81" t="s">
        <v>3606</v>
      </c>
    </row>
    <row r="82" spans="1:6" x14ac:dyDescent="0.3">
      <c r="A82">
        <v>78</v>
      </c>
      <c r="B82" t="s">
        <v>3718</v>
      </c>
      <c r="C82">
        <v>30.02</v>
      </c>
      <c r="D82">
        <v>-97.15</v>
      </c>
      <c r="E82">
        <v>103.6</v>
      </c>
      <c r="F82" t="s">
        <v>3607</v>
      </c>
    </row>
    <row r="83" spans="1:6" x14ac:dyDescent="0.3">
      <c r="A83">
        <v>79</v>
      </c>
      <c r="B83" t="s">
        <v>3719</v>
      </c>
      <c r="C83">
        <v>31.07</v>
      </c>
      <c r="D83">
        <v>-97.73</v>
      </c>
      <c r="E83">
        <v>277.39999999999998</v>
      </c>
      <c r="F83" t="s">
        <v>3608</v>
      </c>
    </row>
    <row r="84" spans="1:6" x14ac:dyDescent="0.3">
      <c r="A84">
        <v>80</v>
      </c>
      <c r="B84" t="s">
        <v>3720</v>
      </c>
      <c r="C84">
        <v>31.04</v>
      </c>
      <c r="D84">
        <v>-97.53</v>
      </c>
      <c r="E84">
        <v>215.2</v>
      </c>
      <c r="F84" t="s">
        <v>3609</v>
      </c>
    </row>
    <row r="85" spans="1:6" x14ac:dyDescent="0.3">
      <c r="A85">
        <v>81</v>
      </c>
      <c r="B85" t="s">
        <v>3721</v>
      </c>
      <c r="C85">
        <v>31.08</v>
      </c>
      <c r="D85">
        <v>-97.32</v>
      </c>
      <c r="E85">
        <v>193.5</v>
      </c>
      <c r="F85" t="s">
        <v>3610</v>
      </c>
    </row>
    <row r="86" spans="1:6" x14ac:dyDescent="0.3">
      <c r="A86">
        <v>82</v>
      </c>
      <c r="B86" t="s">
        <v>3722</v>
      </c>
      <c r="C86">
        <v>31.86</v>
      </c>
      <c r="D86">
        <v>-97.38</v>
      </c>
      <c r="E86">
        <v>174.9</v>
      </c>
      <c r="F86" t="s">
        <v>3611</v>
      </c>
    </row>
    <row r="87" spans="1:6" x14ac:dyDescent="0.3">
      <c r="A87">
        <v>83</v>
      </c>
      <c r="B87" t="s">
        <v>3723</v>
      </c>
      <c r="C87">
        <v>30.34</v>
      </c>
      <c r="D87">
        <v>-96.54</v>
      </c>
      <c r="E87">
        <v>80.2</v>
      </c>
      <c r="F87" t="s">
        <v>3612</v>
      </c>
    </row>
    <row r="88" spans="1:6" x14ac:dyDescent="0.3">
      <c r="A88">
        <v>84</v>
      </c>
      <c r="B88" t="s">
        <v>3724</v>
      </c>
      <c r="C88">
        <v>32.369999999999997</v>
      </c>
      <c r="D88">
        <v>-99.19</v>
      </c>
      <c r="E88">
        <v>496.8</v>
      </c>
      <c r="F88" t="s">
        <v>3613</v>
      </c>
    </row>
    <row r="89" spans="1:6" x14ac:dyDescent="0.3">
      <c r="A89">
        <v>85</v>
      </c>
      <c r="B89" t="s">
        <v>3725</v>
      </c>
      <c r="C89">
        <v>33.04</v>
      </c>
      <c r="D89">
        <v>-96.49</v>
      </c>
      <c r="E89">
        <v>155.4</v>
      </c>
      <c r="F89" t="s">
        <v>3614</v>
      </c>
    </row>
    <row r="90" spans="1:6" x14ac:dyDescent="0.3">
      <c r="A90">
        <v>86</v>
      </c>
      <c r="B90" t="s">
        <v>3726</v>
      </c>
      <c r="C90">
        <v>33.24</v>
      </c>
      <c r="D90">
        <v>-96.64</v>
      </c>
      <c r="E90">
        <v>189.6</v>
      </c>
      <c r="F90" t="s">
        <v>3615</v>
      </c>
    </row>
    <row r="91" spans="1:6" x14ac:dyDescent="0.3">
      <c r="A91">
        <v>87</v>
      </c>
      <c r="B91" t="s">
        <v>3727</v>
      </c>
      <c r="C91">
        <v>31.96</v>
      </c>
      <c r="D91">
        <v>-98.49</v>
      </c>
      <c r="E91">
        <v>372.1</v>
      </c>
      <c r="F91" t="s">
        <v>3616</v>
      </c>
    </row>
    <row r="92" spans="1:6" x14ac:dyDescent="0.3">
      <c r="A92">
        <v>88</v>
      </c>
      <c r="B92" t="s">
        <v>3728</v>
      </c>
      <c r="C92">
        <v>33.65</v>
      </c>
      <c r="D92">
        <v>-97.06</v>
      </c>
      <c r="E92">
        <v>265.2</v>
      </c>
      <c r="F92" t="s">
        <v>3617</v>
      </c>
    </row>
    <row r="93" spans="1:6" x14ac:dyDescent="0.3">
      <c r="A93">
        <v>89</v>
      </c>
      <c r="B93" t="s">
        <v>3729</v>
      </c>
      <c r="C93">
        <v>33.369999999999997</v>
      </c>
      <c r="D93">
        <v>-97.01</v>
      </c>
      <c r="E93">
        <v>210.3</v>
      </c>
      <c r="F93" t="s">
        <v>3618</v>
      </c>
    </row>
    <row r="94" spans="1:6" x14ac:dyDescent="0.3">
      <c r="A94">
        <v>90</v>
      </c>
      <c r="B94" t="s">
        <v>3730</v>
      </c>
      <c r="C94">
        <v>32.08</v>
      </c>
      <c r="D94">
        <v>-98.97</v>
      </c>
      <c r="E94">
        <v>497.7</v>
      </c>
      <c r="F94" t="s">
        <v>3619</v>
      </c>
    </row>
    <row r="95" spans="1:6" x14ac:dyDescent="0.3">
      <c r="A95">
        <v>91</v>
      </c>
      <c r="B95" t="s">
        <v>3731</v>
      </c>
      <c r="C95">
        <v>32.43</v>
      </c>
      <c r="D95">
        <v>-96.84</v>
      </c>
      <c r="E95">
        <v>192</v>
      </c>
      <c r="F95" t="s">
        <v>3620</v>
      </c>
    </row>
    <row r="96" spans="1:6" x14ac:dyDescent="0.3">
      <c r="A96">
        <v>92</v>
      </c>
      <c r="B96" t="s">
        <v>3732</v>
      </c>
      <c r="C96">
        <v>32.25</v>
      </c>
      <c r="D96">
        <v>-98.2</v>
      </c>
      <c r="E96">
        <v>399</v>
      </c>
      <c r="F96" t="s">
        <v>3621</v>
      </c>
    </row>
    <row r="97" spans="1:6" x14ac:dyDescent="0.3">
      <c r="A97">
        <v>93</v>
      </c>
      <c r="B97" t="s">
        <v>3733</v>
      </c>
      <c r="C97">
        <v>33.700000000000003</v>
      </c>
      <c r="D97">
        <v>-96.64</v>
      </c>
      <c r="E97">
        <v>231.6</v>
      </c>
      <c r="F97" t="s">
        <v>3622</v>
      </c>
    </row>
    <row r="98" spans="1:6" x14ac:dyDescent="0.3">
      <c r="A98">
        <v>94</v>
      </c>
      <c r="B98" t="s">
        <v>3734</v>
      </c>
      <c r="C98">
        <v>31.7</v>
      </c>
      <c r="D98">
        <v>-98.1</v>
      </c>
      <c r="E98">
        <v>384</v>
      </c>
      <c r="F98" t="s">
        <v>3623</v>
      </c>
    </row>
    <row r="99" spans="1:6" x14ac:dyDescent="0.3">
      <c r="A99">
        <v>95</v>
      </c>
      <c r="B99" t="s">
        <v>3735</v>
      </c>
      <c r="C99">
        <v>29.87</v>
      </c>
      <c r="D99">
        <v>-97.92</v>
      </c>
      <c r="E99">
        <v>186.5</v>
      </c>
      <c r="F99" t="s">
        <v>3624</v>
      </c>
    </row>
    <row r="100" spans="1:6" x14ac:dyDescent="0.3">
      <c r="A100">
        <v>96</v>
      </c>
      <c r="B100" t="s">
        <v>3736</v>
      </c>
      <c r="C100">
        <v>33.67</v>
      </c>
      <c r="D100">
        <v>-95.56</v>
      </c>
      <c r="E100">
        <v>165.2</v>
      </c>
      <c r="F100" t="s">
        <v>3625</v>
      </c>
    </row>
    <row r="101" spans="1:6" x14ac:dyDescent="0.3">
      <c r="A101">
        <v>97</v>
      </c>
      <c r="B101" t="s">
        <v>3737</v>
      </c>
      <c r="C101">
        <v>31.6</v>
      </c>
      <c r="D101">
        <v>-97.22</v>
      </c>
      <c r="E101">
        <v>150.9</v>
      </c>
      <c r="F101" t="s">
        <v>3626</v>
      </c>
    </row>
    <row r="102" spans="1:6" x14ac:dyDescent="0.3">
      <c r="A102">
        <v>98</v>
      </c>
      <c r="B102" t="s">
        <v>3738</v>
      </c>
      <c r="C102">
        <v>31.62</v>
      </c>
      <c r="D102">
        <v>-97.23</v>
      </c>
      <c r="E102">
        <v>152.4</v>
      </c>
      <c r="F102" t="s">
        <v>3627</v>
      </c>
    </row>
    <row r="103" spans="1:6" x14ac:dyDescent="0.3">
      <c r="A103">
        <v>99</v>
      </c>
      <c r="B103" t="s">
        <v>3739</v>
      </c>
      <c r="C103">
        <v>32.75</v>
      </c>
      <c r="D103">
        <v>-97.77</v>
      </c>
      <c r="E103">
        <v>291.10000000000002</v>
      </c>
      <c r="F103" t="s">
        <v>3628</v>
      </c>
    </row>
    <row r="104" spans="1:6" x14ac:dyDescent="0.3">
      <c r="A104">
        <v>100</v>
      </c>
      <c r="B104" t="s">
        <v>3740</v>
      </c>
      <c r="C104">
        <v>32.770000000000003</v>
      </c>
      <c r="D104">
        <v>-98.93</v>
      </c>
      <c r="E104">
        <v>406</v>
      </c>
      <c r="F104" t="s">
        <v>3629</v>
      </c>
    </row>
    <row r="105" spans="1:6" x14ac:dyDescent="0.3">
      <c r="A105">
        <v>101</v>
      </c>
      <c r="B105" t="s">
        <v>3741</v>
      </c>
      <c r="C105">
        <v>33.18</v>
      </c>
      <c r="D105">
        <v>-99.19</v>
      </c>
      <c r="E105">
        <v>417.6</v>
      </c>
      <c r="F105" t="s">
        <v>3630</v>
      </c>
    </row>
    <row r="106" spans="1:6" x14ac:dyDescent="0.3">
      <c r="A106">
        <v>102</v>
      </c>
      <c r="B106" t="s">
        <v>3742</v>
      </c>
      <c r="C106">
        <v>33.29</v>
      </c>
      <c r="D106">
        <v>-99.1</v>
      </c>
      <c r="E106">
        <v>374.9</v>
      </c>
      <c r="F106" t="s">
        <v>3631</v>
      </c>
    </row>
    <row r="107" spans="1:6" x14ac:dyDescent="0.3">
      <c r="A107">
        <v>103</v>
      </c>
      <c r="B107" t="s">
        <v>3743</v>
      </c>
      <c r="C107">
        <v>30.32</v>
      </c>
      <c r="D107">
        <v>-96.16</v>
      </c>
      <c r="E107">
        <v>65.5</v>
      </c>
      <c r="F107" t="s">
        <v>3632</v>
      </c>
    </row>
    <row r="108" spans="1:6" x14ac:dyDescent="0.3">
      <c r="A108">
        <v>104</v>
      </c>
      <c r="B108" t="s">
        <v>3744</v>
      </c>
      <c r="C108">
        <v>30.68</v>
      </c>
      <c r="D108">
        <v>-97.72</v>
      </c>
      <c r="E108">
        <v>256</v>
      </c>
      <c r="F108" t="s">
        <v>3633</v>
      </c>
    </row>
    <row r="109" spans="1:6" x14ac:dyDescent="0.3">
      <c r="A109">
        <v>105</v>
      </c>
      <c r="B109" t="s">
        <v>3745</v>
      </c>
      <c r="C109">
        <v>30.7</v>
      </c>
      <c r="D109">
        <v>-97.35</v>
      </c>
      <c r="E109">
        <v>172.2</v>
      </c>
      <c r="F109" t="s">
        <v>3634</v>
      </c>
    </row>
    <row r="110" spans="1:6" x14ac:dyDescent="0.3">
      <c r="A110">
        <v>106</v>
      </c>
      <c r="B110" t="s">
        <v>3746</v>
      </c>
      <c r="C110">
        <v>30.57</v>
      </c>
      <c r="D110">
        <v>-97.41</v>
      </c>
      <c r="E110">
        <v>172.2</v>
      </c>
      <c r="F110" t="s">
        <v>3635</v>
      </c>
    </row>
    <row r="111" spans="1:6" x14ac:dyDescent="0.3">
      <c r="A111">
        <v>107</v>
      </c>
      <c r="B111" t="s">
        <v>3747</v>
      </c>
      <c r="C111">
        <v>30.58</v>
      </c>
      <c r="D111">
        <v>-97.42</v>
      </c>
      <c r="E111">
        <v>174</v>
      </c>
      <c r="F111" t="s">
        <v>3636</v>
      </c>
    </row>
    <row r="112" spans="1:6" x14ac:dyDescent="0.3">
      <c r="A112">
        <v>108</v>
      </c>
      <c r="B112" t="s">
        <v>3748</v>
      </c>
      <c r="C112">
        <v>33.08</v>
      </c>
      <c r="D112">
        <v>-97.56</v>
      </c>
      <c r="E112">
        <v>222.5</v>
      </c>
      <c r="F112" t="s">
        <v>3637</v>
      </c>
    </row>
    <row r="113" spans="1:6" x14ac:dyDescent="0.3">
      <c r="A113">
        <v>109</v>
      </c>
      <c r="B113" t="s">
        <v>3749</v>
      </c>
      <c r="C113">
        <v>31.33</v>
      </c>
      <c r="D113">
        <v>-96.85</v>
      </c>
      <c r="E113">
        <v>36.1</v>
      </c>
      <c r="F113" t="s">
        <v>3638</v>
      </c>
    </row>
    <row r="114" spans="1:6" x14ac:dyDescent="0.3">
      <c r="A114">
        <v>110</v>
      </c>
      <c r="B114" t="s">
        <v>3750</v>
      </c>
      <c r="C114">
        <v>-31.6</v>
      </c>
      <c r="D114">
        <v>-55.7</v>
      </c>
      <c r="E114">
        <v>180</v>
      </c>
      <c r="F114" t="s">
        <v>3529</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4" r:id="rId3" name="cmdWriteWp1">
          <controlPr defaultSize="0" autoLine="0" r:id="rId4">
            <anchor moveWithCells="1">
              <from>
                <xdr:col>6</xdr:col>
                <xdr:colOff>190500</xdr:colOff>
                <xdr:row>0</xdr:row>
                <xdr:rowOff>68580</xdr:rowOff>
              </from>
              <to>
                <xdr:col>7</xdr:col>
                <xdr:colOff>601980</xdr:colOff>
                <xdr:row>1</xdr:row>
                <xdr:rowOff>114300</xdr:rowOff>
              </to>
            </anchor>
          </controlPr>
        </control>
      </mc:Choice>
      <mc:Fallback>
        <control shapeId="28674" r:id="rId3" name="cmdWriteWp1"/>
      </mc:Fallback>
    </mc:AlternateContent>
    <mc:AlternateContent xmlns:mc="http://schemas.openxmlformats.org/markup-compatibility/2006">
      <mc:Choice Requires="x14">
        <control shapeId="28673" r:id="rId5" name="cmdReadWp1">
          <controlPr defaultSize="0" autoLine="0" r:id="rId6">
            <anchor moveWithCells="1">
              <from>
                <xdr:col>5</xdr:col>
                <xdr:colOff>640080</xdr:colOff>
                <xdr:row>0</xdr:row>
                <xdr:rowOff>68580</xdr:rowOff>
              </from>
              <to>
                <xdr:col>6</xdr:col>
                <xdr:colOff>114300</xdr:colOff>
                <xdr:row>1</xdr:row>
                <xdr:rowOff>114300</xdr:rowOff>
              </to>
            </anchor>
          </controlPr>
        </control>
      </mc:Choice>
      <mc:Fallback>
        <control shapeId="28673" r:id="rId5" name="cmdReadWp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34"/>
  <sheetViews>
    <sheetView workbookViewId="0">
      <pane ySplit="4" topLeftCell="A5" activePane="bottomLeft" state="frozen"/>
      <selection pane="bottomLeft" activeCell="B5" sqref="B5"/>
    </sheetView>
  </sheetViews>
  <sheetFormatPr defaultRowHeight="14.4" x14ac:dyDescent="0.3"/>
  <cols>
    <col min="1" max="1" width="12" customWidth="1"/>
    <col min="2" max="2" width="17.6640625" customWidth="1"/>
    <col min="3" max="5" width="9.6640625" customWidth="1"/>
    <col min="6" max="6" width="26.88671875" customWidth="1"/>
  </cols>
  <sheetData>
    <row r="1" spans="1:16" ht="21" x14ac:dyDescent="0.3">
      <c r="A1" s="125" t="s">
        <v>1454</v>
      </c>
    </row>
    <row r="2" spans="1:16" x14ac:dyDescent="0.3">
      <c r="A2" s="91" t="s">
        <v>1462</v>
      </c>
      <c r="B2" s="92"/>
      <c r="C2" s="93" t="s">
        <v>1463</v>
      </c>
    </row>
    <row r="4" spans="1:16" s="8" customFormat="1" x14ac:dyDescent="0.3">
      <c r="A4" s="138" t="s">
        <v>1141</v>
      </c>
      <c r="B4" s="138" t="s">
        <v>1142</v>
      </c>
      <c r="C4" s="138" t="s">
        <v>1270</v>
      </c>
      <c r="D4" s="138" t="s">
        <v>1269</v>
      </c>
      <c r="E4" s="172" t="s">
        <v>1839</v>
      </c>
      <c r="F4" s="172"/>
    </row>
    <row r="5" spans="1:16" x14ac:dyDescent="0.3">
      <c r="A5">
        <v>1</v>
      </c>
      <c r="B5" t="s">
        <v>3751</v>
      </c>
      <c r="C5" s="28">
        <v>0</v>
      </c>
      <c r="D5" s="28">
        <v>0</v>
      </c>
      <c r="E5" t="s">
        <v>3780</v>
      </c>
      <c r="O5" s="28"/>
      <c r="P5" s="28"/>
    </row>
    <row r="6" spans="1:16" x14ac:dyDescent="0.3">
      <c r="A6">
        <v>2</v>
      </c>
      <c r="B6" t="s">
        <v>3752</v>
      </c>
      <c r="C6" s="28">
        <v>0</v>
      </c>
      <c r="D6" s="28">
        <v>0</v>
      </c>
      <c r="E6" t="s">
        <v>3781</v>
      </c>
    </row>
    <row r="7" spans="1:16" x14ac:dyDescent="0.3">
      <c r="A7">
        <v>3</v>
      </c>
      <c r="B7" t="s">
        <v>3753</v>
      </c>
      <c r="C7" s="28">
        <v>0</v>
      </c>
      <c r="D7" s="28">
        <v>0</v>
      </c>
      <c r="E7" t="s">
        <v>3541</v>
      </c>
    </row>
    <row r="8" spans="1:16" x14ac:dyDescent="0.3">
      <c r="A8">
        <v>4</v>
      </c>
      <c r="B8" t="s">
        <v>3754</v>
      </c>
      <c r="C8" s="28">
        <v>0</v>
      </c>
      <c r="D8" s="28">
        <v>0</v>
      </c>
      <c r="E8" t="s">
        <v>3552</v>
      </c>
    </row>
    <row r="9" spans="1:16" x14ac:dyDescent="0.3">
      <c r="A9">
        <v>5</v>
      </c>
      <c r="B9" t="s">
        <v>3755</v>
      </c>
      <c r="C9" s="28">
        <v>0</v>
      </c>
      <c r="D9" s="28">
        <v>0</v>
      </c>
      <c r="E9" t="s">
        <v>3782</v>
      </c>
    </row>
    <row r="10" spans="1:16" x14ac:dyDescent="0.3">
      <c r="A10">
        <v>6</v>
      </c>
      <c r="B10" t="s">
        <v>3756</v>
      </c>
      <c r="C10" s="28">
        <v>0</v>
      </c>
      <c r="D10" s="28">
        <v>0</v>
      </c>
      <c r="E10" t="s">
        <v>3559</v>
      </c>
    </row>
    <row r="11" spans="1:16" x14ac:dyDescent="0.3">
      <c r="A11">
        <v>7</v>
      </c>
      <c r="B11" t="s">
        <v>3757</v>
      </c>
      <c r="C11" s="28">
        <v>0</v>
      </c>
      <c r="D11" s="28">
        <v>0</v>
      </c>
      <c r="E11" t="s">
        <v>3783</v>
      </c>
    </row>
    <row r="12" spans="1:16" x14ac:dyDescent="0.3">
      <c r="A12">
        <v>8</v>
      </c>
      <c r="B12" t="s">
        <v>3758</v>
      </c>
      <c r="C12" s="28">
        <v>0</v>
      </c>
      <c r="D12" s="28">
        <v>0</v>
      </c>
      <c r="E12" t="s">
        <v>3567</v>
      </c>
    </row>
    <row r="13" spans="1:16" x14ac:dyDescent="0.3">
      <c r="A13">
        <v>9</v>
      </c>
      <c r="B13" t="s">
        <v>3759</v>
      </c>
      <c r="C13" s="28">
        <v>0</v>
      </c>
      <c r="D13" s="28">
        <v>0</v>
      </c>
      <c r="E13" t="s">
        <v>3575</v>
      </c>
    </row>
    <row r="14" spans="1:16" x14ac:dyDescent="0.3">
      <c r="A14">
        <v>10</v>
      </c>
      <c r="B14" t="s">
        <v>3760</v>
      </c>
      <c r="C14" s="28">
        <v>0</v>
      </c>
      <c r="D14" s="28">
        <v>0</v>
      </c>
      <c r="E14" t="s">
        <v>3784</v>
      </c>
    </row>
    <row r="15" spans="1:16" x14ac:dyDescent="0.3">
      <c r="A15">
        <v>11</v>
      </c>
      <c r="B15" t="s">
        <v>3761</v>
      </c>
      <c r="C15" s="28">
        <v>0</v>
      </c>
      <c r="D15" s="28">
        <v>0</v>
      </c>
      <c r="E15" t="s">
        <v>3785</v>
      </c>
    </row>
    <row r="16" spans="1:16" x14ac:dyDescent="0.3">
      <c r="A16">
        <v>12</v>
      </c>
      <c r="B16" t="s">
        <v>3762</v>
      </c>
      <c r="C16" s="28">
        <v>0</v>
      </c>
      <c r="D16" s="28">
        <v>0</v>
      </c>
      <c r="E16" t="s">
        <v>3586</v>
      </c>
    </row>
    <row r="17" spans="1:5" x14ac:dyDescent="0.3">
      <c r="A17">
        <v>13</v>
      </c>
      <c r="B17" t="s">
        <v>3763</v>
      </c>
      <c r="C17" s="28">
        <v>0</v>
      </c>
      <c r="D17" s="28">
        <v>0</v>
      </c>
      <c r="E17" t="s">
        <v>3588</v>
      </c>
    </row>
    <row r="18" spans="1:5" x14ac:dyDescent="0.3">
      <c r="A18">
        <v>14</v>
      </c>
      <c r="B18" t="s">
        <v>3764</v>
      </c>
      <c r="C18" s="28">
        <v>0</v>
      </c>
      <c r="D18" s="28">
        <v>0</v>
      </c>
      <c r="E18" t="s">
        <v>3786</v>
      </c>
    </row>
    <row r="19" spans="1:5" x14ac:dyDescent="0.3">
      <c r="A19">
        <v>15</v>
      </c>
      <c r="B19" t="s">
        <v>3765</v>
      </c>
      <c r="C19" s="28">
        <v>0</v>
      </c>
      <c r="D19" s="28">
        <v>0</v>
      </c>
      <c r="E19" t="s">
        <v>3787</v>
      </c>
    </row>
    <row r="20" spans="1:5" x14ac:dyDescent="0.3">
      <c r="A20">
        <v>16</v>
      </c>
      <c r="B20" t="s">
        <v>3766</v>
      </c>
      <c r="C20" s="28">
        <v>0</v>
      </c>
      <c r="D20" s="28">
        <v>0</v>
      </c>
      <c r="E20" t="s">
        <v>3599</v>
      </c>
    </row>
    <row r="21" spans="1:5" x14ac:dyDescent="0.3">
      <c r="A21">
        <v>17</v>
      </c>
      <c r="B21" t="s">
        <v>3767</v>
      </c>
      <c r="C21" s="28">
        <v>0</v>
      </c>
      <c r="D21" s="28">
        <v>0</v>
      </c>
      <c r="E21" t="s">
        <v>3788</v>
      </c>
    </row>
    <row r="22" spans="1:5" x14ac:dyDescent="0.3">
      <c r="A22">
        <v>18</v>
      </c>
      <c r="B22" t="s">
        <v>3768</v>
      </c>
      <c r="C22" s="28">
        <v>0</v>
      </c>
      <c r="D22" s="28">
        <v>0</v>
      </c>
      <c r="E22" t="s">
        <v>3601</v>
      </c>
    </row>
    <row r="23" spans="1:5" x14ac:dyDescent="0.3">
      <c r="A23">
        <v>19</v>
      </c>
      <c r="B23" t="s">
        <v>3769</v>
      </c>
      <c r="C23" s="28">
        <v>0</v>
      </c>
      <c r="D23" s="28">
        <v>0</v>
      </c>
      <c r="E23" t="s">
        <v>3789</v>
      </c>
    </row>
    <row r="24" spans="1:5" x14ac:dyDescent="0.3">
      <c r="A24">
        <v>20</v>
      </c>
      <c r="B24" t="s">
        <v>3770</v>
      </c>
      <c r="C24" s="28">
        <v>0</v>
      </c>
      <c r="D24" s="28">
        <v>0</v>
      </c>
      <c r="E24" t="s">
        <v>3625</v>
      </c>
    </row>
    <row r="25" spans="1:5" x14ac:dyDescent="0.3">
      <c r="A25">
        <v>21</v>
      </c>
      <c r="B25" t="s">
        <v>3771</v>
      </c>
      <c r="C25" s="28">
        <v>0</v>
      </c>
      <c r="D25" s="28">
        <v>0</v>
      </c>
      <c r="E25" t="s">
        <v>3790</v>
      </c>
    </row>
    <row r="26" spans="1:5" x14ac:dyDescent="0.3">
      <c r="A26">
        <v>22</v>
      </c>
      <c r="B26" t="s">
        <v>3772</v>
      </c>
      <c r="C26" s="28">
        <v>0</v>
      </c>
      <c r="D26" s="28">
        <v>0</v>
      </c>
      <c r="E26" t="s">
        <v>3791</v>
      </c>
    </row>
    <row r="27" spans="1:5" x14ac:dyDescent="0.3">
      <c r="A27">
        <v>23</v>
      </c>
      <c r="B27" t="s">
        <v>3773</v>
      </c>
      <c r="C27" s="28">
        <v>0</v>
      </c>
      <c r="D27" s="28">
        <v>0</v>
      </c>
      <c r="E27" t="s">
        <v>3622</v>
      </c>
    </row>
    <row r="28" spans="1:5" x14ac:dyDescent="0.3">
      <c r="A28">
        <v>24</v>
      </c>
      <c r="B28" t="s">
        <v>3774</v>
      </c>
      <c r="C28" s="28">
        <v>0</v>
      </c>
      <c r="D28" s="28">
        <v>0</v>
      </c>
      <c r="E28" t="s">
        <v>3635</v>
      </c>
    </row>
    <row r="29" spans="1:5" x14ac:dyDescent="0.3">
      <c r="A29">
        <v>25</v>
      </c>
      <c r="B29" t="s">
        <v>3775</v>
      </c>
      <c r="C29" s="28">
        <v>0</v>
      </c>
      <c r="D29" s="28">
        <v>0</v>
      </c>
      <c r="E29" t="s">
        <v>3610</v>
      </c>
    </row>
    <row r="30" spans="1:5" x14ac:dyDescent="0.3">
      <c r="A30">
        <v>26</v>
      </c>
      <c r="B30" t="s">
        <v>3776</v>
      </c>
      <c r="C30" s="28">
        <v>0</v>
      </c>
      <c r="D30" s="28">
        <v>0</v>
      </c>
      <c r="E30" t="s">
        <v>3628</v>
      </c>
    </row>
    <row r="31" spans="1:5" x14ac:dyDescent="0.3">
      <c r="A31">
        <v>27</v>
      </c>
      <c r="B31" t="s">
        <v>3777</v>
      </c>
      <c r="C31" s="28">
        <v>0</v>
      </c>
      <c r="D31" s="28">
        <v>0</v>
      </c>
      <c r="E31" t="s">
        <v>3792</v>
      </c>
    </row>
    <row r="32" spans="1:5" x14ac:dyDescent="0.3">
      <c r="A32">
        <v>28</v>
      </c>
      <c r="B32" t="s">
        <v>3778</v>
      </c>
      <c r="C32" s="28">
        <v>0</v>
      </c>
      <c r="D32" s="28">
        <v>0</v>
      </c>
      <c r="E32" t="s">
        <v>3779</v>
      </c>
    </row>
    <row r="33" spans="3:4" x14ac:dyDescent="0.3">
      <c r="C33" s="28"/>
      <c r="D33" s="28"/>
    </row>
    <row r="34" spans="3:4" x14ac:dyDescent="0.3">
      <c r="C34" s="28"/>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8" r:id="rId3" name="cmdWriteWnd">
          <controlPr defaultSize="0" autoLine="0" r:id="rId4">
            <anchor moveWithCells="1">
              <from>
                <xdr:col>6</xdr:col>
                <xdr:colOff>68580</xdr:colOff>
                <xdr:row>0</xdr:row>
                <xdr:rowOff>76200</xdr:rowOff>
              </from>
              <to>
                <xdr:col>7</xdr:col>
                <xdr:colOff>480060</xdr:colOff>
                <xdr:row>1</xdr:row>
                <xdr:rowOff>137160</xdr:rowOff>
              </to>
            </anchor>
          </controlPr>
        </control>
      </mc:Choice>
      <mc:Fallback>
        <control shapeId="29698" r:id="rId3" name="cmdWriteWnd"/>
      </mc:Fallback>
    </mc:AlternateContent>
    <mc:AlternateContent xmlns:mc="http://schemas.openxmlformats.org/markup-compatibility/2006">
      <mc:Choice Requires="x14">
        <control shapeId="29697" r:id="rId5" name="cmdReadWnd">
          <controlPr defaultSize="0" autoLine="0" r:id="rId6">
            <anchor moveWithCells="1">
              <from>
                <xdr:col>5</xdr:col>
                <xdr:colOff>769620</xdr:colOff>
                <xdr:row>0</xdr:row>
                <xdr:rowOff>76200</xdr:rowOff>
              </from>
              <to>
                <xdr:col>5</xdr:col>
                <xdr:colOff>1790700</xdr:colOff>
                <xdr:row>1</xdr:row>
                <xdr:rowOff>137160</xdr:rowOff>
              </to>
            </anchor>
          </controlPr>
        </control>
      </mc:Choice>
      <mc:Fallback>
        <control shapeId="29697" r:id="rId5" name="cmdReadWnd"/>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164"/>
  <sheetViews>
    <sheetView workbookViewId="0">
      <pane ySplit="4" topLeftCell="A5" activePane="bottomLeft" state="frozen"/>
      <selection pane="bottomLeft"/>
    </sheetView>
  </sheetViews>
  <sheetFormatPr defaultRowHeight="14.4" x14ac:dyDescent="0.3"/>
  <cols>
    <col min="1" max="1" width="12.6640625" customWidth="1"/>
    <col min="2" max="2" width="70.44140625" customWidth="1"/>
    <col min="3" max="19" width="15" customWidth="1"/>
  </cols>
  <sheetData>
    <row r="1" spans="1:24" ht="25.2" customHeight="1" x14ac:dyDescent="0.3">
      <c r="A1" s="125" t="s">
        <v>3878</v>
      </c>
    </row>
    <row r="2" spans="1:24" ht="19.95" customHeight="1" x14ac:dyDescent="0.3">
      <c r="A2" s="31" t="s">
        <v>1637</v>
      </c>
      <c r="B2" s="124" t="s">
        <v>2524</v>
      </c>
      <c r="C2" s="31"/>
      <c r="D2" s="117"/>
      <c r="E2" s="31"/>
      <c r="H2" s="31"/>
      <c r="I2" s="10"/>
    </row>
    <row r="3" spans="1:24" ht="15.6" customHeight="1" x14ac:dyDescent="0.3">
      <c r="A3" s="120" t="s">
        <v>1462</v>
      </c>
      <c r="B3" s="116"/>
      <c r="C3" s="104" t="s">
        <v>1768</v>
      </c>
      <c r="E3" s="104"/>
    </row>
    <row r="4" spans="1:24" s="8" customFormat="1" x14ac:dyDescent="0.3">
      <c r="A4" s="100" t="s">
        <v>1141</v>
      </c>
      <c r="B4" s="100" t="s">
        <v>16</v>
      </c>
      <c r="C4" s="101" t="s">
        <v>1625</v>
      </c>
      <c r="D4" s="77"/>
      <c r="E4" s="77"/>
      <c r="F4" s="105"/>
      <c r="G4" s="105"/>
      <c r="H4" s="105"/>
      <c r="I4" s="105"/>
      <c r="J4" s="105"/>
      <c r="K4" s="105"/>
      <c r="L4" s="105"/>
      <c r="M4" s="105"/>
      <c r="N4" s="105"/>
      <c r="O4" s="105"/>
      <c r="P4" s="105"/>
      <c r="Q4" s="105"/>
      <c r="R4" s="105"/>
      <c r="S4" s="105"/>
      <c r="T4" s="105"/>
      <c r="U4" s="105"/>
      <c r="V4" s="105"/>
      <c r="W4" s="105"/>
      <c r="X4" s="105"/>
    </row>
    <row r="5" spans="1:24" x14ac:dyDescent="0.3">
      <c r="A5" s="36" t="s">
        <v>2012</v>
      </c>
      <c r="B5" t="s">
        <v>1173</v>
      </c>
      <c r="C5">
        <v>1</v>
      </c>
    </row>
    <row r="6" spans="1:24" x14ac:dyDescent="0.3">
      <c r="A6" s="36" t="s">
        <v>2013</v>
      </c>
      <c r="B6" t="s">
        <v>1174</v>
      </c>
      <c r="C6">
        <v>1</v>
      </c>
    </row>
    <row r="7" spans="1:24" x14ac:dyDescent="0.3">
      <c r="A7" s="36" t="s">
        <v>2014</v>
      </c>
      <c r="C7" s="35">
        <v>0</v>
      </c>
      <c r="E7" s="35"/>
    </row>
    <row r="8" spans="1:24" x14ac:dyDescent="0.3">
      <c r="A8" s="36" t="s">
        <v>2015</v>
      </c>
      <c r="B8" t="s">
        <v>2525</v>
      </c>
      <c r="C8">
        <v>3489</v>
      </c>
    </row>
    <row r="9" spans="1:24" x14ac:dyDescent="0.3">
      <c r="A9" s="36" t="s">
        <v>2016</v>
      </c>
      <c r="B9" t="s">
        <v>2526</v>
      </c>
      <c r="C9">
        <v>144</v>
      </c>
    </row>
    <row r="10" spans="1:24" x14ac:dyDescent="0.3">
      <c r="A10" s="36" t="s">
        <v>2017</v>
      </c>
      <c r="B10" t="s">
        <v>1394</v>
      </c>
      <c r="C10">
        <v>1</v>
      </c>
    </row>
    <row r="11" spans="1:24" x14ac:dyDescent="0.3">
      <c r="A11" s="36" t="s">
        <v>2018</v>
      </c>
      <c r="B11" t="s">
        <v>1175</v>
      </c>
      <c r="C11">
        <v>0</v>
      </c>
    </row>
    <row r="12" spans="1:24" x14ac:dyDescent="0.3">
      <c r="A12" s="36" t="s">
        <v>2019</v>
      </c>
      <c r="B12" t="s">
        <v>1176</v>
      </c>
      <c r="C12">
        <v>0</v>
      </c>
    </row>
    <row r="13" spans="1:24" x14ac:dyDescent="0.3">
      <c r="A13" s="36" t="s">
        <v>2014</v>
      </c>
      <c r="B13" t="s">
        <v>1090</v>
      </c>
      <c r="C13">
        <v>0</v>
      </c>
    </row>
    <row r="14" spans="1:24" s="12" customFormat="1" x14ac:dyDescent="0.3">
      <c r="A14" s="144" t="s">
        <v>2020</v>
      </c>
      <c r="B14" s="12" t="s">
        <v>1177</v>
      </c>
      <c r="C14" s="12">
        <v>0</v>
      </c>
      <c r="D14"/>
    </row>
    <row r="15" spans="1:24" x14ac:dyDescent="0.3">
      <c r="A15" s="36" t="s">
        <v>2021</v>
      </c>
      <c r="B15" t="s">
        <v>1178</v>
      </c>
      <c r="C15">
        <v>110</v>
      </c>
    </row>
    <row r="16" spans="1:24" x14ac:dyDescent="0.3">
      <c r="A16" s="36" t="s">
        <v>2022</v>
      </c>
      <c r="B16" t="s">
        <v>1179</v>
      </c>
      <c r="C16">
        <v>0</v>
      </c>
    </row>
    <row r="17" spans="1:3" x14ac:dyDescent="0.3">
      <c r="A17" s="36" t="s">
        <v>2023</v>
      </c>
      <c r="B17" t="s">
        <v>1180</v>
      </c>
      <c r="C17">
        <v>0</v>
      </c>
    </row>
    <row r="18" spans="1:3" x14ac:dyDescent="0.3">
      <c r="A18" s="36" t="s">
        <v>2024</v>
      </c>
      <c r="B18" t="s">
        <v>1181</v>
      </c>
      <c r="C18">
        <v>0</v>
      </c>
    </row>
    <row r="19" spans="1:3" x14ac:dyDescent="0.3">
      <c r="A19" s="36" t="s">
        <v>2025</v>
      </c>
      <c r="B19" t="s">
        <v>1182</v>
      </c>
      <c r="C19">
        <v>0</v>
      </c>
    </row>
    <row r="20" spans="1:3" x14ac:dyDescent="0.3">
      <c r="A20" s="36"/>
    </row>
    <row r="21" spans="1:3" x14ac:dyDescent="0.3">
      <c r="A21" s="45" t="s">
        <v>1183</v>
      </c>
    </row>
    <row r="22" spans="1:3" x14ac:dyDescent="0.3">
      <c r="A22" s="36" t="s">
        <v>2026</v>
      </c>
      <c r="B22" t="s">
        <v>1184</v>
      </c>
      <c r="C22">
        <v>0</v>
      </c>
    </row>
    <row r="23" spans="1:3" x14ac:dyDescent="0.3">
      <c r="A23" s="36" t="s">
        <v>2027</v>
      </c>
      <c r="B23" t="s">
        <v>1185</v>
      </c>
      <c r="C23">
        <v>0</v>
      </c>
    </row>
    <row r="24" spans="1:3" x14ac:dyDescent="0.3">
      <c r="A24" s="36" t="s">
        <v>2028</v>
      </c>
      <c r="B24" t="s">
        <v>1266</v>
      </c>
      <c r="C24">
        <v>-31.6</v>
      </c>
    </row>
    <row r="25" spans="1:3" x14ac:dyDescent="0.3">
      <c r="A25" s="36" t="s">
        <v>2029</v>
      </c>
      <c r="B25" t="s">
        <v>1267</v>
      </c>
      <c r="C25">
        <v>-55.7</v>
      </c>
    </row>
    <row r="26" spans="1:3" x14ac:dyDescent="0.3">
      <c r="A26" s="36" t="s">
        <v>2030</v>
      </c>
      <c r="B26" t="s">
        <v>1186</v>
      </c>
      <c r="C26">
        <v>0</v>
      </c>
    </row>
    <row r="27" spans="1:3" x14ac:dyDescent="0.3">
      <c r="A27" s="36" t="s">
        <v>2031</v>
      </c>
      <c r="B27" t="s">
        <v>1265</v>
      </c>
      <c r="C27">
        <v>0</v>
      </c>
    </row>
    <row r="28" spans="1:3" x14ac:dyDescent="0.3">
      <c r="A28" s="36" t="s">
        <v>2032</v>
      </c>
      <c r="B28" t="s">
        <v>1264</v>
      </c>
      <c r="C28">
        <v>0</v>
      </c>
    </row>
    <row r="29" spans="1:3" x14ac:dyDescent="0.3">
      <c r="A29" s="36" t="s">
        <v>2033</v>
      </c>
      <c r="B29" t="s">
        <v>1263</v>
      </c>
      <c r="C29">
        <v>0</v>
      </c>
    </row>
    <row r="30" spans="1:3" x14ac:dyDescent="0.3">
      <c r="A30" s="36"/>
    </row>
    <row r="31" spans="1:3" x14ac:dyDescent="0.3">
      <c r="A31" s="45" t="s">
        <v>1187</v>
      </c>
    </row>
    <row r="32" spans="1:3" x14ac:dyDescent="0.3">
      <c r="A32" s="36" t="s">
        <v>2034</v>
      </c>
      <c r="B32" t="s">
        <v>1188</v>
      </c>
      <c r="C32">
        <v>1.97</v>
      </c>
    </row>
    <row r="33" spans="1:3" x14ac:dyDescent="0.3">
      <c r="A33" s="36" t="s">
        <v>2035</v>
      </c>
      <c r="B33" t="s">
        <v>1189</v>
      </c>
      <c r="C33">
        <v>0.16600000000000001</v>
      </c>
    </row>
    <row r="34" spans="1:3" x14ac:dyDescent="0.3">
      <c r="A34" s="36" t="s">
        <v>2036</v>
      </c>
      <c r="B34" t="s">
        <v>1190</v>
      </c>
      <c r="C34">
        <v>0.5</v>
      </c>
    </row>
    <row r="35" spans="1:3" x14ac:dyDescent="0.3">
      <c r="A35" s="36" t="s">
        <v>2037</v>
      </c>
      <c r="B35" t="s">
        <v>1191</v>
      </c>
      <c r="C35">
        <v>0.11</v>
      </c>
    </row>
    <row r="36" spans="1:3" x14ac:dyDescent="0.3">
      <c r="A36" s="36" t="s">
        <v>2038</v>
      </c>
      <c r="B36" t="s">
        <v>1192</v>
      </c>
      <c r="C36">
        <v>0.05</v>
      </c>
    </row>
    <row r="37" spans="1:3" x14ac:dyDescent="0.3">
      <c r="A37" s="36" t="s">
        <v>2039</v>
      </c>
      <c r="B37" t="s">
        <v>1193</v>
      </c>
      <c r="C37">
        <v>0.11</v>
      </c>
    </row>
    <row r="38" spans="1:3" x14ac:dyDescent="0.3">
      <c r="A38" s="36" t="s">
        <v>2040</v>
      </c>
      <c r="B38" t="s">
        <v>1194</v>
      </c>
      <c r="C38">
        <v>20</v>
      </c>
    </row>
    <row r="39" spans="1:3" x14ac:dyDescent="0.3">
      <c r="A39" s="36" t="s">
        <v>2041</v>
      </c>
      <c r="B39" t="s">
        <v>1195</v>
      </c>
      <c r="C39">
        <v>0.5</v>
      </c>
    </row>
    <row r="40" spans="1:3" x14ac:dyDescent="0.3">
      <c r="A40" s="36" t="s">
        <v>2042</v>
      </c>
      <c r="B40" t="s">
        <v>1196</v>
      </c>
      <c r="C40">
        <v>0</v>
      </c>
    </row>
    <row r="41" spans="1:3" x14ac:dyDescent="0.3">
      <c r="A41" s="36" t="s">
        <v>2043</v>
      </c>
      <c r="B41" t="s">
        <v>1197</v>
      </c>
      <c r="C41">
        <v>0</v>
      </c>
    </row>
    <row r="42" spans="1:3" x14ac:dyDescent="0.3">
      <c r="A42" s="36"/>
    </row>
    <row r="43" spans="1:3" x14ac:dyDescent="0.3">
      <c r="A43" s="45" t="s">
        <v>1198</v>
      </c>
    </row>
    <row r="44" spans="1:3" x14ac:dyDescent="0.3">
      <c r="A44" s="36" t="s">
        <v>2044</v>
      </c>
      <c r="B44" t="s">
        <v>1199</v>
      </c>
      <c r="C44">
        <v>0.16600000000000001</v>
      </c>
    </row>
    <row r="45" spans="1:3" x14ac:dyDescent="0.3">
      <c r="A45" s="36" t="s">
        <v>2045</v>
      </c>
      <c r="B45" t="s">
        <v>1200</v>
      </c>
      <c r="C45">
        <v>0.5</v>
      </c>
    </row>
    <row r="46" spans="1:3" x14ac:dyDescent="0.3">
      <c r="A46" s="36" t="s">
        <v>2046</v>
      </c>
      <c r="B46" t="s">
        <v>1201</v>
      </c>
      <c r="C46">
        <v>0.1</v>
      </c>
    </row>
    <row r="47" spans="1:3" x14ac:dyDescent="0.3">
      <c r="A47" s="36" t="s">
        <v>2047</v>
      </c>
      <c r="B47" t="s">
        <v>1202</v>
      </c>
      <c r="C47">
        <v>1</v>
      </c>
    </row>
    <row r="48" spans="1:3" x14ac:dyDescent="0.3">
      <c r="A48" s="36" t="s">
        <v>2048</v>
      </c>
      <c r="B48" t="s">
        <v>1203</v>
      </c>
      <c r="C48">
        <v>0.11</v>
      </c>
    </row>
    <row r="49" spans="1:3" x14ac:dyDescent="0.3">
      <c r="A49" s="36" t="s">
        <v>2049</v>
      </c>
      <c r="B49" t="s">
        <v>1204</v>
      </c>
      <c r="C49">
        <v>0.05</v>
      </c>
    </row>
    <row r="50" spans="1:3" x14ac:dyDescent="0.3">
      <c r="A50" s="36" t="s">
        <v>2050</v>
      </c>
      <c r="B50" t="s">
        <v>1205</v>
      </c>
      <c r="C50">
        <v>0</v>
      </c>
    </row>
    <row r="51" spans="1:3" x14ac:dyDescent="0.3">
      <c r="A51" s="36" t="s">
        <v>2051</v>
      </c>
      <c r="B51" t="s">
        <v>1206</v>
      </c>
      <c r="C51">
        <v>0.3</v>
      </c>
    </row>
    <row r="52" spans="1:3" x14ac:dyDescent="0.3">
      <c r="A52" s="36" t="s">
        <v>2052</v>
      </c>
      <c r="B52" t="s">
        <v>1262</v>
      </c>
      <c r="C52">
        <v>0</v>
      </c>
    </row>
    <row r="53" spans="1:3" x14ac:dyDescent="0.3">
      <c r="A53" s="36" t="s">
        <v>2053</v>
      </c>
      <c r="B53" t="s">
        <v>1207</v>
      </c>
      <c r="C53">
        <v>0</v>
      </c>
    </row>
    <row r="54" spans="1:3" x14ac:dyDescent="0.3">
      <c r="A54" s="36" t="s">
        <v>2054</v>
      </c>
      <c r="B54" s="102" t="s">
        <v>1506</v>
      </c>
      <c r="C54">
        <v>1</v>
      </c>
    </row>
    <row r="55" spans="1:3" x14ac:dyDescent="0.3">
      <c r="A55" s="36" t="s">
        <v>2055</v>
      </c>
      <c r="B55" s="102" t="s">
        <v>1507</v>
      </c>
      <c r="C55">
        <v>1</v>
      </c>
    </row>
    <row r="56" spans="1:3" x14ac:dyDescent="0.3">
      <c r="A56" s="36"/>
    </row>
    <row r="57" spans="1:3" x14ac:dyDescent="0.3">
      <c r="A57" s="45" t="s">
        <v>1208</v>
      </c>
    </row>
    <row r="58" spans="1:3" x14ac:dyDescent="0.3">
      <c r="A58" s="144" t="s">
        <v>2056</v>
      </c>
      <c r="B58" t="s">
        <v>1209</v>
      </c>
      <c r="C58">
        <v>0</v>
      </c>
    </row>
    <row r="59" spans="1:3" x14ac:dyDescent="0.3">
      <c r="A59" s="36" t="s">
        <v>2057</v>
      </c>
      <c r="B59" t="s">
        <v>1210</v>
      </c>
      <c r="C59">
        <v>0</v>
      </c>
    </row>
    <row r="60" spans="1:3" x14ac:dyDescent="0.3">
      <c r="A60" s="36" t="s">
        <v>2058</v>
      </c>
      <c r="B60" t="s">
        <v>1261</v>
      </c>
      <c r="C60">
        <v>0</v>
      </c>
    </row>
    <row r="61" spans="1:3" x14ac:dyDescent="0.3">
      <c r="A61" s="36" t="s">
        <v>2059</v>
      </c>
      <c r="B61" t="s">
        <v>1211</v>
      </c>
      <c r="C61">
        <v>0</v>
      </c>
    </row>
    <row r="62" spans="1:3" x14ac:dyDescent="0.3">
      <c r="A62" s="36" t="s">
        <v>2060</v>
      </c>
      <c r="B62" t="s">
        <v>1212</v>
      </c>
      <c r="C62">
        <v>0</v>
      </c>
    </row>
    <row r="63" spans="1:3" x14ac:dyDescent="0.3">
      <c r="A63" s="36" t="s">
        <v>2061</v>
      </c>
      <c r="B63" t="s">
        <v>1213</v>
      </c>
      <c r="C63">
        <v>0</v>
      </c>
    </row>
    <row r="64" spans="1:3" x14ac:dyDescent="0.3">
      <c r="A64" s="36" t="s">
        <v>2062</v>
      </c>
      <c r="B64" t="s">
        <v>1214</v>
      </c>
      <c r="C64">
        <v>0</v>
      </c>
    </row>
    <row r="65" spans="1:4" x14ac:dyDescent="0.3">
      <c r="A65" s="36" t="s">
        <v>2063</v>
      </c>
      <c r="B65" t="s">
        <v>1215</v>
      </c>
      <c r="C65">
        <v>0</v>
      </c>
    </row>
    <row r="66" spans="1:4" x14ac:dyDescent="0.3">
      <c r="A66" s="36" t="s">
        <v>2064</v>
      </c>
      <c r="B66" t="s">
        <v>1216</v>
      </c>
      <c r="C66">
        <v>0</v>
      </c>
    </row>
    <row r="67" spans="1:4" x14ac:dyDescent="0.3">
      <c r="A67" s="36" t="s">
        <v>2065</v>
      </c>
      <c r="B67" t="s">
        <v>1217</v>
      </c>
      <c r="C67">
        <v>0</v>
      </c>
    </row>
    <row r="68" spans="1:4" x14ac:dyDescent="0.3">
      <c r="A68" s="36" t="s">
        <v>2066</v>
      </c>
      <c r="B68" t="s">
        <v>1218</v>
      </c>
      <c r="C68">
        <v>0</v>
      </c>
    </row>
    <row r="69" spans="1:4" x14ac:dyDescent="0.3">
      <c r="A69" s="36" t="s">
        <v>2067</v>
      </c>
      <c r="B69" t="s">
        <v>1219</v>
      </c>
      <c r="C69">
        <v>0</v>
      </c>
    </row>
    <row r="70" spans="1:4" x14ac:dyDescent="0.3">
      <c r="A70" s="36" t="s">
        <v>2068</v>
      </c>
      <c r="B70" t="s">
        <v>1220</v>
      </c>
      <c r="C70">
        <v>0</v>
      </c>
    </row>
    <row r="71" spans="1:4" x14ac:dyDescent="0.3">
      <c r="A71" s="36" t="s">
        <v>2069</v>
      </c>
      <c r="B71" t="s">
        <v>1221</v>
      </c>
      <c r="C71">
        <v>0</v>
      </c>
    </row>
    <row r="72" spans="1:4" x14ac:dyDescent="0.3">
      <c r="A72" s="36" t="s">
        <v>2070</v>
      </c>
      <c r="B72" t="s">
        <v>1222</v>
      </c>
      <c r="C72">
        <v>0</v>
      </c>
    </row>
    <row r="73" spans="1:4" x14ac:dyDescent="0.3">
      <c r="A73" s="36" t="s">
        <v>2071</v>
      </c>
      <c r="B73" t="s">
        <v>1223</v>
      </c>
      <c r="C73">
        <v>0</v>
      </c>
    </row>
    <row r="74" spans="1:4" x14ac:dyDescent="0.3">
      <c r="A74" s="36"/>
    </row>
    <row r="75" spans="1:4" x14ac:dyDescent="0.3">
      <c r="A75" s="46" t="s">
        <v>1224</v>
      </c>
      <c r="B75" s="12"/>
    </row>
    <row r="76" spans="1:4" x14ac:dyDescent="0.3">
      <c r="A76" s="144" t="s">
        <v>2072</v>
      </c>
      <c r="B76" s="12" t="s">
        <v>1225</v>
      </c>
      <c r="C76">
        <v>0</v>
      </c>
      <c r="D76" s="145"/>
    </row>
    <row r="77" spans="1:4" x14ac:dyDescent="0.3">
      <c r="A77" s="144" t="s">
        <v>2073</v>
      </c>
      <c r="B77" s="12" t="s">
        <v>1255</v>
      </c>
      <c r="C77" s="12">
        <v>0</v>
      </c>
      <c r="D77" s="145"/>
    </row>
    <row r="78" spans="1:4" x14ac:dyDescent="0.3">
      <c r="A78" s="144" t="s">
        <v>2074</v>
      </c>
      <c r="B78" s="12" t="s">
        <v>1226</v>
      </c>
      <c r="C78" s="12">
        <v>0</v>
      </c>
      <c r="D78" s="145"/>
    </row>
    <row r="79" spans="1:4" x14ac:dyDescent="0.3">
      <c r="A79" s="144" t="s">
        <v>2075</v>
      </c>
      <c r="B79" s="12" t="s">
        <v>1227</v>
      </c>
      <c r="C79" s="12">
        <v>0</v>
      </c>
      <c r="D79" s="146"/>
    </row>
    <row r="80" spans="1:4" x14ac:dyDescent="0.3">
      <c r="A80" s="144" t="s">
        <v>2076</v>
      </c>
      <c r="B80" s="12" t="s">
        <v>1228</v>
      </c>
      <c r="C80" s="12">
        <v>1</v>
      </c>
      <c r="D80" s="36"/>
    </row>
    <row r="81" spans="1:5" x14ac:dyDescent="0.3">
      <c r="A81" s="144" t="s">
        <v>2077</v>
      </c>
      <c r="B81" s="12" t="s">
        <v>1229</v>
      </c>
      <c r="C81" s="12">
        <v>0</v>
      </c>
      <c r="D81" s="36"/>
    </row>
    <row r="82" spans="1:5" x14ac:dyDescent="0.3">
      <c r="A82" s="144" t="s">
        <v>2078</v>
      </c>
      <c r="B82" s="12" t="s">
        <v>1230</v>
      </c>
      <c r="C82" s="12">
        <v>0</v>
      </c>
      <c r="D82" s="36"/>
    </row>
    <row r="83" spans="1:5" x14ac:dyDescent="0.3">
      <c r="A83" s="144" t="s">
        <v>2079</v>
      </c>
      <c r="B83" s="12" t="s">
        <v>1231</v>
      </c>
      <c r="C83" s="12">
        <v>0</v>
      </c>
      <c r="D83" s="36"/>
    </row>
    <row r="84" spans="1:5" x14ac:dyDescent="0.3">
      <c r="A84" s="144" t="s">
        <v>2080</v>
      </c>
      <c r="B84" s="12" t="s">
        <v>1232</v>
      </c>
      <c r="C84" s="12">
        <v>0</v>
      </c>
      <c r="D84" s="36"/>
    </row>
    <row r="85" spans="1:5" x14ac:dyDescent="0.3">
      <c r="A85" s="144" t="s">
        <v>2081</v>
      </c>
      <c r="B85" s="12" t="s">
        <v>1775</v>
      </c>
      <c r="C85" s="12">
        <v>0</v>
      </c>
      <c r="D85" s="146"/>
    </row>
    <row r="86" spans="1:5" x14ac:dyDescent="0.3">
      <c r="A86" s="144" t="s">
        <v>2082</v>
      </c>
      <c r="B86" s="12" t="s">
        <v>1776</v>
      </c>
      <c r="C86" s="12">
        <v>0</v>
      </c>
      <c r="D86" s="146"/>
    </row>
    <row r="87" spans="1:5" x14ac:dyDescent="0.3">
      <c r="A87" s="144" t="s">
        <v>2083</v>
      </c>
      <c r="B87" s="12" t="s">
        <v>1233</v>
      </c>
      <c r="C87" s="12">
        <v>0</v>
      </c>
      <c r="D87" s="36"/>
    </row>
    <row r="88" spans="1:5" x14ac:dyDescent="0.3">
      <c r="A88" s="144" t="s">
        <v>2084</v>
      </c>
      <c r="B88" s="12" t="s">
        <v>1774</v>
      </c>
      <c r="C88" s="12">
        <v>0</v>
      </c>
      <c r="D88" s="146"/>
    </row>
    <row r="89" spans="1:5" x14ac:dyDescent="0.3">
      <c r="A89" s="144" t="s">
        <v>2085</v>
      </c>
      <c r="B89" s="103" t="s">
        <v>1773</v>
      </c>
      <c r="C89" s="12">
        <v>0</v>
      </c>
      <c r="D89" s="144"/>
    </row>
    <row r="90" spans="1:5" s="12" customFormat="1" x14ac:dyDescent="0.3">
      <c r="A90" s="144" t="s">
        <v>2086</v>
      </c>
      <c r="B90" s="12" t="s">
        <v>1234</v>
      </c>
      <c r="C90" s="12">
        <v>0</v>
      </c>
      <c r="D90" s="145"/>
      <c r="E90"/>
    </row>
    <row r="91" spans="1:5" x14ac:dyDescent="0.3">
      <c r="A91" s="144" t="s">
        <v>2087</v>
      </c>
      <c r="B91" s="12" t="s">
        <v>1235</v>
      </c>
      <c r="C91" s="12">
        <v>0</v>
      </c>
      <c r="D91" s="36"/>
    </row>
    <row r="92" spans="1:5" s="106" customFormat="1" x14ac:dyDescent="0.3">
      <c r="A92" s="144" t="s">
        <v>2088</v>
      </c>
      <c r="B92" s="12" t="s">
        <v>1236</v>
      </c>
      <c r="C92" s="12">
        <v>0</v>
      </c>
      <c r="D92" s="145"/>
      <c r="E92"/>
    </row>
    <row r="93" spans="1:5" s="106" customFormat="1" x14ac:dyDescent="0.3">
      <c r="A93" s="144" t="s">
        <v>2089</v>
      </c>
      <c r="B93" s="12" t="s">
        <v>1237</v>
      </c>
      <c r="C93" s="12">
        <v>0</v>
      </c>
      <c r="D93" s="145"/>
      <c r="E93"/>
    </row>
    <row r="94" spans="1:5" s="106" customFormat="1" x14ac:dyDescent="0.3">
      <c r="A94" s="144" t="s">
        <v>2090</v>
      </c>
      <c r="B94" s="12" t="s">
        <v>1635</v>
      </c>
      <c r="C94" s="12">
        <v>0</v>
      </c>
      <c r="D94" s="145"/>
      <c r="E94"/>
    </row>
    <row r="95" spans="1:5" x14ac:dyDescent="0.3">
      <c r="A95" s="144" t="s">
        <v>2091</v>
      </c>
      <c r="B95" s="12" t="s">
        <v>1238</v>
      </c>
      <c r="C95" s="12">
        <v>0</v>
      </c>
      <c r="D95" s="146"/>
    </row>
    <row r="96" spans="1:5" x14ac:dyDescent="0.3">
      <c r="A96" s="144" t="s">
        <v>2092</v>
      </c>
      <c r="B96" s="12" t="s">
        <v>1778</v>
      </c>
      <c r="C96">
        <v>0</v>
      </c>
      <c r="D96" s="146"/>
    </row>
    <row r="97" spans="1:4" x14ac:dyDescent="0.3">
      <c r="A97" s="144" t="s">
        <v>2093</v>
      </c>
      <c r="B97" s="12" t="s">
        <v>1239</v>
      </c>
      <c r="C97">
        <v>0</v>
      </c>
      <c r="D97" s="146"/>
    </row>
    <row r="98" spans="1:4" x14ac:dyDescent="0.3">
      <c r="A98" s="144" t="s">
        <v>2094</v>
      </c>
      <c r="B98" s="12" t="s">
        <v>1240</v>
      </c>
      <c r="C98">
        <v>0</v>
      </c>
      <c r="D98" s="36"/>
    </row>
    <row r="99" spans="1:4" x14ac:dyDescent="0.3">
      <c r="A99" s="144" t="s">
        <v>2095</v>
      </c>
      <c r="B99" s="12" t="s">
        <v>1241</v>
      </c>
      <c r="C99">
        <v>0</v>
      </c>
      <c r="D99" s="36"/>
    </row>
    <row r="100" spans="1:4" x14ac:dyDescent="0.3">
      <c r="A100" s="144"/>
      <c r="B100" s="12"/>
    </row>
    <row r="101" spans="1:4" x14ac:dyDescent="0.3">
      <c r="A101" s="144" t="s">
        <v>2096</v>
      </c>
      <c r="B101" s="12" t="s">
        <v>1242</v>
      </c>
      <c r="C101">
        <v>1</v>
      </c>
    </row>
    <row r="102" spans="1:4" x14ac:dyDescent="0.3">
      <c r="A102" s="144" t="s">
        <v>2097</v>
      </c>
      <c r="B102" s="12" t="s">
        <v>1243</v>
      </c>
      <c r="C102">
        <v>0</v>
      </c>
    </row>
    <row r="103" spans="1:4" x14ac:dyDescent="0.3">
      <c r="A103" s="144" t="s">
        <v>2098</v>
      </c>
      <c r="B103" s="12" t="s">
        <v>1244</v>
      </c>
      <c r="C103">
        <v>0</v>
      </c>
    </row>
    <row r="104" spans="1:4" x14ac:dyDescent="0.3">
      <c r="A104" s="144" t="s">
        <v>2099</v>
      </c>
      <c r="B104" s="12" t="s">
        <v>1260</v>
      </c>
      <c r="C104">
        <v>0</v>
      </c>
    </row>
    <row r="105" spans="1:4" x14ac:dyDescent="0.3">
      <c r="A105" s="144" t="s">
        <v>2100</v>
      </c>
      <c r="B105" s="12" t="s">
        <v>1245</v>
      </c>
      <c r="C105">
        <v>0</v>
      </c>
    </row>
    <row r="106" spans="1:4" x14ac:dyDescent="0.3">
      <c r="A106" s="144" t="s">
        <v>2101</v>
      </c>
      <c r="B106" s="12" t="s">
        <v>1246</v>
      </c>
      <c r="C106">
        <v>0</v>
      </c>
    </row>
    <row r="107" spans="1:4" x14ac:dyDescent="0.3">
      <c r="A107" s="144" t="s">
        <v>2102</v>
      </c>
      <c r="B107" s="12" t="s">
        <v>1247</v>
      </c>
      <c r="C107">
        <v>0</v>
      </c>
    </row>
    <row r="108" spans="1:4" x14ac:dyDescent="0.3">
      <c r="A108" s="144" t="s">
        <v>2103</v>
      </c>
      <c r="B108" s="12" t="s">
        <v>1248</v>
      </c>
      <c r="C108">
        <v>0</v>
      </c>
    </row>
    <row r="109" spans="1:4" x14ac:dyDescent="0.3">
      <c r="A109" s="144" t="s">
        <v>2104</v>
      </c>
      <c r="B109" s="12" t="s">
        <v>1249</v>
      </c>
      <c r="C109">
        <v>0</v>
      </c>
    </row>
    <row r="110" spans="1:4" x14ac:dyDescent="0.3">
      <c r="A110" s="144" t="s">
        <v>2105</v>
      </c>
      <c r="B110" s="12" t="s">
        <v>1250</v>
      </c>
      <c r="C110">
        <v>0</v>
      </c>
    </row>
    <row r="111" spans="1:4" x14ac:dyDescent="0.3">
      <c r="A111" s="144"/>
      <c r="B111" s="12"/>
    </row>
    <row r="112" spans="1:4" x14ac:dyDescent="0.3">
      <c r="A112" s="46" t="s">
        <v>1259</v>
      </c>
      <c r="B112" s="12"/>
    </row>
    <row r="113" spans="1:3" x14ac:dyDescent="0.3">
      <c r="A113" s="144" t="s">
        <v>2106</v>
      </c>
      <c r="B113" s="12" t="s">
        <v>1251</v>
      </c>
      <c r="C113">
        <v>0</v>
      </c>
    </row>
    <row r="114" spans="1:3" x14ac:dyDescent="0.3">
      <c r="A114" s="144" t="s">
        <v>2107</v>
      </c>
      <c r="B114" s="12" t="s">
        <v>1256</v>
      </c>
      <c r="C114">
        <v>0</v>
      </c>
    </row>
    <row r="115" spans="1:3" x14ac:dyDescent="0.3">
      <c r="A115" s="144" t="s">
        <v>2108</v>
      </c>
      <c r="B115" s="12" t="s">
        <v>1256</v>
      </c>
      <c r="C115">
        <v>0</v>
      </c>
    </row>
    <row r="116" spans="1:3" x14ac:dyDescent="0.3">
      <c r="A116" s="144" t="s">
        <v>2109</v>
      </c>
      <c r="B116" s="12" t="s">
        <v>1256</v>
      </c>
      <c r="C116">
        <v>0</v>
      </c>
    </row>
    <row r="117" spans="1:3" x14ac:dyDescent="0.3">
      <c r="A117" s="144" t="s">
        <v>2110</v>
      </c>
      <c r="B117" s="12" t="s">
        <v>1256</v>
      </c>
      <c r="C117">
        <v>0</v>
      </c>
    </row>
    <row r="118" spans="1:3" x14ac:dyDescent="0.3">
      <c r="A118" s="144" t="s">
        <v>2111</v>
      </c>
      <c r="B118" s="12" t="s">
        <v>1256</v>
      </c>
      <c r="C118">
        <v>0</v>
      </c>
    </row>
    <row r="119" spans="1:3" x14ac:dyDescent="0.3">
      <c r="A119" s="144" t="s">
        <v>2112</v>
      </c>
      <c r="B119" s="12" t="s">
        <v>1256</v>
      </c>
      <c r="C119">
        <v>0</v>
      </c>
    </row>
    <row r="120" spans="1:3" x14ac:dyDescent="0.3">
      <c r="A120" s="144" t="s">
        <v>2113</v>
      </c>
      <c r="B120" s="12" t="s">
        <v>1256</v>
      </c>
      <c r="C120">
        <v>0</v>
      </c>
    </row>
    <row r="121" spans="1:3" x14ac:dyDescent="0.3">
      <c r="A121" s="144" t="s">
        <v>2114</v>
      </c>
      <c r="B121" s="12" t="s">
        <v>1256</v>
      </c>
      <c r="C121">
        <v>0</v>
      </c>
    </row>
    <row r="122" spans="1:3" x14ac:dyDescent="0.3">
      <c r="A122" s="144" t="s">
        <v>2115</v>
      </c>
      <c r="B122" s="12" t="s">
        <v>1252</v>
      </c>
      <c r="C122">
        <v>0</v>
      </c>
    </row>
    <row r="123" spans="1:3" x14ac:dyDescent="0.3">
      <c r="A123" s="144"/>
      <c r="B123" s="12"/>
    </row>
    <row r="124" spans="1:3" x14ac:dyDescent="0.3">
      <c r="A124" s="46" t="s">
        <v>1258</v>
      </c>
      <c r="B124" s="12"/>
    </row>
    <row r="125" spans="1:3" x14ac:dyDescent="0.3">
      <c r="A125" s="144" t="s">
        <v>2116</v>
      </c>
      <c r="B125" s="12" t="s">
        <v>1253</v>
      </c>
      <c r="C125">
        <v>0</v>
      </c>
    </row>
    <row r="126" spans="1:3" x14ac:dyDescent="0.3">
      <c r="A126" s="144" t="s">
        <v>2117</v>
      </c>
      <c r="B126" s="12" t="s">
        <v>1257</v>
      </c>
      <c r="C126">
        <v>0</v>
      </c>
    </row>
    <row r="127" spans="1:3" x14ac:dyDescent="0.3">
      <c r="A127" s="144" t="s">
        <v>2118</v>
      </c>
      <c r="B127" s="12" t="s">
        <v>1257</v>
      </c>
      <c r="C127">
        <v>0</v>
      </c>
    </row>
    <row r="128" spans="1:3" x14ac:dyDescent="0.3">
      <c r="A128" s="144" t="s">
        <v>2119</v>
      </c>
      <c r="B128" s="12" t="s">
        <v>1257</v>
      </c>
      <c r="C128">
        <v>0</v>
      </c>
    </row>
    <row r="129" spans="1:3" x14ac:dyDescent="0.3">
      <c r="A129" s="144" t="s">
        <v>2120</v>
      </c>
      <c r="B129" s="12" t="s">
        <v>1257</v>
      </c>
      <c r="C129">
        <v>0</v>
      </c>
    </row>
    <row r="130" spans="1:3" x14ac:dyDescent="0.3">
      <c r="A130" s="144" t="s">
        <v>2121</v>
      </c>
      <c r="B130" s="12" t="s">
        <v>1257</v>
      </c>
      <c r="C130">
        <v>0</v>
      </c>
    </row>
    <row r="131" spans="1:3" x14ac:dyDescent="0.3">
      <c r="A131" s="144" t="s">
        <v>2122</v>
      </c>
      <c r="B131" s="12" t="s">
        <v>1257</v>
      </c>
      <c r="C131">
        <v>0</v>
      </c>
    </row>
    <row r="132" spans="1:3" x14ac:dyDescent="0.3">
      <c r="A132" s="144" t="s">
        <v>2123</v>
      </c>
      <c r="B132" s="12" t="s">
        <v>1257</v>
      </c>
      <c r="C132">
        <v>0</v>
      </c>
    </row>
    <row r="133" spans="1:3" x14ac:dyDescent="0.3">
      <c r="A133" s="144" t="s">
        <v>2124</v>
      </c>
      <c r="B133" s="12" t="s">
        <v>1257</v>
      </c>
      <c r="C133">
        <v>0</v>
      </c>
    </row>
    <row r="134" spans="1:3" x14ac:dyDescent="0.3">
      <c r="A134" s="144" t="s">
        <v>2125</v>
      </c>
      <c r="B134" s="12" t="s">
        <v>1254</v>
      </c>
      <c r="C134">
        <v>0</v>
      </c>
    </row>
    <row r="135" spans="1:3" x14ac:dyDescent="0.3">
      <c r="A135" s="144"/>
      <c r="B135" s="12"/>
    </row>
    <row r="136" spans="1:3" x14ac:dyDescent="0.3">
      <c r="A136" s="144"/>
      <c r="B136" s="12"/>
    </row>
    <row r="137" spans="1:3" x14ac:dyDescent="0.3">
      <c r="A137" s="144"/>
      <c r="B137" s="12"/>
    </row>
    <row r="138" spans="1:3" x14ac:dyDescent="0.3">
      <c r="A138" s="144"/>
      <c r="B138" s="12"/>
    </row>
    <row r="139" spans="1:3" x14ac:dyDescent="0.3">
      <c r="A139" s="144"/>
      <c r="B139" s="12"/>
    </row>
    <row r="140" spans="1:3" x14ac:dyDescent="0.3">
      <c r="A140" s="144"/>
      <c r="B140" s="12"/>
    </row>
    <row r="141" spans="1:3" x14ac:dyDescent="0.3">
      <c r="A141" s="144"/>
      <c r="B141" s="12"/>
    </row>
    <row r="142" spans="1:3" x14ac:dyDescent="0.3">
      <c r="A142" s="144"/>
      <c r="B142" s="12"/>
    </row>
    <row r="143" spans="1:3" x14ac:dyDescent="0.3">
      <c r="A143" s="144"/>
      <c r="B143" s="12"/>
    </row>
    <row r="144" spans="1:3" x14ac:dyDescent="0.3">
      <c r="A144" s="144"/>
      <c r="B144" s="12"/>
    </row>
    <row r="145" spans="1:2" x14ac:dyDescent="0.3">
      <c r="A145" s="144"/>
      <c r="B145" s="12"/>
    </row>
    <row r="146" spans="1:2" x14ac:dyDescent="0.3">
      <c r="A146" s="144"/>
      <c r="B146" s="12"/>
    </row>
    <row r="147" spans="1:2" x14ac:dyDescent="0.3">
      <c r="A147" s="144"/>
      <c r="B147" s="12"/>
    </row>
    <row r="148" spans="1:2" x14ac:dyDescent="0.3">
      <c r="A148" s="144"/>
      <c r="B148" s="12"/>
    </row>
    <row r="149" spans="1:2" x14ac:dyDescent="0.3">
      <c r="A149" s="144"/>
      <c r="B149" s="12"/>
    </row>
    <row r="150" spans="1:2" x14ac:dyDescent="0.3">
      <c r="A150" s="144"/>
      <c r="B150" s="12"/>
    </row>
    <row r="151" spans="1:2" x14ac:dyDescent="0.3">
      <c r="A151" s="144"/>
      <c r="B151" s="12"/>
    </row>
    <row r="152" spans="1:2" x14ac:dyDescent="0.3">
      <c r="A152" s="144"/>
      <c r="B152" s="12"/>
    </row>
    <row r="153" spans="1:2" x14ac:dyDescent="0.3">
      <c r="A153" s="144"/>
      <c r="B153" s="12"/>
    </row>
    <row r="154" spans="1:2" x14ac:dyDescent="0.3">
      <c r="A154" s="144"/>
      <c r="B154" s="12"/>
    </row>
    <row r="155" spans="1:2" x14ac:dyDescent="0.3">
      <c r="A155" s="144"/>
      <c r="B155" s="12"/>
    </row>
    <row r="156" spans="1:2" x14ac:dyDescent="0.3">
      <c r="A156" s="144"/>
      <c r="B156" s="12"/>
    </row>
    <row r="157" spans="1:2" x14ac:dyDescent="0.3">
      <c r="A157" s="144"/>
      <c r="B157" s="12"/>
    </row>
    <row r="158" spans="1:2" x14ac:dyDescent="0.3">
      <c r="A158" s="144"/>
      <c r="B158" s="12"/>
    </row>
    <row r="159" spans="1:2" x14ac:dyDescent="0.3">
      <c r="A159" s="36"/>
    </row>
    <row r="160" spans="1:2" x14ac:dyDescent="0.3">
      <c r="A160" s="36"/>
    </row>
    <row r="164" spans="18:18" x14ac:dyDescent="0.3">
      <c r="R164" s="3"/>
    </row>
  </sheetData>
  <pageMargins left="0.7" right="0.7" top="0.75" bottom="0.75" header="0.3" footer="0.3"/>
  <pageSetup orientation="portrait" r:id="rId1"/>
  <drawing r:id="rId2"/>
  <legacyDrawing r:id="rId3"/>
  <controls>
    <mc:AlternateContent xmlns:mc="http://schemas.openxmlformats.org/markup-compatibility/2006">
      <mc:Choice Requires="x14">
        <control shapeId="47107" r:id="rId4" name="cmdRun">
          <controlPr defaultSize="0" autoLine="0" r:id="rId5">
            <anchor moveWithCells="1">
              <from>
                <xdr:col>2</xdr:col>
                <xdr:colOff>579120</xdr:colOff>
                <xdr:row>0</xdr:row>
                <xdr:rowOff>251460</xdr:rowOff>
              </from>
              <to>
                <xdr:col>3</xdr:col>
                <xdr:colOff>594360</xdr:colOff>
                <xdr:row>2</xdr:row>
                <xdr:rowOff>7620</xdr:rowOff>
              </to>
            </anchor>
          </controlPr>
        </control>
      </mc:Choice>
      <mc:Fallback>
        <control shapeId="47107" r:id="rId4" name="cmdRun"/>
      </mc:Fallback>
    </mc:AlternateContent>
    <mc:AlternateContent xmlns:mc="http://schemas.openxmlformats.org/markup-compatibility/2006">
      <mc:Choice Requires="x14">
        <control shapeId="47106" r:id="rId6" name="cmdWriteSub">
          <controlPr defaultSize="0" autoLine="0" autoPict="0" r:id="rId7">
            <anchor moveWithCells="1">
              <from>
                <xdr:col>1</xdr:col>
                <xdr:colOff>4137660</xdr:colOff>
                <xdr:row>0</xdr:row>
                <xdr:rowOff>251460</xdr:rowOff>
              </from>
              <to>
                <xdr:col>2</xdr:col>
                <xdr:colOff>487680</xdr:colOff>
                <xdr:row>2</xdr:row>
                <xdr:rowOff>7620</xdr:rowOff>
              </to>
            </anchor>
          </controlPr>
        </control>
      </mc:Choice>
      <mc:Fallback>
        <control shapeId="47106" r:id="rId6" name="cmdWriteSub"/>
      </mc:Fallback>
    </mc:AlternateContent>
    <mc:AlternateContent xmlns:mc="http://schemas.openxmlformats.org/markup-compatibility/2006">
      <mc:Choice Requires="x14">
        <control shapeId="47105" r:id="rId8" name="cmdReadSub">
          <controlPr defaultSize="0" autoLine="0" r:id="rId9">
            <anchor moveWithCells="1">
              <from>
                <xdr:col>1</xdr:col>
                <xdr:colOff>3048000</xdr:colOff>
                <xdr:row>0</xdr:row>
                <xdr:rowOff>251460</xdr:rowOff>
              </from>
              <to>
                <xdr:col>1</xdr:col>
                <xdr:colOff>4091940</xdr:colOff>
                <xdr:row>2</xdr:row>
                <xdr:rowOff>7620</xdr:rowOff>
              </to>
            </anchor>
          </controlPr>
        </control>
      </mc:Choice>
      <mc:Fallback>
        <control shapeId="47105" r:id="rId8" name="cmdReadSub"/>
      </mc:Fallback>
    </mc:AlternateContent>
    <mc:AlternateContent xmlns:mc="http://schemas.openxmlformats.org/markup-compatibility/2006">
      <mc:Choice Requires="x14">
        <control shapeId="47113" r:id="rId10" name="cmbBoxSub">
          <controlPr defaultSize="0" autoLine="0" autoPict="0" linkedCell="B2" r:id="rId11">
            <anchor moveWithCells="1">
              <from>
                <xdr:col>1</xdr:col>
                <xdr:colOff>22860</xdr:colOff>
                <xdr:row>1</xdr:row>
                <xdr:rowOff>22860</xdr:rowOff>
              </from>
              <to>
                <xdr:col>1</xdr:col>
                <xdr:colOff>1478280</xdr:colOff>
                <xdr:row>1</xdr:row>
                <xdr:rowOff>251460</xdr:rowOff>
              </to>
            </anchor>
          </controlPr>
        </control>
      </mc:Choice>
      <mc:Fallback>
        <control shapeId="47113" r:id="rId10" name="cmbBoxSub"/>
      </mc:Fallback>
    </mc:AlternateContent>
    <mc:AlternateContent xmlns:mc="http://schemas.openxmlformats.org/markup-compatibility/2006">
      <mc:Choice Requires="x14">
        <control shapeId="47114" r:id="rId12" name="cmdGetSub">
          <controlPr defaultSize="0" autoLine="0" r:id="rId13">
            <anchor moveWithCells="1">
              <from>
                <xdr:col>1</xdr:col>
                <xdr:colOff>1927860</xdr:colOff>
                <xdr:row>0</xdr:row>
                <xdr:rowOff>251460</xdr:rowOff>
              </from>
              <to>
                <xdr:col>1</xdr:col>
                <xdr:colOff>2948940</xdr:colOff>
                <xdr:row>1</xdr:row>
                <xdr:rowOff>243840</xdr:rowOff>
              </to>
            </anchor>
          </controlPr>
        </control>
      </mc:Choice>
      <mc:Fallback>
        <control shapeId="47114" r:id="rId12" name="cmdGetSub"/>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V132"/>
  <sheetViews>
    <sheetView workbookViewId="0">
      <pane ySplit="13" topLeftCell="A14" activePane="bottomLeft" state="frozen"/>
      <selection pane="bottomLeft" activeCell="B16" sqref="B16"/>
    </sheetView>
  </sheetViews>
  <sheetFormatPr defaultRowHeight="14.4" x14ac:dyDescent="0.3"/>
  <cols>
    <col min="1" max="1" width="12.33203125" customWidth="1"/>
    <col min="2" max="5" width="9.109375" style="48"/>
    <col min="6" max="6" width="9.33203125" style="48" bestFit="1" customWidth="1"/>
    <col min="7" max="8" width="9.5546875" style="48" bestFit="1" customWidth="1"/>
    <col min="9" max="11" width="9.109375" style="48"/>
  </cols>
  <sheetData>
    <row r="1" spans="1:20" ht="21" x14ac:dyDescent="0.3">
      <c r="A1" s="125" t="s">
        <v>1453</v>
      </c>
      <c r="B1"/>
      <c r="C1"/>
      <c r="D1"/>
      <c r="E1"/>
      <c r="F1"/>
      <c r="G1"/>
      <c r="H1"/>
      <c r="I1"/>
      <c r="J1"/>
      <c r="K1"/>
    </row>
    <row r="2" spans="1:20" x14ac:dyDescent="0.3">
      <c r="A2" s="3"/>
      <c r="B2"/>
      <c r="C2"/>
      <c r="D2"/>
      <c r="E2"/>
      <c r="F2"/>
      <c r="G2"/>
      <c r="H2"/>
      <c r="I2"/>
      <c r="J2"/>
      <c r="K2"/>
    </row>
    <row r="3" spans="1:20" x14ac:dyDescent="0.3">
      <c r="B3"/>
      <c r="C3"/>
      <c r="D3"/>
      <c r="E3"/>
      <c r="F3"/>
      <c r="G3"/>
      <c r="H3"/>
      <c r="I3"/>
      <c r="J3"/>
      <c r="K3"/>
    </row>
    <row r="4" spans="1:20" x14ac:dyDescent="0.3">
      <c r="A4" s="30" t="s">
        <v>1144</v>
      </c>
      <c r="B4" t="s">
        <v>3793</v>
      </c>
      <c r="C4"/>
      <c r="D4" s="31" t="s">
        <v>1268</v>
      </c>
      <c r="E4" s="10" t="s">
        <v>1284</v>
      </c>
      <c r="F4"/>
      <c r="G4"/>
      <c r="H4"/>
      <c r="I4"/>
      <c r="J4"/>
      <c r="K4"/>
    </row>
    <row r="5" spans="1:20" x14ac:dyDescent="0.3">
      <c r="A5" s="91" t="s">
        <v>1462</v>
      </c>
      <c r="B5" s="92"/>
      <c r="C5" s="93" t="s">
        <v>1505</v>
      </c>
      <c r="D5"/>
      <c r="E5"/>
      <c r="F5"/>
      <c r="G5"/>
      <c r="H5"/>
      <c r="I5"/>
      <c r="J5"/>
      <c r="K5"/>
    </row>
    <row r="6" spans="1:20" x14ac:dyDescent="0.3">
      <c r="B6"/>
      <c r="C6"/>
      <c r="D6"/>
      <c r="E6"/>
      <c r="F6"/>
      <c r="G6"/>
      <c r="H6"/>
      <c r="I6"/>
      <c r="J6"/>
      <c r="K6"/>
    </row>
    <row r="7" spans="1:20" x14ac:dyDescent="0.3">
      <c r="A7" s="30" t="s">
        <v>1145</v>
      </c>
      <c r="B7" t="s">
        <v>2527</v>
      </c>
      <c r="C7"/>
      <c r="D7"/>
      <c r="E7"/>
      <c r="F7"/>
      <c r="G7"/>
      <c r="H7"/>
      <c r="I7"/>
      <c r="J7"/>
      <c r="K7"/>
    </row>
    <row r="8" spans="1:20" x14ac:dyDescent="0.3">
      <c r="A8" s="3" t="s">
        <v>1348</v>
      </c>
      <c r="B8"/>
      <c r="C8"/>
      <c r="D8"/>
      <c r="E8"/>
      <c r="F8"/>
      <c r="G8"/>
      <c r="H8"/>
      <c r="I8"/>
      <c r="J8"/>
      <c r="K8"/>
    </row>
    <row r="9" spans="1:20" x14ac:dyDescent="0.3">
      <c r="A9" s="45" t="s">
        <v>1285</v>
      </c>
      <c r="B9" s="48">
        <v>0.12</v>
      </c>
      <c r="C9" s="45" t="s">
        <v>1286</v>
      </c>
      <c r="D9" s="48">
        <v>2</v>
      </c>
      <c r="E9" s="45" t="s">
        <v>1287</v>
      </c>
      <c r="F9" s="48">
        <v>0.8</v>
      </c>
      <c r="G9" s="45" t="s">
        <v>1294</v>
      </c>
      <c r="H9" s="48">
        <v>0</v>
      </c>
      <c r="I9" s="45" t="s">
        <v>1293</v>
      </c>
      <c r="J9" s="48">
        <v>0</v>
      </c>
      <c r="K9" s="45" t="s">
        <v>1292</v>
      </c>
      <c r="L9" s="48">
        <v>0</v>
      </c>
      <c r="M9" s="45" t="s">
        <v>1291</v>
      </c>
      <c r="N9" s="48">
        <v>0</v>
      </c>
      <c r="O9" s="45" t="s">
        <v>1290</v>
      </c>
      <c r="P9" s="48">
        <v>0</v>
      </c>
      <c r="Q9" s="45" t="s">
        <v>1289</v>
      </c>
      <c r="R9" s="48">
        <v>0</v>
      </c>
      <c r="S9" s="45" t="s">
        <v>1288</v>
      </c>
      <c r="T9" s="48">
        <v>0</v>
      </c>
    </row>
    <row r="10" spans="1:20" x14ac:dyDescent="0.3">
      <c r="A10" s="45" t="s">
        <v>1304</v>
      </c>
      <c r="B10" s="48">
        <v>10</v>
      </c>
      <c r="C10" s="45" t="s">
        <v>1303</v>
      </c>
      <c r="D10" s="48">
        <v>0</v>
      </c>
      <c r="E10" s="45" t="s">
        <v>1302</v>
      </c>
      <c r="F10" s="48">
        <v>150</v>
      </c>
      <c r="G10" s="45" t="s">
        <v>1301</v>
      </c>
      <c r="H10" s="48">
        <v>2</v>
      </c>
      <c r="I10" s="45" t="s">
        <v>1300</v>
      </c>
      <c r="J10" s="48">
        <v>0</v>
      </c>
      <c r="K10" s="45" t="s">
        <v>1299</v>
      </c>
      <c r="L10" s="48">
        <v>0</v>
      </c>
      <c r="M10" s="45" t="s">
        <v>1298</v>
      </c>
      <c r="N10" s="48">
        <v>0</v>
      </c>
      <c r="O10" s="45" t="s">
        <v>1297</v>
      </c>
      <c r="P10" s="48"/>
      <c r="Q10" s="45" t="s">
        <v>1296</v>
      </c>
      <c r="R10" s="48"/>
      <c r="S10" s="45" t="s">
        <v>1295</v>
      </c>
      <c r="T10" s="48"/>
    </row>
    <row r="11" spans="1:20" x14ac:dyDescent="0.3">
      <c r="A11" s="45"/>
      <c r="B11" s="10"/>
      <c r="C11" s="45"/>
      <c r="D11" s="47"/>
      <c r="E11" s="45"/>
      <c r="F11" s="10"/>
      <c r="G11" s="45"/>
      <c r="H11" s="10"/>
      <c r="I11" s="45"/>
      <c r="J11" s="10"/>
      <c r="K11" s="45"/>
      <c r="L11" s="10"/>
      <c r="M11" s="45"/>
      <c r="N11" s="10"/>
      <c r="O11" s="45"/>
      <c r="P11" s="10"/>
      <c r="Q11" s="45"/>
      <c r="R11" s="10"/>
      <c r="S11" s="45"/>
      <c r="T11" s="10"/>
    </row>
    <row r="12" spans="1:20" x14ac:dyDescent="0.3">
      <c r="A12" s="3" t="s">
        <v>1305</v>
      </c>
      <c r="B12" s="10"/>
      <c r="C12"/>
      <c r="D12"/>
      <c r="E12"/>
      <c r="F12"/>
      <c r="G12"/>
      <c r="H12"/>
      <c r="I12"/>
      <c r="J12"/>
      <c r="K12"/>
    </row>
    <row r="13" spans="1:20" s="1" customFormat="1" x14ac:dyDescent="0.3">
      <c r="A13" s="39" t="s">
        <v>1349</v>
      </c>
      <c r="B13" s="80">
        <v>1</v>
      </c>
      <c r="C13" s="80">
        <v>2</v>
      </c>
      <c r="D13" s="80">
        <v>3</v>
      </c>
      <c r="E13" s="80">
        <v>4</v>
      </c>
      <c r="F13" s="80">
        <v>5</v>
      </c>
      <c r="G13" s="80">
        <v>6</v>
      </c>
      <c r="H13" s="80">
        <v>7</v>
      </c>
      <c r="I13" s="80">
        <v>8</v>
      </c>
      <c r="J13" s="80">
        <v>9</v>
      </c>
      <c r="K13" s="80">
        <v>10</v>
      </c>
      <c r="L13" s="172" t="s">
        <v>1350</v>
      </c>
      <c r="M13" s="172"/>
    </row>
    <row r="14" spans="1:20" s="10" customFormat="1" x14ac:dyDescent="0.3">
      <c r="A14" s="46" t="s">
        <v>1306</v>
      </c>
      <c r="B14" s="48">
        <v>0.48</v>
      </c>
      <c r="C14" s="48">
        <v>0.8</v>
      </c>
      <c r="D14" s="48">
        <v>1.1399999999999999</v>
      </c>
      <c r="E14" s="48">
        <v>1.75</v>
      </c>
      <c r="F14" s="48"/>
      <c r="G14" s="48"/>
      <c r="H14" s="48"/>
      <c r="I14" s="48"/>
      <c r="J14" s="48"/>
      <c r="K14" s="48"/>
      <c r="L14" s="12" t="s">
        <v>1351</v>
      </c>
    </row>
    <row r="15" spans="1:20" s="10" customFormat="1" x14ac:dyDescent="0.3">
      <c r="A15" s="46" t="s">
        <v>1307</v>
      </c>
      <c r="B15" s="48">
        <v>1.39</v>
      </c>
      <c r="C15" s="48">
        <v>1.39</v>
      </c>
      <c r="D15" s="48">
        <v>1.36</v>
      </c>
      <c r="E15" s="48">
        <v>1.47</v>
      </c>
      <c r="F15" s="48"/>
      <c r="G15" s="48"/>
      <c r="H15" s="48"/>
      <c r="I15" s="48"/>
      <c r="J15" s="48"/>
      <c r="K15" s="48"/>
      <c r="L15" s="12" t="s">
        <v>1352</v>
      </c>
      <c r="T15"/>
    </row>
    <row r="16" spans="1:20" s="10" customFormat="1" x14ac:dyDescent="0.3">
      <c r="A16" s="46" t="s">
        <v>1308</v>
      </c>
      <c r="B16" s="48">
        <v>0.158</v>
      </c>
      <c r="C16" s="48">
        <v>0.18099999999999999</v>
      </c>
      <c r="D16" s="48">
        <v>0.18</v>
      </c>
      <c r="E16" s="48">
        <v>0.14499999999999999</v>
      </c>
      <c r="F16" s="48"/>
      <c r="G16" s="48"/>
      <c r="H16" s="48"/>
      <c r="I16" s="48"/>
      <c r="J16" s="48"/>
      <c r="K16" s="48"/>
      <c r="L16" s="12" t="s">
        <v>1353</v>
      </c>
      <c r="T16"/>
    </row>
    <row r="17" spans="1:20" s="10" customFormat="1" x14ac:dyDescent="0.3">
      <c r="A17" s="46" t="s">
        <v>1309</v>
      </c>
      <c r="B17" s="48">
        <v>0.44800000000000001</v>
      </c>
      <c r="C17" s="48">
        <v>0.47099999999999997</v>
      </c>
      <c r="D17" s="48">
        <v>0.47</v>
      </c>
      <c r="E17" s="48">
        <v>0.435</v>
      </c>
      <c r="F17" s="48"/>
      <c r="G17" s="48"/>
      <c r="H17" s="48"/>
      <c r="I17" s="48"/>
      <c r="J17" s="48"/>
      <c r="K17" s="48"/>
      <c r="L17" s="12" t="s">
        <v>1354</v>
      </c>
      <c r="T17"/>
    </row>
    <row r="18" spans="1:20" s="10" customFormat="1" x14ac:dyDescent="0.3">
      <c r="A18" s="46" t="s">
        <v>1310</v>
      </c>
      <c r="B18" s="48">
        <v>72</v>
      </c>
      <c r="C18" s="48">
        <v>54</v>
      </c>
      <c r="D18" s="48">
        <v>63</v>
      </c>
      <c r="E18" s="48">
        <v>67</v>
      </c>
      <c r="F18" s="48"/>
      <c r="G18" s="48"/>
      <c r="H18" s="48"/>
      <c r="I18" s="48"/>
      <c r="J18" s="48"/>
      <c r="K18" s="48"/>
      <c r="L18" s="12" t="s">
        <v>1355</v>
      </c>
      <c r="T18"/>
    </row>
    <row r="19" spans="1:20" s="10" customFormat="1" x14ac:dyDescent="0.3">
      <c r="A19" s="46" t="s">
        <v>1311</v>
      </c>
      <c r="B19" s="48">
        <v>13</v>
      </c>
      <c r="C19" s="48">
        <v>12</v>
      </c>
      <c r="D19" s="48">
        <v>11</v>
      </c>
      <c r="E19" s="48">
        <v>11</v>
      </c>
      <c r="F19" s="48"/>
      <c r="G19" s="48"/>
      <c r="H19" s="48"/>
      <c r="I19" s="48"/>
      <c r="J19" s="48"/>
      <c r="K19" s="48"/>
      <c r="L19" s="12" t="s">
        <v>1356</v>
      </c>
      <c r="T19"/>
    </row>
    <row r="20" spans="1:20" s="10" customFormat="1" x14ac:dyDescent="0.3">
      <c r="A20" s="46" t="s">
        <v>1312</v>
      </c>
      <c r="B20" s="48">
        <v>0</v>
      </c>
      <c r="C20" s="48">
        <v>0</v>
      </c>
      <c r="D20" s="48">
        <v>0</v>
      </c>
      <c r="E20" s="48">
        <v>0</v>
      </c>
      <c r="F20" s="48"/>
      <c r="G20" s="48"/>
      <c r="H20" s="48"/>
      <c r="I20" s="48"/>
      <c r="J20" s="48"/>
      <c r="K20" s="48"/>
      <c r="L20" s="12" t="s">
        <v>1357</v>
      </c>
      <c r="T20"/>
    </row>
    <row r="21" spans="1:20" s="10" customFormat="1" x14ac:dyDescent="0.3">
      <c r="A21" s="46" t="s">
        <v>1313</v>
      </c>
      <c r="B21" s="48">
        <v>5.4</v>
      </c>
      <c r="C21" s="48">
        <v>4.9000000000000004</v>
      </c>
      <c r="D21" s="48">
        <v>4.9000000000000004</v>
      </c>
      <c r="E21" s="48">
        <v>4.9000000000000004</v>
      </c>
      <c r="F21" s="48"/>
      <c r="G21" s="48"/>
      <c r="H21" s="48"/>
      <c r="I21" s="48"/>
      <c r="J21" s="48"/>
      <c r="K21" s="48"/>
      <c r="L21" s="12" t="s">
        <v>1358</v>
      </c>
      <c r="T21"/>
    </row>
    <row r="22" spans="1:20" s="10" customFormat="1" x14ac:dyDescent="0.3">
      <c r="A22" s="46" t="s">
        <v>1314</v>
      </c>
      <c r="B22" s="48">
        <v>5.4</v>
      </c>
      <c r="C22" s="48">
        <v>4.9000000000000004</v>
      </c>
      <c r="D22" s="48">
        <v>4.9000000000000004</v>
      </c>
      <c r="E22" s="48">
        <v>4.9000000000000004</v>
      </c>
      <c r="F22" s="48"/>
      <c r="G22" s="48"/>
      <c r="H22" s="48"/>
      <c r="I22" s="48"/>
      <c r="J22" s="48"/>
      <c r="K22" s="48"/>
      <c r="L22" s="12" t="s">
        <v>1359</v>
      </c>
      <c r="T22"/>
    </row>
    <row r="23" spans="1:20" s="10" customFormat="1" x14ac:dyDescent="0.3">
      <c r="A23" s="46" t="s">
        <v>1315</v>
      </c>
      <c r="B23" s="48">
        <v>1.5</v>
      </c>
      <c r="C23" s="48">
        <v>1.3</v>
      </c>
      <c r="D23" s="48">
        <v>0.7</v>
      </c>
      <c r="E23" s="48">
        <v>0.3</v>
      </c>
      <c r="F23" s="48"/>
      <c r="G23" s="48"/>
      <c r="H23" s="48"/>
      <c r="I23" s="48"/>
      <c r="J23" s="48"/>
      <c r="K23" s="48"/>
      <c r="L23" s="12" t="s">
        <v>1360</v>
      </c>
      <c r="T23"/>
    </row>
    <row r="24" spans="1:20" s="10" customFormat="1" x14ac:dyDescent="0.3">
      <c r="A24" s="46" t="s">
        <v>1316</v>
      </c>
      <c r="B24" s="48">
        <v>0</v>
      </c>
      <c r="C24" s="48">
        <v>0</v>
      </c>
      <c r="D24" s="48">
        <v>0</v>
      </c>
      <c r="E24" s="48">
        <v>0</v>
      </c>
      <c r="F24" s="48"/>
      <c r="G24" s="48"/>
      <c r="H24" s="48"/>
      <c r="I24" s="48"/>
      <c r="J24" s="48"/>
      <c r="K24" s="48"/>
      <c r="L24" s="12" t="s">
        <v>1361</v>
      </c>
      <c r="T24"/>
    </row>
    <row r="25" spans="1:20" s="10" customFormat="1" x14ac:dyDescent="0.3">
      <c r="A25" s="46" t="s">
        <v>1317</v>
      </c>
      <c r="B25" s="48">
        <v>3.48</v>
      </c>
      <c r="C25" s="48">
        <v>9.7100000000000009</v>
      </c>
      <c r="D25" s="48">
        <v>12.02</v>
      </c>
      <c r="E25" s="48">
        <v>7.03</v>
      </c>
      <c r="F25" s="48"/>
      <c r="G25" s="48"/>
      <c r="H25" s="48"/>
      <c r="I25" s="48"/>
      <c r="J25" s="48"/>
      <c r="K25" s="48"/>
      <c r="L25" s="12" t="s">
        <v>1362</v>
      </c>
      <c r="T25"/>
    </row>
    <row r="26" spans="1:20" s="10" customFormat="1" x14ac:dyDescent="0.3">
      <c r="A26" s="46" t="s">
        <v>1318</v>
      </c>
      <c r="B26" s="48">
        <v>0</v>
      </c>
      <c r="C26" s="48">
        <v>0</v>
      </c>
      <c r="D26" s="48">
        <v>0</v>
      </c>
      <c r="E26" s="48">
        <v>0</v>
      </c>
      <c r="F26" s="48"/>
      <c r="G26" s="48"/>
      <c r="H26" s="48"/>
      <c r="I26" s="48"/>
      <c r="J26" s="48"/>
      <c r="K26" s="48"/>
      <c r="L26" s="12" t="s">
        <v>1363</v>
      </c>
      <c r="T26"/>
    </row>
    <row r="27" spans="1:20" s="10" customFormat="1" x14ac:dyDescent="0.3">
      <c r="A27" s="46" t="s">
        <v>1319</v>
      </c>
      <c r="B27" s="48">
        <v>10</v>
      </c>
      <c r="C27" s="48">
        <v>3.6787999999999998</v>
      </c>
      <c r="D27" s="48">
        <v>3.6787999999999998</v>
      </c>
      <c r="E27" s="48">
        <v>3.6787999999999998</v>
      </c>
      <c r="F27" s="48"/>
      <c r="G27" s="48"/>
      <c r="H27" s="48"/>
      <c r="I27" s="48"/>
      <c r="J27" s="48"/>
      <c r="K27" s="48"/>
      <c r="L27" s="12" t="s">
        <v>1364</v>
      </c>
      <c r="T27"/>
    </row>
    <row r="28" spans="1:20" s="10" customFormat="1" x14ac:dyDescent="0.3">
      <c r="A28" s="46" t="s">
        <v>1320</v>
      </c>
      <c r="B28" s="48">
        <v>20</v>
      </c>
      <c r="C28" s="48">
        <v>7.3575999999999997</v>
      </c>
      <c r="D28" s="48">
        <v>7.3575999999999997</v>
      </c>
      <c r="E28" s="48">
        <v>7.3575999999999997</v>
      </c>
      <c r="F28" s="48"/>
      <c r="G28" s="48"/>
      <c r="H28" s="48"/>
      <c r="I28" s="48"/>
      <c r="J28" s="48"/>
      <c r="K28" s="48"/>
      <c r="L28" s="12" t="s">
        <v>1365</v>
      </c>
      <c r="T28"/>
    </row>
    <row r="29" spans="1:20" s="10" customFormat="1" x14ac:dyDescent="0.3">
      <c r="A29" s="46" t="s">
        <v>1321</v>
      </c>
      <c r="B29" s="48">
        <v>1</v>
      </c>
      <c r="C29" s="48">
        <v>2.7E-2</v>
      </c>
      <c r="D29" s="48">
        <v>1E-3</v>
      </c>
      <c r="E29" s="48">
        <v>0</v>
      </c>
      <c r="F29" s="48"/>
      <c r="G29" s="48"/>
      <c r="H29" s="48"/>
      <c r="I29" s="48"/>
      <c r="J29" s="48"/>
      <c r="K29" s="48"/>
      <c r="L29" s="12" t="s">
        <v>1366</v>
      </c>
      <c r="T29"/>
    </row>
    <row r="30" spans="1:20" s="10" customFormat="1" x14ac:dyDescent="0.3">
      <c r="A30" s="46" t="s">
        <v>1322</v>
      </c>
      <c r="B30" s="48">
        <v>0</v>
      </c>
      <c r="C30" s="48">
        <v>0</v>
      </c>
      <c r="D30" s="48">
        <v>0</v>
      </c>
      <c r="E30" s="48">
        <v>0</v>
      </c>
      <c r="F30" s="48"/>
      <c r="G30" s="48"/>
      <c r="H30" s="48"/>
      <c r="I30" s="48"/>
      <c r="J30" s="48"/>
      <c r="K30" s="48"/>
      <c r="L30" s="12" t="s">
        <v>1367</v>
      </c>
      <c r="T30"/>
    </row>
    <row r="31" spans="1:20" s="10" customFormat="1" x14ac:dyDescent="0.3">
      <c r="A31" s="46" t="s">
        <v>1323</v>
      </c>
      <c r="B31" s="48">
        <v>0</v>
      </c>
      <c r="C31" s="48">
        <v>0</v>
      </c>
      <c r="D31" s="48">
        <v>0</v>
      </c>
      <c r="E31" s="48">
        <v>0</v>
      </c>
      <c r="F31" s="48"/>
      <c r="G31" s="48"/>
      <c r="H31" s="48"/>
      <c r="I31" s="48"/>
      <c r="J31" s="48"/>
      <c r="K31" s="48"/>
      <c r="L31" s="12" t="s">
        <v>1368</v>
      </c>
      <c r="T31"/>
    </row>
    <row r="32" spans="1:20" s="10" customFormat="1" x14ac:dyDescent="0.3">
      <c r="A32" s="46" t="s">
        <v>1324</v>
      </c>
      <c r="B32" s="48">
        <v>10.8</v>
      </c>
      <c r="C32" s="48">
        <v>4.8</v>
      </c>
      <c r="D32" s="48">
        <v>7.5</v>
      </c>
      <c r="E32" s="48">
        <v>8.8000000000000007</v>
      </c>
      <c r="F32" s="48"/>
      <c r="G32" s="48"/>
      <c r="H32" s="48"/>
      <c r="I32" s="48"/>
      <c r="J32" s="48"/>
      <c r="K32" s="48"/>
      <c r="L32" s="12" t="s">
        <v>1369</v>
      </c>
      <c r="T32"/>
    </row>
    <row r="33" spans="1:22" s="10" customFormat="1" x14ac:dyDescent="0.3">
      <c r="A33" s="46" t="s">
        <v>1325</v>
      </c>
      <c r="B33" s="48">
        <v>1.3</v>
      </c>
      <c r="C33" s="48">
        <v>0.6</v>
      </c>
      <c r="D33" s="48">
        <v>0.9</v>
      </c>
      <c r="E33" s="48">
        <v>1.1000000000000001</v>
      </c>
      <c r="F33" s="48"/>
      <c r="G33" s="48"/>
      <c r="H33" s="48"/>
      <c r="I33" s="48"/>
      <c r="J33" s="48"/>
      <c r="K33" s="48"/>
      <c r="L33" s="12" t="s">
        <v>1370</v>
      </c>
      <c r="T33"/>
    </row>
    <row r="34" spans="1:22" s="10" customFormat="1" x14ac:dyDescent="0.3">
      <c r="A34" s="46" t="s">
        <v>1326</v>
      </c>
      <c r="B34" s="48">
        <v>0</v>
      </c>
      <c r="C34" s="48">
        <v>0</v>
      </c>
      <c r="D34" s="48">
        <v>0</v>
      </c>
      <c r="E34" s="48">
        <v>0</v>
      </c>
      <c r="F34" s="48"/>
      <c r="G34" s="48"/>
      <c r="H34" s="48"/>
      <c r="I34" s="48"/>
      <c r="J34" s="48"/>
      <c r="K34" s="48"/>
      <c r="L34" s="12" t="s">
        <v>1371</v>
      </c>
      <c r="T34"/>
    </row>
    <row r="35" spans="1:22" s="10" customFormat="1" x14ac:dyDescent="0.3">
      <c r="A35" s="46" t="s">
        <v>1327</v>
      </c>
      <c r="B35" s="48">
        <v>0</v>
      </c>
      <c r="C35" s="48">
        <v>0</v>
      </c>
      <c r="D35" s="48">
        <v>0</v>
      </c>
      <c r="E35" s="48">
        <v>0</v>
      </c>
      <c r="F35" s="48"/>
      <c r="G35" s="48"/>
      <c r="H35" s="48"/>
      <c r="I35" s="48"/>
      <c r="J35" s="48"/>
      <c r="K35" s="48"/>
      <c r="L35" s="12" t="s">
        <v>1372</v>
      </c>
      <c r="T35"/>
    </row>
    <row r="36" spans="1:22" s="10" customFormat="1" x14ac:dyDescent="0.3">
      <c r="A36" s="46" t="s">
        <v>1328</v>
      </c>
      <c r="B36" s="48">
        <v>0.01</v>
      </c>
      <c r="C36" s="48">
        <v>0.01</v>
      </c>
      <c r="D36" s="48">
        <v>0.01</v>
      </c>
      <c r="E36" s="48">
        <v>0.01</v>
      </c>
      <c r="F36" s="48"/>
      <c r="G36" s="48"/>
      <c r="H36" s="48"/>
      <c r="I36" s="48"/>
      <c r="J36" s="48"/>
      <c r="K36" s="48"/>
      <c r="L36" s="12" t="s">
        <v>1373</v>
      </c>
      <c r="T36"/>
    </row>
    <row r="37" spans="1:22" s="10" customFormat="1" x14ac:dyDescent="0.3">
      <c r="A37" s="46" t="s">
        <v>1329</v>
      </c>
      <c r="B37" s="48">
        <v>0</v>
      </c>
      <c r="C37" s="48">
        <v>0</v>
      </c>
      <c r="D37" s="48">
        <v>0</v>
      </c>
      <c r="E37" s="48">
        <v>0</v>
      </c>
      <c r="F37" s="48"/>
      <c r="G37" s="48"/>
      <c r="H37" s="48"/>
      <c r="I37" s="48"/>
      <c r="J37" s="48"/>
      <c r="K37" s="48"/>
      <c r="L37" s="12" t="s">
        <v>1374</v>
      </c>
      <c r="T37"/>
    </row>
    <row r="38" spans="1:22" s="10" customFormat="1" x14ac:dyDescent="0.3">
      <c r="A38" s="46" t="s">
        <v>1330</v>
      </c>
      <c r="B38" s="48">
        <v>0</v>
      </c>
      <c r="C38" s="48">
        <v>0</v>
      </c>
      <c r="D38" s="48">
        <v>0</v>
      </c>
      <c r="E38" s="48">
        <v>0</v>
      </c>
      <c r="F38" s="48"/>
      <c r="G38" s="48"/>
      <c r="H38" s="48"/>
      <c r="I38" s="48"/>
      <c r="J38" s="48"/>
      <c r="K38" s="48"/>
      <c r="L38" s="12" t="s">
        <v>1375</v>
      </c>
      <c r="T38"/>
    </row>
    <row r="39" spans="1:22" s="10" customFormat="1" x14ac:dyDescent="0.3">
      <c r="A39" s="46" t="s">
        <v>1331</v>
      </c>
      <c r="B39" s="48">
        <v>0</v>
      </c>
      <c r="C39" s="48">
        <v>0</v>
      </c>
      <c r="D39" s="48">
        <v>0</v>
      </c>
      <c r="E39" s="48">
        <v>0</v>
      </c>
      <c r="F39" s="48"/>
      <c r="G39" s="48"/>
      <c r="H39" s="48"/>
      <c r="I39" s="48"/>
      <c r="J39" s="48"/>
      <c r="K39" s="48"/>
      <c r="L39" s="12" t="s">
        <v>1376</v>
      </c>
      <c r="T39"/>
    </row>
    <row r="40" spans="1:22" s="10" customFormat="1" x14ac:dyDescent="0.3">
      <c r="A40" s="46" t="s">
        <v>1332</v>
      </c>
      <c r="B40" s="48">
        <v>0</v>
      </c>
      <c r="C40" s="48">
        <v>0</v>
      </c>
      <c r="D40" s="48">
        <v>0</v>
      </c>
      <c r="E40" s="48">
        <v>0</v>
      </c>
      <c r="F40" s="48"/>
      <c r="G40" s="48"/>
      <c r="H40" s="48"/>
      <c r="I40" s="48"/>
      <c r="J40" s="48"/>
      <c r="K40" s="48"/>
      <c r="L40" s="12" t="s">
        <v>1377</v>
      </c>
      <c r="T40"/>
    </row>
    <row r="41" spans="1:22" x14ac:dyDescent="0.3">
      <c r="A41" s="46" t="s">
        <v>1333</v>
      </c>
      <c r="L41" s="12" t="s">
        <v>1378</v>
      </c>
      <c r="U41" s="10"/>
      <c r="V41" s="10"/>
    </row>
    <row r="42" spans="1:22" x14ac:dyDescent="0.3">
      <c r="A42" s="46" t="s">
        <v>1334</v>
      </c>
      <c r="L42" s="12" t="s">
        <v>1379</v>
      </c>
      <c r="U42" s="10"/>
      <c r="V42" s="10"/>
    </row>
    <row r="43" spans="1:22" x14ac:dyDescent="0.3">
      <c r="A43" s="46" t="s">
        <v>1335</v>
      </c>
      <c r="L43" s="12" t="s">
        <v>1380</v>
      </c>
      <c r="U43" s="10"/>
      <c r="V43" s="10"/>
    </row>
    <row r="44" spans="1:22" x14ac:dyDescent="0.3">
      <c r="A44" s="46" t="s">
        <v>1336</v>
      </c>
      <c r="L44" s="12" t="s">
        <v>1381</v>
      </c>
      <c r="U44" s="10"/>
      <c r="V44" s="10"/>
    </row>
    <row r="45" spans="1:22" x14ac:dyDescent="0.3">
      <c r="A45" s="46" t="s">
        <v>1337</v>
      </c>
      <c r="L45" s="12" t="s">
        <v>1382</v>
      </c>
      <c r="U45" s="10"/>
      <c r="V45" s="10"/>
    </row>
    <row r="46" spans="1:22" x14ac:dyDescent="0.3">
      <c r="A46" s="46" t="s">
        <v>1338</v>
      </c>
      <c r="L46" s="12" t="s">
        <v>1383</v>
      </c>
      <c r="U46" s="10"/>
      <c r="V46" s="10"/>
    </row>
    <row r="47" spans="1:22" x14ac:dyDescent="0.3">
      <c r="A47" s="46" t="s">
        <v>1339</v>
      </c>
      <c r="L47" s="12" t="s">
        <v>1384</v>
      </c>
      <c r="U47" s="10"/>
      <c r="V47" s="10"/>
    </row>
    <row r="48" spans="1:22" x14ac:dyDescent="0.3">
      <c r="A48" s="46" t="s">
        <v>1340</v>
      </c>
      <c r="L48" s="12" t="s">
        <v>1385</v>
      </c>
      <c r="U48" s="10"/>
      <c r="V48" s="10"/>
    </row>
    <row r="49" spans="1:22" x14ac:dyDescent="0.3">
      <c r="A49" s="46" t="s">
        <v>1341</v>
      </c>
      <c r="L49" s="12" t="s">
        <v>1386</v>
      </c>
      <c r="U49" s="10"/>
      <c r="V49" s="10"/>
    </row>
    <row r="50" spans="1:22" x14ac:dyDescent="0.3">
      <c r="A50" s="46" t="s">
        <v>1342</v>
      </c>
      <c r="L50" s="12" t="s">
        <v>1387</v>
      </c>
      <c r="U50" s="10"/>
      <c r="V50" s="10"/>
    </row>
    <row r="51" spans="1:22" x14ac:dyDescent="0.3">
      <c r="A51" s="46" t="s">
        <v>1343</v>
      </c>
      <c r="L51" s="12" t="s">
        <v>1388</v>
      </c>
      <c r="U51" s="10"/>
      <c r="V51" s="10"/>
    </row>
    <row r="52" spans="1:22" x14ac:dyDescent="0.3">
      <c r="A52" s="46" t="s">
        <v>1344</v>
      </c>
      <c r="L52" s="12" t="s">
        <v>1389</v>
      </c>
      <c r="U52" s="10"/>
      <c r="V52" s="10"/>
    </row>
    <row r="53" spans="1:22" x14ac:dyDescent="0.3">
      <c r="A53" s="46" t="s">
        <v>1345</v>
      </c>
      <c r="L53" s="12" t="s">
        <v>1390</v>
      </c>
      <c r="U53" s="10"/>
      <c r="V53" s="10"/>
    </row>
    <row r="54" spans="1:22" x14ac:dyDescent="0.3">
      <c r="A54" s="46" t="s">
        <v>1346</v>
      </c>
      <c r="L54" s="12" t="s">
        <v>1391</v>
      </c>
      <c r="U54" s="10"/>
      <c r="V54" s="10"/>
    </row>
    <row r="55" spans="1:22" x14ac:dyDescent="0.3">
      <c r="A55" s="46" t="s">
        <v>1347</v>
      </c>
      <c r="L55" s="12" t="s">
        <v>1392</v>
      </c>
      <c r="U55" s="10"/>
      <c r="V55" s="10"/>
    </row>
    <row r="56" spans="1:22" x14ac:dyDescent="0.3">
      <c r="A56" s="12"/>
    </row>
    <row r="57" spans="1:22" x14ac:dyDescent="0.3">
      <c r="A57" s="12"/>
    </row>
    <row r="58" spans="1:22" x14ac:dyDescent="0.3">
      <c r="A58" s="12"/>
    </row>
    <row r="59" spans="1:22" x14ac:dyDescent="0.3">
      <c r="A59" s="12"/>
    </row>
    <row r="60" spans="1:22" x14ac:dyDescent="0.3">
      <c r="A60" s="12"/>
    </row>
    <row r="61" spans="1:22" x14ac:dyDescent="0.3">
      <c r="A61" s="12"/>
    </row>
    <row r="62" spans="1:22" x14ac:dyDescent="0.3">
      <c r="A62" s="12"/>
    </row>
    <row r="63" spans="1:22" x14ac:dyDescent="0.3">
      <c r="A63" s="12"/>
    </row>
    <row r="64" spans="1:22" x14ac:dyDescent="0.3">
      <c r="A64" s="12"/>
    </row>
    <row r="65" spans="1:1" x14ac:dyDescent="0.3">
      <c r="A65" s="12"/>
    </row>
    <row r="66" spans="1:1" x14ac:dyDescent="0.3">
      <c r="A66" s="12"/>
    </row>
    <row r="67" spans="1:1" x14ac:dyDescent="0.3">
      <c r="A67" s="12"/>
    </row>
    <row r="68" spans="1:1" x14ac:dyDescent="0.3">
      <c r="A68" s="12"/>
    </row>
    <row r="69" spans="1:1" x14ac:dyDescent="0.3">
      <c r="A69" s="12"/>
    </row>
    <row r="70" spans="1:1" x14ac:dyDescent="0.3">
      <c r="A70" s="12"/>
    </row>
    <row r="71" spans="1:1" x14ac:dyDescent="0.3">
      <c r="A71" s="12"/>
    </row>
    <row r="72" spans="1:1" x14ac:dyDescent="0.3">
      <c r="A72" s="12"/>
    </row>
    <row r="73" spans="1:1" x14ac:dyDescent="0.3">
      <c r="A73" s="12"/>
    </row>
    <row r="74" spans="1:1" x14ac:dyDescent="0.3">
      <c r="A74" s="12"/>
    </row>
    <row r="75" spans="1:1" x14ac:dyDescent="0.3">
      <c r="A75" s="12"/>
    </row>
    <row r="76" spans="1:1" x14ac:dyDescent="0.3">
      <c r="A76" s="12"/>
    </row>
    <row r="77" spans="1:1" x14ac:dyDescent="0.3">
      <c r="A77" s="12"/>
    </row>
    <row r="78" spans="1:1" x14ac:dyDescent="0.3">
      <c r="A78" s="12"/>
    </row>
    <row r="79" spans="1:1" x14ac:dyDescent="0.3">
      <c r="A79" s="12"/>
    </row>
    <row r="80" spans="1:1" x14ac:dyDescent="0.3">
      <c r="A80" s="12"/>
    </row>
    <row r="81" spans="1:1" x14ac:dyDescent="0.3">
      <c r="A81" s="12"/>
    </row>
    <row r="82" spans="1:1" x14ac:dyDescent="0.3">
      <c r="A82" s="12"/>
    </row>
    <row r="83" spans="1:1" x14ac:dyDescent="0.3">
      <c r="A83" s="12"/>
    </row>
    <row r="84" spans="1:1" x14ac:dyDescent="0.3">
      <c r="A84" s="12"/>
    </row>
    <row r="85" spans="1:1" x14ac:dyDescent="0.3">
      <c r="A85" s="12"/>
    </row>
    <row r="86" spans="1:1" x14ac:dyDescent="0.3">
      <c r="A86" s="12"/>
    </row>
    <row r="87" spans="1:1" x14ac:dyDescent="0.3">
      <c r="A87" s="12"/>
    </row>
    <row r="88" spans="1:1" x14ac:dyDescent="0.3">
      <c r="A88" s="12"/>
    </row>
    <row r="89" spans="1:1" x14ac:dyDescent="0.3">
      <c r="A89" s="12"/>
    </row>
    <row r="90" spans="1:1" x14ac:dyDescent="0.3">
      <c r="A90" s="12"/>
    </row>
    <row r="91" spans="1:1" x14ac:dyDescent="0.3">
      <c r="A91" s="12"/>
    </row>
    <row r="92" spans="1:1" x14ac:dyDescent="0.3">
      <c r="A92" s="12"/>
    </row>
    <row r="93" spans="1:1" x14ac:dyDescent="0.3">
      <c r="A93" s="12"/>
    </row>
    <row r="94" spans="1:1" x14ac:dyDescent="0.3">
      <c r="A94" s="12"/>
    </row>
    <row r="95" spans="1:1" x14ac:dyDescent="0.3">
      <c r="A95" s="12"/>
    </row>
    <row r="96" spans="1:1" x14ac:dyDescent="0.3">
      <c r="A96" s="12"/>
    </row>
    <row r="97" spans="1:1" x14ac:dyDescent="0.3">
      <c r="A97" s="12"/>
    </row>
    <row r="98" spans="1:1" x14ac:dyDescent="0.3">
      <c r="A98" s="12"/>
    </row>
    <row r="99" spans="1:1" x14ac:dyDescent="0.3">
      <c r="A99" s="12"/>
    </row>
    <row r="100" spans="1:1" x14ac:dyDescent="0.3">
      <c r="A100" s="12"/>
    </row>
    <row r="101" spans="1:1" x14ac:dyDescent="0.3">
      <c r="A101" s="12"/>
    </row>
    <row r="102" spans="1:1" x14ac:dyDescent="0.3">
      <c r="A102" s="12"/>
    </row>
    <row r="103" spans="1:1" x14ac:dyDescent="0.3">
      <c r="A103" s="12"/>
    </row>
    <row r="104" spans="1:1" x14ac:dyDescent="0.3">
      <c r="A104" s="12"/>
    </row>
    <row r="105" spans="1:1" x14ac:dyDescent="0.3">
      <c r="A105" s="12"/>
    </row>
    <row r="106" spans="1:1" x14ac:dyDescent="0.3">
      <c r="A106" s="12"/>
    </row>
    <row r="107" spans="1:1" x14ac:dyDescent="0.3">
      <c r="A107" s="12"/>
    </row>
    <row r="108" spans="1:1" x14ac:dyDescent="0.3">
      <c r="A108" s="12"/>
    </row>
    <row r="109" spans="1:1" x14ac:dyDescent="0.3">
      <c r="A109" s="12"/>
    </row>
    <row r="110" spans="1:1" x14ac:dyDescent="0.3">
      <c r="A110" s="12"/>
    </row>
    <row r="111" spans="1:1" x14ac:dyDescent="0.3">
      <c r="A111" s="12"/>
    </row>
    <row r="112" spans="1:1" x14ac:dyDescent="0.3">
      <c r="A112" s="12"/>
    </row>
    <row r="113" spans="1:1" x14ac:dyDescent="0.3">
      <c r="A113" s="12"/>
    </row>
    <row r="114" spans="1:1" x14ac:dyDescent="0.3">
      <c r="A114" s="12"/>
    </row>
    <row r="115" spans="1:1" x14ac:dyDescent="0.3">
      <c r="A115" s="12"/>
    </row>
    <row r="116" spans="1:1" x14ac:dyDescent="0.3">
      <c r="A116" s="12"/>
    </row>
    <row r="117" spans="1:1" x14ac:dyDescent="0.3">
      <c r="A117" s="12"/>
    </row>
    <row r="118" spans="1:1" x14ac:dyDescent="0.3">
      <c r="A118" s="12"/>
    </row>
    <row r="119" spans="1:1" x14ac:dyDescent="0.3">
      <c r="A119" s="12"/>
    </row>
    <row r="120" spans="1:1" x14ac:dyDescent="0.3">
      <c r="A120" s="12"/>
    </row>
    <row r="121" spans="1:1" x14ac:dyDescent="0.3">
      <c r="A121" s="12"/>
    </row>
    <row r="122" spans="1:1" x14ac:dyDescent="0.3">
      <c r="A122" s="12"/>
    </row>
    <row r="123" spans="1:1" x14ac:dyDescent="0.3">
      <c r="A123" s="12"/>
    </row>
    <row r="124" spans="1:1" x14ac:dyDescent="0.3">
      <c r="A124" s="12"/>
    </row>
    <row r="125" spans="1:1" x14ac:dyDescent="0.3">
      <c r="A125" s="12"/>
    </row>
    <row r="126" spans="1:1" x14ac:dyDescent="0.3">
      <c r="A126" s="12"/>
    </row>
    <row r="127" spans="1:1" x14ac:dyDescent="0.3">
      <c r="A127" s="12"/>
    </row>
    <row r="128" spans="1:1" x14ac:dyDescent="0.3">
      <c r="A128" s="12"/>
    </row>
    <row r="129" spans="1:1" x14ac:dyDescent="0.3">
      <c r="A129" s="12"/>
    </row>
    <row r="130" spans="1:1" x14ac:dyDescent="0.3">
      <c r="A130" s="12"/>
    </row>
    <row r="131" spans="1:1" x14ac:dyDescent="0.3">
      <c r="A131" s="12"/>
    </row>
    <row r="132" spans="1:1" x14ac:dyDescent="0.3">
      <c r="A132" s="12"/>
    </row>
  </sheetData>
  <mergeCells count="1">
    <mergeCell ref="L13:M13"/>
  </mergeCells>
  <pageMargins left="0.7" right="0.7" top="0.75" bottom="0.75" header="0.3" footer="0.3"/>
  <pageSetup paperSize="0" orientation="portrait" r:id="rId1"/>
  <drawing r:id="rId2"/>
  <legacyDrawing r:id="rId3"/>
  <controls>
    <mc:AlternateContent xmlns:mc="http://schemas.openxmlformats.org/markup-compatibility/2006">
      <mc:Choice Requires="x14">
        <control shapeId="72710" r:id="rId4" name="cmdReadSol">
          <controlPr defaultSize="0" autoLine="0" r:id="rId5">
            <anchor moveWithCells="1">
              <from>
                <xdr:col>6</xdr:col>
                <xdr:colOff>594360</xdr:colOff>
                <xdr:row>2</xdr:row>
                <xdr:rowOff>38100</xdr:rowOff>
              </from>
              <to>
                <xdr:col>8</xdr:col>
                <xdr:colOff>304800</xdr:colOff>
                <xdr:row>4</xdr:row>
                <xdr:rowOff>0</xdr:rowOff>
              </to>
            </anchor>
          </controlPr>
        </control>
      </mc:Choice>
      <mc:Fallback>
        <control shapeId="72710" r:id="rId4" name="cmdReadSol"/>
      </mc:Fallback>
    </mc:AlternateContent>
    <mc:AlternateContent xmlns:mc="http://schemas.openxmlformats.org/markup-compatibility/2006">
      <mc:Choice Requires="x14">
        <control shapeId="72711" r:id="rId6" name="cmdWriteSol">
          <controlPr defaultSize="0" autoLine="0" r:id="rId7">
            <anchor moveWithCells="1">
              <from>
                <xdr:col>8</xdr:col>
                <xdr:colOff>403860</xdr:colOff>
                <xdr:row>2</xdr:row>
                <xdr:rowOff>38100</xdr:rowOff>
              </from>
              <to>
                <xdr:col>10</xdr:col>
                <xdr:colOff>175260</xdr:colOff>
                <xdr:row>4</xdr:row>
                <xdr:rowOff>0</xdr:rowOff>
              </to>
            </anchor>
          </controlPr>
        </control>
      </mc:Choice>
      <mc:Fallback>
        <control shapeId="72711" r:id="rId6" name="cmdWrite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137160</xdr:rowOff>
              </from>
              <to>
                <xdr:col>3</xdr:col>
                <xdr:colOff>45720</xdr:colOff>
                <xdr:row>4</xdr:row>
                <xdr:rowOff>22860</xdr:rowOff>
              </to>
            </anchor>
          </controlPr>
        </control>
      </mc:Choice>
      <mc:Fallback>
        <control shapeId="72712" r:id="rId8" name="cmbBoxSol"/>
      </mc:Fallback>
    </mc:AlternateContent>
    <mc:AlternateContent xmlns:mc="http://schemas.openxmlformats.org/markup-compatibility/2006">
      <mc:Choice Requires="x14">
        <control shapeId="72713" r:id="rId10" name="cmdGetSol">
          <controlPr defaultSize="0" autoLine="0" r:id="rId11">
            <anchor moveWithCells="1">
              <from>
                <xdr:col>5</xdr:col>
                <xdr:colOff>45720</xdr:colOff>
                <xdr:row>2</xdr:row>
                <xdr:rowOff>38100</xdr:rowOff>
              </from>
              <to>
                <xdr:col>6</xdr:col>
                <xdr:colOff>426720</xdr:colOff>
                <xdr:row>4</xdr:row>
                <xdr:rowOff>0</xdr:rowOff>
              </to>
            </anchor>
          </controlPr>
        </control>
      </mc:Choice>
      <mc:Fallback>
        <control shapeId="72713" r:id="rId10" name="cmdGetSol"/>
      </mc:Fallback>
    </mc:AlternateContent>
    <mc:AlternateContent xmlns:mc="http://schemas.openxmlformats.org/markup-compatibility/2006">
      <mc:Choice Requires="x14">
        <control shapeId="72714" r:id="rId12" name="cmdRunSol">
          <controlPr defaultSize="0" autoLine="0" r:id="rId13">
            <anchor moveWithCells="1">
              <from>
                <xdr:col>10</xdr:col>
                <xdr:colOff>403860</xdr:colOff>
                <xdr:row>2</xdr:row>
                <xdr:rowOff>38100</xdr:rowOff>
              </from>
              <to>
                <xdr:col>12</xdr:col>
                <xdr:colOff>190500</xdr:colOff>
                <xdr:row>4</xdr:row>
                <xdr:rowOff>0</xdr:rowOff>
              </to>
            </anchor>
          </controlPr>
        </control>
      </mc:Choice>
      <mc:Fallback>
        <control shapeId="72714" r:id="rId12" name="cmdRunSol"/>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148"/>
  <sheetViews>
    <sheetView workbookViewId="0">
      <pane ySplit="4" topLeftCell="A5" activePane="bottomLeft" state="frozen"/>
      <selection pane="bottomLeft"/>
    </sheetView>
  </sheetViews>
  <sheetFormatPr defaultRowHeight="14.4" x14ac:dyDescent="0.3"/>
  <cols>
    <col min="1" max="1" width="12.5546875" customWidth="1"/>
    <col min="2" max="2" width="14.6640625" style="6" customWidth="1"/>
    <col min="3" max="3" width="74" customWidth="1"/>
  </cols>
  <sheetData>
    <row r="1" spans="1:4" ht="21" x14ac:dyDescent="0.3">
      <c r="A1" s="125" t="s">
        <v>1452</v>
      </c>
      <c r="B1"/>
    </row>
    <row r="2" spans="1:4" x14ac:dyDescent="0.3">
      <c r="A2" s="91" t="s">
        <v>1462</v>
      </c>
      <c r="B2" s="92"/>
      <c r="C2" s="93" t="s">
        <v>1463</v>
      </c>
    </row>
    <row r="3" spans="1:4" x14ac:dyDescent="0.3">
      <c r="B3"/>
    </row>
    <row r="4" spans="1:4" s="8" customFormat="1" x14ac:dyDescent="0.3">
      <c r="A4" s="81" t="s">
        <v>1141</v>
      </c>
      <c r="B4" s="81" t="s">
        <v>1142</v>
      </c>
      <c r="C4" s="79" t="s">
        <v>1438</v>
      </c>
      <c r="D4" s="81"/>
    </row>
    <row r="5" spans="1:4" x14ac:dyDescent="0.3">
      <c r="A5">
        <v>1</v>
      </c>
      <c r="B5" s="6" t="s">
        <v>2528</v>
      </c>
      <c r="C5" s="28" t="s">
        <v>2529</v>
      </c>
      <c r="D5" s="28"/>
    </row>
    <row r="6" spans="1:4" x14ac:dyDescent="0.3">
      <c r="A6">
        <v>2</v>
      </c>
      <c r="B6" s="6" t="s">
        <v>2530</v>
      </c>
      <c r="C6" t="s">
        <v>2531</v>
      </c>
    </row>
    <row r="7" spans="1:4" x14ac:dyDescent="0.3">
      <c r="A7">
        <v>3</v>
      </c>
      <c r="B7" s="6" t="s">
        <v>2532</v>
      </c>
      <c r="C7" t="s">
        <v>2533</v>
      </c>
    </row>
    <row r="8" spans="1:4" x14ac:dyDescent="0.3">
      <c r="A8">
        <v>4</v>
      </c>
      <c r="B8" s="6" t="s">
        <v>2534</v>
      </c>
      <c r="C8" t="s">
        <v>2535</v>
      </c>
    </row>
    <row r="9" spans="1:4" x14ac:dyDescent="0.3">
      <c r="A9">
        <v>5</v>
      </c>
      <c r="B9" s="6" t="s">
        <v>2536</v>
      </c>
      <c r="C9" t="s">
        <v>2537</v>
      </c>
    </row>
    <row r="10" spans="1:4" x14ac:dyDescent="0.3">
      <c r="A10">
        <v>6</v>
      </c>
      <c r="B10" s="6" t="s">
        <v>2538</v>
      </c>
      <c r="C10" t="s">
        <v>2539</v>
      </c>
    </row>
    <row r="11" spans="1:4" x14ac:dyDescent="0.3">
      <c r="A11">
        <v>7</v>
      </c>
      <c r="B11" s="6" t="s">
        <v>2540</v>
      </c>
      <c r="C11" t="s">
        <v>2541</v>
      </c>
    </row>
    <row r="12" spans="1:4" x14ac:dyDescent="0.3">
      <c r="A12">
        <v>8</v>
      </c>
      <c r="B12" s="6" t="s">
        <v>2542</v>
      </c>
      <c r="C12" t="s">
        <v>2543</v>
      </c>
    </row>
    <row r="13" spans="1:4" x14ac:dyDescent="0.3">
      <c r="A13">
        <v>9</v>
      </c>
      <c r="B13" s="6" t="s">
        <v>2544</v>
      </c>
      <c r="C13" t="s">
        <v>2545</v>
      </c>
    </row>
    <row r="14" spans="1:4" x14ac:dyDescent="0.3">
      <c r="A14">
        <v>10</v>
      </c>
      <c r="B14" s="6" t="s">
        <v>2546</v>
      </c>
      <c r="C14" t="s">
        <v>2547</v>
      </c>
    </row>
    <row r="15" spans="1:4" x14ac:dyDescent="0.3">
      <c r="A15">
        <v>11</v>
      </c>
      <c r="B15" s="6" t="s">
        <v>2548</v>
      </c>
      <c r="C15" t="s">
        <v>2549</v>
      </c>
    </row>
    <row r="16" spans="1:4" x14ac:dyDescent="0.3">
      <c r="A16">
        <v>12</v>
      </c>
      <c r="B16" s="6" t="s">
        <v>2550</v>
      </c>
      <c r="C16" t="s">
        <v>2551</v>
      </c>
    </row>
    <row r="17" spans="1:3" x14ac:dyDescent="0.3">
      <c r="A17">
        <v>13</v>
      </c>
      <c r="B17" s="6" t="s">
        <v>2552</v>
      </c>
      <c r="C17" t="s">
        <v>2553</v>
      </c>
    </row>
    <row r="18" spans="1:3" x14ac:dyDescent="0.3">
      <c r="A18">
        <v>14</v>
      </c>
      <c r="B18" s="6" t="s">
        <v>2554</v>
      </c>
      <c r="C18" t="s">
        <v>2555</v>
      </c>
    </row>
    <row r="19" spans="1:3" x14ac:dyDescent="0.3">
      <c r="A19">
        <v>15</v>
      </c>
      <c r="B19" s="6" t="s">
        <v>2556</v>
      </c>
      <c r="C19" t="s">
        <v>2557</v>
      </c>
    </row>
    <row r="20" spans="1:3" x14ac:dyDescent="0.3">
      <c r="A20">
        <v>16</v>
      </c>
      <c r="B20" s="6" t="s">
        <v>2558</v>
      </c>
      <c r="C20" t="s">
        <v>2559</v>
      </c>
    </row>
    <row r="21" spans="1:3" x14ac:dyDescent="0.3">
      <c r="A21">
        <v>17</v>
      </c>
      <c r="B21" s="6" t="s">
        <v>2560</v>
      </c>
      <c r="C21" t="s">
        <v>2561</v>
      </c>
    </row>
    <row r="22" spans="1:3" x14ac:dyDescent="0.3">
      <c r="A22">
        <v>18</v>
      </c>
      <c r="B22" s="6" t="s">
        <v>2562</v>
      </c>
      <c r="C22" t="s">
        <v>2563</v>
      </c>
    </row>
    <row r="23" spans="1:3" x14ac:dyDescent="0.3">
      <c r="A23">
        <v>19</v>
      </c>
      <c r="B23" s="6" t="s">
        <v>2564</v>
      </c>
      <c r="C23" t="s">
        <v>2565</v>
      </c>
    </row>
    <row r="24" spans="1:3" x14ac:dyDescent="0.3">
      <c r="A24">
        <v>20</v>
      </c>
      <c r="B24" s="6" t="s">
        <v>2566</v>
      </c>
      <c r="C24" t="s">
        <v>2567</v>
      </c>
    </row>
    <row r="25" spans="1:3" x14ac:dyDescent="0.3">
      <c r="A25">
        <v>21</v>
      </c>
      <c r="B25" s="6" t="s">
        <v>2568</v>
      </c>
      <c r="C25" t="s">
        <v>2569</v>
      </c>
    </row>
    <row r="26" spans="1:3" x14ac:dyDescent="0.3">
      <c r="A26">
        <v>22</v>
      </c>
      <c r="B26" s="6" t="s">
        <v>2570</v>
      </c>
      <c r="C26" t="s">
        <v>2571</v>
      </c>
    </row>
    <row r="27" spans="1:3" x14ac:dyDescent="0.3">
      <c r="A27">
        <v>23</v>
      </c>
      <c r="B27" s="6" t="s">
        <v>2572</v>
      </c>
      <c r="C27" t="s">
        <v>2573</v>
      </c>
    </row>
    <row r="28" spans="1:3" x14ac:dyDescent="0.3">
      <c r="A28">
        <v>24</v>
      </c>
      <c r="B28" s="6" t="s">
        <v>2574</v>
      </c>
      <c r="C28" t="s">
        <v>2575</v>
      </c>
    </row>
    <row r="29" spans="1:3" x14ac:dyDescent="0.3">
      <c r="A29">
        <v>25</v>
      </c>
      <c r="B29" s="6" t="s">
        <v>2576</v>
      </c>
      <c r="C29" t="s">
        <v>2577</v>
      </c>
    </row>
    <row r="30" spans="1:3" x14ac:dyDescent="0.3">
      <c r="A30">
        <v>26</v>
      </c>
      <c r="B30" s="6" t="s">
        <v>2578</v>
      </c>
      <c r="C30" t="s">
        <v>2579</v>
      </c>
    </row>
    <row r="31" spans="1:3" x14ac:dyDescent="0.3">
      <c r="A31">
        <v>27</v>
      </c>
      <c r="B31" s="6" t="s">
        <v>2580</v>
      </c>
      <c r="C31" t="s">
        <v>2581</v>
      </c>
    </row>
    <row r="32" spans="1:3" x14ac:dyDescent="0.3">
      <c r="A32">
        <v>28</v>
      </c>
      <c r="B32" s="6" t="s">
        <v>2582</v>
      </c>
      <c r="C32" t="s">
        <v>2583</v>
      </c>
    </row>
    <row r="33" spans="1:3" x14ac:dyDescent="0.3">
      <c r="A33">
        <v>29</v>
      </c>
      <c r="B33" s="6" t="s">
        <v>2584</v>
      </c>
      <c r="C33" t="s">
        <v>2585</v>
      </c>
    </row>
    <row r="34" spans="1:3" x14ac:dyDescent="0.3">
      <c r="A34">
        <v>30</v>
      </c>
      <c r="B34" s="6" t="s">
        <v>2586</v>
      </c>
      <c r="C34" t="s">
        <v>2587</v>
      </c>
    </row>
    <row r="35" spans="1:3" x14ac:dyDescent="0.3">
      <c r="A35">
        <v>31</v>
      </c>
      <c r="B35" s="6" t="s">
        <v>2588</v>
      </c>
      <c r="C35" t="s">
        <v>2589</v>
      </c>
    </row>
    <row r="36" spans="1:3" x14ac:dyDescent="0.3">
      <c r="A36">
        <v>32</v>
      </c>
      <c r="B36" s="6" t="s">
        <v>2590</v>
      </c>
      <c r="C36" t="s">
        <v>2591</v>
      </c>
    </row>
    <row r="37" spans="1:3" x14ac:dyDescent="0.3">
      <c r="A37">
        <v>33</v>
      </c>
      <c r="B37" s="6" t="s">
        <v>2592</v>
      </c>
      <c r="C37" t="s">
        <v>2593</v>
      </c>
    </row>
    <row r="38" spans="1:3" x14ac:dyDescent="0.3">
      <c r="A38">
        <v>34</v>
      </c>
      <c r="B38" s="6" t="s">
        <v>2594</v>
      </c>
      <c r="C38" t="s">
        <v>2595</v>
      </c>
    </row>
    <row r="39" spans="1:3" x14ac:dyDescent="0.3">
      <c r="A39">
        <v>35</v>
      </c>
      <c r="B39" s="6" t="s">
        <v>2596</v>
      </c>
      <c r="C39" t="s">
        <v>2597</v>
      </c>
    </row>
    <row r="40" spans="1:3" x14ac:dyDescent="0.3">
      <c r="A40">
        <v>36</v>
      </c>
      <c r="B40" s="6" t="s">
        <v>2598</v>
      </c>
      <c r="C40" t="s">
        <v>2599</v>
      </c>
    </row>
    <row r="41" spans="1:3" x14ac:dyDescent="0.3">
      <c r="A41">
        <v>37</v>
      </c>
      <c r="B41" s="6" t="s">
        <v>2600</v>
      </c>
      <c r="C41" t="s">
        <v>2601</v>
      </c>
    </row>
    <row r="42" spans="1:3" x14ac:dyDescent="0.3">
      <c r="A42">
        <v>38</v>
      </c>
      <c r="B42" s="6" t="s">
        <v>2602</v>
      </c>
      <c r="C42" t="s">
        <v>2603</v>
      </c>
    </row>
    <row r="43" spans="1:3" x14ac:dyDescent="0.3">
      <c r="A43">
        <v>39</v>
      </c>
      <c r="B43" s="6" t="s">
        <v>2604</v>
      </c>
      <c r="C43" t="s">
        <v>2605</v>
      </c>
    </row>
    <row r="44" spans="1:3" x14ac:dyDescent="0.3">
      <c r="A44">
        <v>40</v>
      </c>
      <c r="B44" s="6" t="s">
        <v>2606</v>
      </c>
      <c r="C44" t="s">
        <v>2607</v>
      </c>
    </row>
    <row r="45" spans="1:3" x14ac:dyDescent="0.3">
      <c r="A45">
        <v>41</v>
      </c>
      <c r="B45" s="6" t="s">
        <v>2608</v>
      </c>
      <c r="C45" t="s">
        <v>2609</v>
      </c>
    </row>
    <row r="46" spans="1:3" x14ac:dyDescent="0.3">
      <c r="A46">
        <v>42</v>
      </c>
      <c r="B46" s="6" t="s">
        <v>2610</v>
      </c>
      <c r="C46" t="s">
        <v>2611</v>
      </c>
    </row>
    <row r="47" spans="1:3" x14ac:dyDescent="0.3">
      <c r="A47">
        <v>43</v>
      </c>
      <c r="B47" s="6" t="s">
        <v>2612</v>
      </c>
      <c r="C47" t="s">
        <v>2613</v>
      </c>
    </row>
    <row r="48" spans="1:3" x14ac:dyDescent="0.3">
      <c r="A48">
        <v>44</v>
      </c>
      <c r="B48" s="6" t="s">
        <v>2614</v>
      </c>
      <c r="C48" t="s">
        <v>2615</v>
      </c>
    </row>
    <row r="49" spans="1:3" x14ac:dyDescent="0.3">
      <c r="A49">
        <v>45</v>
      </c>
      <c r="B49" s="6" t="s">
        <v>2616</v>
      </c>
      <c r="C49" t="s">
        <v>2617</v>
      </c>
    </row>
    <row r="50" spans="1:3" x14ac:dyDescent="0.3">
      <c r="A50">
        <v>46</v>
      </c>
      <c r="B50" s="6" t="s">
        <v>2618</v>
      </c>
      <c r="C50" t="s">
        <v>2619</v>
      </c>
    </row>
    <row r="51" spans="1:3" x14ac:dyDescent="0.3">
      <c r="A51">
        <v>47</v>
      </c>
      <c r="B51" s="6" t="s">
        <v>2620</v>
      </c>
      <c r="C51" t="s">
        <v>2621</v>
      </c>
    </row>
    <row r="52" spans="1:3" x14ac:dyDescent="0.3">
      <c r="A52">
        <v>48</v>
      </c>
      <c r="B52" s="6" t="s">
        <v>2622</v>
      </c>
      <c r="C52" t="s">
        <v>2623</v>
      </c>
    </row>
    <row r="53" spans="1:3" x14ac:dyDescent="0.3">
      <c r="A53">
        <v>49</v>
      </c>
      <c r="B53" s="6" t="s">
        <v>2624</v>
      </c>
      <c r="C53" t="s">
        <v>2625</v>
      </c>
    </row>
    <row r="54" spans="1:3" x14ac:dyDescent="0.3">
      <c r="A54">
        <v>50</v>
      </c>
      <c r="B54" s="6" t="s">
        <v>2626</v>
      </c>
      <c r="C54" t="s">
        <v>2627</v>
      </c>
    </row>
    <row r="55" spans="1:3" x14ac:dyDescent="0.3">
      <c r="A55">
        <v>51</v>
      </c>
      <c r="B55" s="6" t="s">
        <v>2628</v>
      </c>
      <c r="C55" t="s">
        <v>2629</v>
      </c>
    </row>
    <row r="56" spans="1:3" x14ac:dyDescent="0.3">
      <c r="A56">
        <v>52</v>
      </c>
      <c r="B56" s="6" t="s">
        <v>2630</v>
      </c>
      <c r="C56" t="s">
        <v>2631</v>
      </c>
    </row>
    <row r="57" spans="1:3" x14ac:dyDescent="0.3">
      <c r="A57">
        <v>53</v>
      </c>
      <c r="B57" s="6" t="s">
        <v>2632</v>
      </c>
      <c r="C57" t="s">
        <v>2633</v>
      </c>
    </row>
    <row r="58" spans="1:3" x14ac:dyDescent="0.3">
      <c r="A58">
        <v>54</v>
      </c>
      <c r="B58" s="6" t="s">
        <v>2634</v>
      </c>
      <c r="C58" t="s">
        <v>2635</v>
      </c>
    </row>
    <row r="59" spans="1:3" x14ac:dyDescent="0.3">
      <c r="A59">
        <v>55</v>
      </c>
      <c r="B59" s="6" t="s">
        <v>2636</v>
      </c>
      <c r="C59" t="s">
        <v>2637</v>
      </c>
    </row>
    <row r="60" spans="1:3" x14ac:dyDescent="0.3">
      <c r="A60">
        <v>56</v>
      </c>
      <c r="B60" s="6" t="s">
        <v>2638</v>
      </c>
      <c r="C60" t="s">
        <v>2639</v>
      </c>
    </row>
    <row r="61" spans="1:3" x14ac:dyDescent="0.3">
      <c r="A61">
        <v>57</v>
      </c>
      <c r="B61" s="6" t="s">
        <v>2640</v>
      </c>
      <c r="C61" t="s">
        <v>2641</v>
      </c>
    </row>
    <row r="62" spans="1:3" x14ac:dyDescent="0.3">
      <c r="A62">
        <v>58</v>
      </c>
      <c r="B62" s="6" t="s">
        <v>2642</v>
      </c>
      <c r="C62" t="s">
        <v>2643</v>
      </c>
    </row>
    <row r="63" spans="1:3" x14ac:dyDescent="0.3">
      <c r="A63">
        <v>59</v>
      </c>
      <c r="B63" s="6" t="s">
        <v>2644</v>
      </c>
      <c r="C63" t="s">
        <v>2645</v>
      </c>
    </row>
    <row r="64" spans="1:3" x14ac:dyDescent="0.3">
      <c r="A64">
        <v>60</v>
      </c>
      <c r="B64" s="6" t="s">
        <v>2646</v>
      </c>
      <c r="C64" t="s">
        <v>2647</v>
      </c>
    </row>
    <row r="65" spans="1:3" x14ac:dyDescent="0.3">
      <c r="A65">
        <v>61</v>
      </c>
      <c r="B65" s="6" t="s">
        <v>2648</v>
      </c>
      <c r="C65" t="s">
        <v>2649</v>
      </c>
    </row>
    <row r="66" spans="1:3" x14ac:dyDescent="0.3">
      <c r="A66">
        <v>62</v>
      </c>
      <c r="B66" s="6" t="s">
        <v>2650</v>
      </c>
      <c r="C66" t="s">
        <v>2651</v>
      </c>
    </row>
    <row r="67" spans="1:3" x14ac:dyDescent="0.3">
      <c r="A67">
        <v>63</v>
      </c>
      <c r="B67" s="6" t="s">
        <v>2652</v>
      </c>
      <c r="C67" t="s">
        <v>2653</v>
      </c>
    </row>
    <row r="68" spans="1:3" x14ac:dyDescent="0.3">
      <c r="A68">
        <v>64</v>
      </c>
      <c r="B68" s="6" t="s">
        <v>2654</v>
      </c>
      <c r="C68" t="s">
        <v>2655</v>
      </c>
    </row>
    <row r="69" spans="1:3" x14ac:dyDescent="0.3">
      <c r="A69">
        <v>65</v>
      </c>
      <c r="B69" s="6" t="s">
        <v>2656</v>
      </c>
      <c r="C69" t="s">
        <v>2657</v>
      </c>
    </row>
    <row r="70" spans="1:3" x14ac:dyDescent="0.3">
      <c r="A70">
        <v>66</v>
      </c>
      <c r="B70" s="6" t="s">
        <v>2658</v>
      </c>
      <c r="C70" t="s">
        <v>2659</v>
      </c>
    </row>
    <row r="71" spans="1:3" x14ac:dyDescent="0.3">
      <c r="A71">
        <v>67</v>
      </c>
      <c r="B71" s="6" t="s">
        <v>2660</v>
      </c>
      <c r="C71" t="s">
        <v>2661</v>
      </c>
    </row>
    <row r="72" spans="1:3" x14ac:dyDescent="0.3">
      <c r="A72">
        <v>68</v>
      </c>
      <c r="B72" s="6" t="s">
        <v>2662</v>
      </c>
      <c r="C72" t="s">
        <v>2663</v>
      </c>
    </row>
    <row r="73" spans="1:3" x14ac:dyDescent="0.3">
      <c r="A73">
        <v>69</v>
      </c>
      <c r="B73" s="6" t="s">
        <v>2664</v>
      </c>
      <c r="C73" t="s">
        <v>2665</v>
      </c>
    </row>
    <row r="74" spans="1:3" x14ac:dyDescent="0.3">
      <c r="A74">
        <v>70</v>
      </c>
      <c r="B74" s="6" t="s">
        <v>2666</v>
      </c>
      <c r="C74" t="s">
        <v>2667</v>
      </c>
    </row>
    <row r="75" spans="1:3" x14ac:dyDescent="0.3">
      <c r="A75">
        <v>71</v>
      </c>
      <c r="B75" s="6" t="s">
        <v>2668</v>
      </c>
      <c r="C75" t="s">
        <v>2669</v>
      </c>
    </row>
    <row r="76" spans="1:3" x14ac:dyDescent="0.3">
      <c r="A76">
        <v>72</v>
      </c>
      <c r="B76" s="6" t="s">
        <v>2670</v>
      </c>
      <c r="C76" t="s">
        <v>2671</v>
      </c>
    </row>
    <row r="77" spans="1:3" x14ac:dyDescent="0.3">
      <c r="A77">
        <v>73</v>
      </c>
      <c r="B77" s="6" t="s">
        <v>2672</v>
      </c>
      <c r="C77" t="s">
        <v>2673</v>
      </c>
    </row>
    <row r="78" spans="1:3" x14ac:dyDescent="0.3">
      <c r="A78">
        <v>74</v>
      </c>
      <c r="B78" s="6" t="s">
        <v>2674</v>
      </c>
      <c r="C78" t="s">
        <v>2675</v>
      </c>
    </row>
    <row r="79" spans="1:3" x14ac:dyDescent="0.3">
      <c r="A79">
        <v>75</v>
      </c>
      <c r="B79" s="6" t="s">
        <v>2676</v>
      </c>
      <c r="C79" t="s">
        <v>2677</v>
      </c>
    </row>
    <row r="80" spans="1:3" x14ac:dyDescent="0.3">
      <c r="A80">
        <v>76</v>
      </c>
      <c r="B80" s="6" t="s">
        <v>2678</v>
      </c>
      <c r="C80" t="s">
        <v>2679</v>
      </c>
    </row>
    <row r="81" spans="1:3" x14ac:dyDescent="0.3">
      <c r="A81">
        <v>77</v>
      </c>
      <c r="B81" s="6" t="s">
        <v>2680</v>
      </c>
      <c r="C81" t="s">
        <v>2681</v>
      </c>
    </row>
    <row r="82" spans="1:3" x14ac:dyDescent="0.3">
      <c r="A82">
        <v>78</v>
      </c>
      <c r="B82" s="6" t="s">
        <v>2682</v>
      </c>
      <c r="C82" t="s">
        <v>2683</v>
      </c>
    </row>
    <row r="83" spans="1:3" x14ac:dyDescent="0.3">
      <c r="A83">
        <v>79</v>
      </c>
      <c r="B83" s="6" t="s">
        <v>2684</v>
      </c>
      <c r="C83" t="s">
        <v>2685</v>
      </c>
    </row>
    <row r="84" spans="1:3" x14ac:dyDescent="0.3">
      <c r="A84">
        <v>80</v>
      </c>
      <c r="B84" s="6" t="s">
        <v>2686</v>
      </c>
      <c r="C84" t="s">
        <v>2687</v>
      </c>
    </row>
    <row r="85" spans="1:3" x14ac:dyDescent="0.3">
      <c r="A85">
        <v>81</v>
      </c>
      <c r="B85" s="6" t="s">
        <v>2688</v>
      </c>
      <c r="C85" t="s">
        <v>2689</v>
      </c>
    </row>
    <row r="86" spans="1:3" x14ac:dyDescent="0.3">
      <c r="A86">
        <v>82</v>
      </c>
      <c r="B86" s="6" t="s">
        <v>2690</v>
      </c>
      <c r="C86" t="s">
        <v>2691</v>
      </c>
    </row>
    <row r="87" spans="1:3" x14ac:dyDescent="0.3">
      <c r="A87">
        <v>83</v>
      </c>
      <c r="B87" s="6" t="s">
        <v>2692</v>
      </c>
      <c r="C87" t="s">
        <v>2693</v>
      </c>
    </row>
    <row r="88" spans="1:3" x14ac:dyDescent="0.3">
      <c r="A88">
        <v>84</v>
      </c>
      <c r="B88" s="6" t="s">
        <v>2694</v>
      </c>
      <c r="C88" t="s">
        <v>2695</v>
      </c>
    </row>
    <row r="89" spans="1:3" x14ac:dyDescent="0.3">
      <c r="A89">
        <v>85</v>
      </c>
      <c r="B89" s="6" t="s">
        <v>2696</v>
      </c>
      <c r="C89" t="s">
        <v>2697</v>
      </c>
    </row>
    <row r="90" spans="1:3" x14ac:dyDescent="0.3">
      <c r="A90">
        <v>86</v>
      </c>
      <c r="B90" s="6" t="s">
        <v>2698</v>
      </c>
      <c r="C90" t="s">
        <v>2699</v>
      </c>
    </row>
    <row r="91" spans="1:3" x14ac:dyDescent="0.3">
      <c r="A91">
        <v>87</v>
      </c>
      <c r="B91" s="6" t="s">
        <v>2700</v>
      </c>
      <c r="C91" t="s">
        <v>2701</v>
      </c>
    </row>
    <row r="92" spans="1:3" x14ac:dyDescent="0.3">
      <c r="A92">
        <v>88</v>
      </c>
      <c r="B92" s="6" t="s">
        <v>2702</v>
      </c>
      <c r="C92" t="s">
        <v>2703</v>
      </c>
    </row>
    <row r="93" spans="1:3" x14ac:dyDescent="0.3">
      <c r="A93">
        <v>89</v>
      </c>
      <c r="B93" s="6" t="s">
        <v>2704</v>
      </c>
      <c r="C93" t="s">
        <v>2705</v>
      </c>
    </row>
    <row r="94" spans="1:3" x14ac:dyDescent="0.3">
      <c r="A94">
        <v>90</v>
      </c>
      <c r="B94" s="6" t="s">
        <v>2706</v>
      </c>
      <c r="C94" t="s">
        <v>2707</v>
      </c>
    </row>
    <row r="95" spans="1:3" x14ac:dyDescent="0.3">
      <c r="A95">
        <v>91</v>
      </c>
      <c r="B95" s="6" t="s">
        <v>2708</v>
      </c>
      <c r="C95" t="s">
        <v>2709</v>
      </c>
    </row>
    <row r="96" spans="1:3" x14ac:dyDescent="0.3">
      <c r="A96">
        <v>92</v>
      </c>
      <c r="B96" s="6" t="s">
        <v>2710</v>
      </c>
      <c r="C96" t="s">
        <v>2711</v>
      </c>
    </row>
    <row r="97" spans="1:3" x14ac:dyDescent="0.3">
      <c r="A97">
        <v>93</v>
      </c>
      <c r="B97" s="6" t="s">
        <v>2712</v>
      </c>
      <c r="C97" t="s">
        <v>2713</v>
      </c>
    </row>
    <row r="98" spans="1:3" x14ac:dyDescent="0.3">
      <c r="A98">
        <v>94</v>
      </c>
      <c r="B98" s="6" t="s">
        <v>2714</v>
      </c>
      <c r="C98" t="s">
        <v>2715</v>
      </c>
    </row>
    <row r="99" spans="1:3" x14ac:dyDescent="0.3">
      <c r="A99">
        <v>95</v>
      </c>
      <c r="B99" s="6" t="s">
        <v>2716</v>
      </c>
      <c r="C99" t="s">
        <v>2717</v>
      </c>
    </row>
    <row r="100" spans="1:3" x14ac:dyDescent="0.3">
      <c r="A100">
        <v>96</v>
      </c>
      <c r="B100" s="6" t="s">
        <v>2718</v>
      </c>
      <c r="C100" t="s">
        <v>2719</v>
      </c>
    </row>
    <row r="101" spans="1:3" x14ac:dyDescent="0.3">
      <c r="A101">
        <v>97</v>
      </c>
      <c r="B101" s="6" t="s">
        <v>2720</v>
      </c>
      <c r="C101" t="s">
        <v>2721</v>
      </c>
    </row>
    <row r="102" spans="1:3" x14ac:dyDescent="0.3">
      <c r="A102">
        <v>98</v>
      </c>
      <c r="B102" s="6" t="s">
        <v>2722</v>
      </c>
      <c r="C102" t="s">
        <v>2723</v>
      </c>
    </row>
    <row r="103" spans="1:3" x14ac:dyDescent="0.3">
      <c r="A103">
        <v>99</v>
      </c>
      <c r="B103" s="6" t="s">
        <v>2724</v>
      </c>
      <c r="C103" t="s">
        <v>2725</v>
      </c>
    </row>
    <row r="104" spans="1:3" x14ac:dyDescent="0.3">
      <c r="A104">
        <v>100</v>
      </c>
      <c r="B104" s="6" t="s">
        <v>2726</v>
      </c>
      <c r="C104" t="s">
        <v>2727</v>
      </c>
    </row>
    <row r="105" spans="1:3" x14ac:dyDescent="0.3">
      <c r="A105">
        <v>101</v>
      </c>
      <c r="B105" s="6" t="s">
        <v>2728</v>
      </c>
      <c r="C105" t="s">
        <v>2729</v>
      </c>
    </row>
    <row r="106" spans="1:3" x14ac:dyDescent="0.3">
      <c r="A106">
        <v>102</v>
      </c>
      <c r="B106" s="6" t="s">
        <v>2730</v>
      </c>
      <c r="C106" t="s">
        <v>2731</v>
      </c>
    </row>
    <row r="107" spans="1:3" x14ac:dyDescent="0.3">
      <c r="A107">
        <v>103</v>
      </c>
      <c r="B107" s="6" t="s">
        <v>2732</v>
      </c>
      <c r="C107" t="s">
        <v>2733</v>
      </c>
    </row>
    <row r="108" spans="1:3" x14ac:dyDescent="0.3">
      <c r="A108">
        <v>104</v>
      </c>
      <c r="B108" s="6" t="s">
        <v>2734</v>
      </c>
      <c r="C108" t="s">
        <v>2735</v>
      </c>
    </row>
    <row r="109" spans="1:3" x14ac:dyDescent="0.3">
      <c r="A109">
        <v>105</v>
      </c>
      <c r="B109" s="6" t="s">
        <v>2736</v>
      </c>
      <c r="C109" t="s">
        <v>2737</v>
      </c>
    </row>
    <row r="110" spans="1:3" x14ac:dyDescent="0.3">
      <c r="A110">
        <v>106</v>
      </c>
      <c r="B110" s="6" t="s">
        <v>2738</v>
      </c>
      <c r="C110" t="s">
        <v>2739</v>
      </c>
    </row>
    <row r="111" spans="1:3" x14ac:dyDescent="0.3">
      <c r="A111">
        <v>107</v>
      </c>
      <c r="B111" s="6" t="s">
        <v>2740</v>
      </c>
      <c r="C111" t="s">
        <v>2741</v>
      </c>
    </row>
    <row r="112" spans="1:3" x14ac:dyDescent="0.3">
      <c r="A112">
        <v>108</v>
      </c>
      <c r="B112" s="6" t="s">
        <v>2742</v>
      </c>
      <c r="C112" t="s">
        <v>2743</v>
      </c>
    </row>
    <row r="113" spans="1:3" x14ac:dyDescent="0.3">
      <c r="A113">
        <v>109</v>
      </c>
      <c r="B113" s="6" t="s">
        <v>2744</v>
      </c>
      <c r="C113" t="s">
        <v>2745</v>
      </c>
    </row>
    <row r="114" spans="1:3" x14ac:dyDescent="0.3">
      <c r="A114">
        <v>110</v>
      </c>
      <c r="B114" s="6" t="s">
        <v>2746</v>
      </c>
      <c r="C114" t="s">
        <v>2747</v>
      </c>
    </row>
    <row r="115" spans="1:3" x14ac:dyDescent="0.3">
      <c r="A115">
        <v>111</v>
      </c>
      <c r="B115" s="6" t="s">
        <v>2748</v>
      </c>
      <c r="C115" t="s">
        <v>2749</v>
      </c>
    </row>
    <row r="116" spans="1:3" x14ac:dyDescent="0.3">
      <c r="A116">
        <v>112</v>
      </c>
      <c r="B116" s="6" t="s">
        <v>2750</v>
      </c>
      <c r="C116" t="s">
        <v>2751</v>
      </c>
    </row>
    <row r="117" spans="1:3" x14ac:dyDescent="0.3">
      <c r="A117">
        <v>113</v>
      </c>
      <c r="B117" s="6" t="s">
        <v>2752</v>
      </c>
      <c r="C117" t="s">
        <v>2753</v>
      </c>
    </row>
    <row r="118" spans="1:3" x14ac:dyDescent="0.3">
      <c r="A118">
        <v>114</v>
      </c>
      <c r="B118" s="6" t="s">
        <v>2754</v>
      </c>
      <c r="C118" t="s">
        <v>2755</v>
      </c>
    </row>
    <row r="119" spans="1:3" x14ac:dyDescent="0.3">
      <c r="A119">
        <v>115</v>
      </c>
      <c r="B119" s="6" t="s">
        <v>2756</v>
      </c>
      <c r="C119" t="s">
        <v>2757</v>
      </c>
    </row>
    <row r="120" spans="1:3" x14ac:dyDescent="0.3">
      <c r="A120">
        <v>116</v>
      </c>
      <c r="B120" s="6" t="s">
        <v>2758</v>
      </c>
      <c r="C120" t="s">
        <v>2759</v>
      </c>
    </row>
    <row r="121" spans="1:3" x14ac:dyDescent="0.3">
      <c r="A121">
        <v>117</v>
      </c>
      <c r="B121" s="6" t="s">
        <v>2760</v>
      </c>
      <c r="C121" t="s">
        <v>2761</v>
      </c>
    </row>
    <row r="122" spans="1:3" x14ac:dyDescent="0.3">
      <c r="A122">
        <v>118</v>
      </c>
      <c r="B122" s="6" t="s">
        <v>2762</v>
      </c>
      <c r="C122" t="s">
        <v>2763</v>
      </c>
    </row>
    <row r="123" spans="1:3" x14ac:dyDescent="0.3">
      <c r="A123">
        <v>119</v>
      </c>
      <c r="B123" s="6" t="s">
        <v>2764</v>
      </c>
      <c r="C123" t="s">
        <v>2765</v>
      </c>
    </row>
    <row r="124" spans="1:3" x14ac:dyDescent="0.3">
      <c r="A124">
        <v>120</v>
      </c>
      <c r="B124" s="6" t="s">
        <v>2766</v>
      </c>
      <c r="C124" t="s">
        <v>2767</v>
      </c>
    </row>
    <row r="125" spans="1:3" x14ac:dyDescent="0.3">
      <c r="A125">
        <v>121</v>
      </c>
      <c r="B125" s="6" t="s">
        <v>2768</v>
      </c>
      <c r="C125" t="s">
        <v>2769</v>
      </c>
    </row>
    <row r="126" spans="1:3" x14ac:dyDescent="0.3">
      <c r="A126">
        <v>122</v>
      </c>
      <c r="B126" s="6" t="s">
        <v>2770</v>
      </c>
      <c r="C126" t="s">
        <v>2771</v>
      </c>
    </row>
    <row r="127" spans="1:3" x14ac:dyDescent="0.3">
      <c r="A127">
        <v>123</v>
      </c>
      <c r="B127" s="6" t="s">
        <v>2772</v>
      </c>
      <c r="C127" t="s">
        <v>2773</v>
      </c>
    </row>
    <row r="128" spans="1:3" x14ac:dyDescent="0.3">
      <c r="A128">
        <v>124</v>
      </c>
      <c r="B128" s="6" t="s">
        <v>2774</v>
      </c>
      <c r="C128" t="s">
        <v>2775</v>
      </c>
    </row>
    <row r="129" spans="1:3" x14ac:dyDescent="0.3">
      <c r="A129">
        <v>125</v>
      </c>
      <c r="B129" s="6" t="s">
        <v>2776</v>
      </c>
      <c r="C129" t="s">
        <v>2777</v>
      </c>
    </row>
    <row r="130" spans="1:3" x14ac:dyDescent="0.3">
      <c r="A130">
        <v>126</v>
      </c>
      <c r="B130" s="6" t="s">
        <v>2778</v>
      </c>
      <c r="C130" t="s">
        <v>2779</v>
      </c>
    </row>
    <row r="131" spans="1:3" x14ac:dyDescent="0.3">
      <c r="A131">
        <v>127</v>
      </c>
      <c r="B131" s="6" t="s">
        <v>2780</v>
      </c>
      <c r="C131" t="s">
        <v>2781</v>
      </c>
    </row>
    <row r="132" spans="1:3" x14ac:dyDescent="0.3">
      <c r="A132">
        <v>128</v>
      </c>
      <c r="B132" s="6" t="s">
        <v>2782</v>
      </c>
      <c r="C132" t="s">
        <v>2783</v>
      </c>
    </row>
    <row r="133" spans="1:3" x14ac:dyDescent="0.3">
      <c r="A133">
        <v>129</v>
      </c>
      <c r="B133" s="6" t="s">
        <v>2784</v>
      </c>
      <c r="C133" t="s">
        <v>2785</v>
      </c>
    </row>
    <row r="134" spans="1:3" x14ac:dyDescent="0.3">
      <c r="A134">
        <v>130</v>
      </c>
      <c r="B134" s="6" t="s">
        <v>2786</v>
      </c>
      <c r="C134" t="s">
        <v>2787</v>
      </c>
    </row>
    <row r="135" spans="1:3" x14ac:dyDescent="0.3">
      <c r="A135">
        <v>131</v>
      </c>
      <c r="B135" s="6" t="s">
        <v>2788</v>
      </c>
      <c r="C135" t="s">
        <v>2789</v>
      </c>
    </row>
    <row r="136" spans="1:3" x14ac:dyDescent="0.3">
      <c r="A136">
        <v>132</v>
      </c>
      <c r="B136" s="6" t="s">
        <v>2790</v>
      </c>
      <c r="C136" t="s">
        <v>2791</v>
      </c>
    </row>
    <row r="137" spans="1:3" x14ac:dyDescent="0.3">
      <c r="A137">
        <v>133</v>
      </c>
      <c r="B137" s="6" t="s">
        <v>2792</v>
      </c>
      <c r="C137" t="s">
        <v>2793</v>
      </c>
    </row>
    <row r="138" spans="1:3" x14ac:dyDescent="0.3">
      <c r="A138">
        <v>134</v>
      </c>
      <c r="B138" s="6" t="s">
        <v>2794</v>
      </c>
      <c r="C138" t="s">
        <v>2795</v>
      </c>
    </row>
    <row r="139" spans="1:3" x14ac:dyDescent="0.3">
      <c r="A139">
        <v>135</v>
      </c>
      <c r="B139" s="6" t="s">
        <v>2796</v>
      </c>
      <c r="C139" t="s">
        <v>2797</v>
      </c>
    </row>
    <row r="140" spans="1:3" x14ac:dyDescent="0.3">
      <c r="A140">
        <v>136</v>
      </c>
      <c r="B140" s="6" t="s">
        <v>2798</v>
      </c>
      <c r="C140" t="s">
        <v>2799</v>
      </c>
    </row>
    <row r="141" spans="1:3" x14ac:dyDescent="0.3">
      <c r="A141">
        <v>137</v>
      </c>
      <c r="B141" s="6" t="s">
        <v>2800</v>
      </c>
      <c r="C141" t="s">
        <v>2801</v>
      </c>
    </row>
    <row r="142" spans="1:3" x14ac:dyDescent="0.3">
      <c r="A142">
        <v>138</v>
      </c>
      <c r="B142" s="6" t="s">
        <v>2802</v>
      </c>
      <c r="C142" t="s">
        <v>2803</v>
      </c>
    </row>
    <row r="143" spans="1:3" x14ac:dyDescent="0.3">
      <c r="A143">
        <v>139</v>
      </c>
      <c r="B143" s="6" t="s">
        <v>2804</v>
      </c>
      <c r="C143" t="s">
        <v>2805</v>
      </c>
    </row>
    <row r="144" spans="1:3" x14ac:dyDescent="0.3">
      <c r="A144">
        <v>140</v>
      </c>
      <c r="B144" s="6" t="s">
        <v>2806</v>
      </c>
      <c r="C144" t="s">
        <v>2807</v>
      </c>
    </row>
    <row r="145" spans="1:3" x14ac:dyDescent="0.3">
      <c r="A145">
        <v>141</v>
      </c>
      <c r="B145" s="6" t="s">
        <v>2808</v>
      </c>
      <c r="C145" t="s">
        <v>2809</v>
      </c>
    </row>
    <row r="146" spans="1:3" x14ac:dyDescent="0.3">
      <c r="A146">
        <v>142</v>
      </c>
      <c r="B146" s="6" t="s">
        <v>2810</v>
      </c>
      <c r="C146" t="s">
        <v>2811</v>
      </c>
    </row>
    <row r="147" spans="1:3" x14ac:dyDescent="0.3">
      <c r="A147">
        <v>143</v>
      </c>
      <c r="B147" s="6" t="s">
        <v>2812</v>
      </c>
      <c r="C147" t="s">
        <v>2813</v>
      </c>
    </row>
    <row r="148" spans="1:3" x14ac:dyDescent="0.3">
      <c r="A148">
        <v>144</v>
      </c>
      <c r="B148" s="6" t="s">
        <v>2814</v>
      </c>
      <c r="C148" t="s">
        <v>2815</v>
      </c>
    </row>
  </sheetData>
  <pageMargins left="0.7" right="0.7" top="0.75" bottom="0.75" header="0.3" footer="0.3"/>
  <drawing r:id="rId1"/>
  <legacyDrawing r:id="rId2"/>
  <controls>
    <mc:AlternateContent xmlns:mc="http://schemas.openxmlformats.org/markup-compatibility/2006">
      <mc:Choice Requires="x14">
        <control shapeId="73729" r:id="rId3" name="cmdReadOpsc">
          <controlPr defaultSize="0" autoLine="0" r:id="rId4">
            <anchor moveWithCells="1">
              <from>
                <xdr:col>2</xdr:col>
                <xdr:colOff>2857500</xdr:colOff>
                <xdr:row>0</xdr:row>
                <xdr:rowOff>68580</xdr:rowOff>
              </from>
              <to>
                <xdr:col>2</xdr:col>
                <xdr:colOff>3878580</xdr:colOff>
                <xdr:row>1</xdr:row>
                <xdr:rowOff>129540</xdr:rowOff>
              </to>
            </anchor>
          </controlPr>
        </control>
      </mc:Choice>
      <mc:Fallback>
        <control shapeId="73729" r:id="rId3" name="cmdReadOpsc"/>
      </mc:Fallback>
    </mc:AlternateContent>
    <mc:AlternateContent xmlns:mc="http://schemas.openxmlformats.org/markup-compatibility/2006">
      <mc:Choice Requires="x14">
        <control shapeId="73730" r:id="rId5" name="cmdWriteOpsc">
          <controlPr defaultSize="0" autoLine="0" r:id="rId6">
            <anchor moveWithCells="1">
              <from>
                <xdr:col>2</xdr:col>
                <xdr:colOff>3916680</xdr:colOff>
                <xdr:row>0</xdr:row>
                <xdr:rowOff>68580</xdr:rowOff>
              </from>
              <to>
                <xdr:col>2</xdr:col>
                <xdr:colOff>4937760</xdr:colOff>
                <xdr:row>1</xdr:row>
                <xdr:rowOff>129540</xdr:rowOff>
              </to>
            </anchor>
          </controlPr>
        </control>
      </mc:Choice>
      <mc:Fallback>
        <control shapeId="73730" r:id="rId5" name="cmdWriteOpsc"/>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O59"/>
  <sheetViews>
    <sheetView zoomScaleNormal="100" workbookViewId="0"/>
  </sheetViews>
  <sheetFormatPr defaultRowHeight="14.4" x14ac:dyDescent="0.3"/>
  <cols>
    <col min="1" max="1" width="11.88671875" style="12" customWidth="1"/>
    <col min="2" max="2" width="10.6640625" style="12" customWidth="1"/>
    <col min="3" max="3" width="8.88671875" style="10"/>
    <col min="11" max="11" width="8.88671875" style="4"/>
    <col min="14" max="14" width="8.88671875" style="10"/>
  </cols>
  <sheetData>
    <row r="1" spans="1:15" ht="25.2" customHeight="1" x14ac:dyDescent="0.3">
      <c r="A1" s="125" t="s">
        <v>1837</v>
      </c>
      <c r="O1" s="10"/>
    </row>
    <row r="2" spans="1:15" ht="19.95" customHeight="1" x14ac:dyDescent="0.3">
      <c r="A2" s="132" t="s">
        <v>1637</v>
      </c>
      <c r="B2" s="128" t="s">
        <v>3794</v>
      </c>
      <c r="C2" s="116"/>
      <c r="D2" s="31"/>
      <c r="E2" s="117"/>
    </row>
    <row r="3" spans="1:15" x14ac:dyDescent="0.3">
      <c r="A3" s="133" t="s">
        <v>1462</v>
      </c>
      <c r="B3" s="129"/>
      <c r="C3" s="122"/>
      <c r="D3" s="116"/>
    </row>
    <row r="5" spans="1:15" s="3" customFormat="1" x14ac:dyDescent="0.3">
      <c r="A5" s="131" t="s">
        <v>1779</v>
      </c>
      <c r="B5" s="130"/>
      <c r="C5" s="13"/>
      <c r="K5" s="10"/>
      <c r="N5" s="13"/>
    </row>
    <row r="6" spans="1:15" x14ac:dyDescent="0.3">
      <c r="A6" s="12" t="s">
        <v>1817</v>
      </c>
      <c r="B6" s="10" t="s">
        <v>3795</v>
      </c>
      <c r="L6" s="4"/>
    </row>
    <row r="7" spans="1:15" x14ac:dyDescent="0.3">
      <c r="A7" s="12" t="s">
        <v>1818</v>
      </c>
      <c r="B7" s="10" t="s">
        <v>3796</v>
      </c>
      <c r="L7" s="4"/>
    </row>
    <row r="8" spans="1:15" x14ac:dyDescent="0.3">
      <c r="A8" s="12" t="s">
        <v>1819</v>
      </c>
      <c r="B8" s="135">
        <v>41382.65016203704</v>
      </c>
      <c r="L8" s="4"/>
    </row>
    <row r="10" spans="1:15" s="86" customFormat="1" ht="13.8" x14ac:dyDescent="0.3">
      <c r="A10" s="131" t="s">
        <v>1790</v>
      </c>
      <c r="B10" s="131"/>
      <c r="C10" s="87"/>
      <c r="K10" s="88"/>
      <c r="N10" s="87"/>
    </row>
    <row r="11" spans="1:15" x14ac:dyDescent="0.3">
      <c r="A11" s="12">
        <v>1</v>
      </c>
      <c r="B11" s="12" t="s">
        <v>1780</v>
      </c>
      <c r="C11" s="47">
        <v>-31.6</v>
      </c>
      <c r="D11" t="s">
        <v>2126</v>
      </c>
      <c r="L11" s="4"/>
    </row>
    <row r="12" spans="1:15" x14ac:dyDescent="0.3">
      <c r="A12" s="12">
        <v>2</v>
      </c>
      <c r="B12" s="12" t="s">
        <v>1781</v>
      </c>
      <c r="C12" s="47">
        <v>-55.7</v>
      </c>
      <c r="D12" t="s">
        <v>2127</v>
      </c>
      <c r="L12" s="4"/>
    </row>
    <row r="13" spans="1:15" x14ac:dyDescent="0.3">
      <c r="A13" s="12">
        <v>3</v>
      </c>
      <c r="B13" s="12" t="s">
        <v>1782</v>
      </c>
      <c r="C13" s="47">
        <v>180</v>
      </c>
      <c r="D13" t="s">
        <v>2128</v>
      </c>
      <c r="L13" s="4"/>
    </row>
    <row r="14" spans="1:15" x14ac:dyDescent="0.3">
      <c r="A14" s="12">
        <v>4</v>
      </c>
      <c r="B14" s="12" t="s">
        <v>1783</v>
      </c>
      <c r="C14" s="47">
        <v>1</v>
      </c>
      <c r="D14" t="s">
        <v>2129</v>
      </c>
      <c r="L14" s="4"/>
    </row>
    <row r="15" spans="1:15" x14ac:dyDescent="0.3">
      <c r="A15" s="12">
        <v>5</v>
      </c>
      <c r="B15" s="12" t="s">
        <v>1784</v>
      </c>
      <c r="C15" s="47">
        <v>0</v>
      </c>
      <c r="D15" t="s">
        <v>2130</v>
      </c>
      <c r="L15" s="4"/>
    </row>
    <row r="16" spans="1:15" x14ac:dyDescent="0.3">
      <c r="A16" s="12">
        <v>6</v>
      </c>
      <c r="B16" s="12" t="s">
        <v>1785</v>
      </c>
      <c r="C16" s="47">
        <v>0</v>
      </c>
      <c r="D16" t="s">
        <v>2131</v>
      </c>
      <c r="L16" s="4"/>
    </row>
    <row r="17" spans="1:14" x14ac:dyDescent="0.3">
      <c r="A17" s="12">
        <v>7</v>
      </c>
      <c r="B17" s="12" t="s">
        <v>1786</v>
      </c>
      <c r="C17" s="47">
        <v>0</v>
      </c>
      <c r="D17" t="s">
        <v>2132</v>
      </c>
      <c r="L17" s="4"/>
    </row>
    <row r="18" spans="1:14" x14ac:dyDescent="0.3">
      <c r="A18" s="12">
        <v>8</v>
      </c>
      <c r="B18" s="12" t="s">
        <v>1787</v>
      </c>
      <c r="C18" s="47">
        <v>1000</v>
      </c>
      <c r="D18" t="s">
        <v>2133</v>
      </c>
      <c r="L18" s="4"/>
    </row>
    <row r="19" spans="1:14" x14ac:dyDescent="0.3">
      <c r="A19" s="12">
        <v>9</v>
      </c>
      <c r="B19" s="12" t="s">
        <v>1788</v>
      </c>
      <c r="C19" s="47">
        <v>1000</v>
      </c>
      <c r="D19" t="s">
        <v>2134</v>
      </c>
      <c r="L19" s="4"/>
    </row>
    <row r="20" spans="1:14" x14ac:dyDescent="0.3">
      <c r="A20" s="12">
        <v>10</v>
      </c>
      <c r="B20" s="12" t="s">
        <v>1789</v>
      </c>
      <c r="C20" s="47">
        <v>0</v>
      </c>
      <c r="D20" t="s">
        <v>2135</v>
      </c>
      <c r="L20" s="4"/>
    </row>
    <row r="21" spans="1:14" x14ac:dyDescent="0.3">
      <c r="D21" t="s">
        <v>2014</v>
      </c>
    </row>
    <row r="22" spans="1:14" s="86" customFormat="1" x14ac:dyDescent="0.3">
      <c r="A22" s="131" t="s">
        <v>1791</v>
      </c>
      <c r="B22" s="131"/>
      <c r="C22" s="87"/>
      <c r="D22" s="86" t="s">
        <v>2014</v>
      </c>
      <c r="E22"/>
      <c r="K22" s="88"/>
      <c r="N22" s="87"/>
    </row>
    <row r="23" spans="1:14" x14ac:dyDescent="0.3">
      <c r="A23" s="12">
        <v>1</v>
      </c>
      <c r="C23" s="47">
        <v>0</v>
      </c>
      <c r="D23" t="s">
        <v>2136</v>
      </c>
      <c r="L23" s="4"/>
    </row>
    <row r="24" spans="1:14" x14ac:dyDescent="0.3">
      <c r="A24" s="12">
        <v>2</v>
      </c>
      <c r="C24" s="47">
        <v>0</v>
      </c>
      <c r="D24" t="s">
        <v>2136</v>
      </c>
      <c r="L24" s="4"/>
    </row>
    <row r="25" spans="1:14" x14ac:dyDescent="0.3">
      <c r="A25" s="12">
        <v>3</v>
      </c>
      <c r="C25" s="47">
        <v>0</v>
      </c>
      <c r="D25" t="s">
        <v>2136</v>
      </c>
      <c r="L25" s="4"/>
    </row>
    <row r="26" spans="1:14" x14ac:dyDescent="0.3">
      <c r="A26" s="12">
        <v>4</v>
      </c>
      <c r="C26" s="47">
        <v>0</v>
      </c>
      <c r="D26" t="s">
        <v>2136</v>
      </c>
      <c r="L26" s="4"/>
    </row>
    <row r="27" spans="1:14" x14ac:dyDescent="0.3">
      <c r="A27" s="12">
        <v>5</v>
      </c>
      <c r="C27" s="47">
        <v>0</v>
      </c>
      <c r="D27" t="s">
        <v>2136</v>
      </c>
      <c r="L27" s="4"/>
    </row>
    <row r="28" spans="1:14" x14ac:dyDescent="0.3">
      <c r="A28" s="12">
        <v>6</v>
      </c>
      <c r="C28" s="47">
        <v>0</v>
      </c>
      <c r="D28" t="s">
        <v>2136</v>
      </c>
      <c r="L28" s="4"/>
    </row>
    <row r="29" spans="1:14" x14ac:dyDescent="0.3">
      <c r="A29" s="12">
        <v>7</v>
      </c>
      <c r="C29" s="47">
        <v>0</v>
      </c>
      <c r="D29" t="s">
        <v>2136</v>
      </c>
      <c r="L29" s="4"/>
    </row>
    <row r="30" spans="1:14" x14ac:dyDescent="0.3">
      <c r="A30" s="12">
        <v>8</v>
      </c>
      <c r="C30" s="47">
        <v>0</v>
      </c>
      <c r="D30" t="s">
        <v>2136</v>
      </c>
      <c r="L30" s="4"/>
    </row>
    <row r="31" spans="1:14" x14ac:dyDescent="0.3">
      <c r="A31" s="12">
        <v>9</v>
      </c>
      <c r="B31" s="12" t="s">
        <v>1792</v>
      </c>
      <c r="C31" s="47">
        <v>0</v>
      </c>
      <c r="D31" t="s">
        <v>2137</v>
      </c>
      <c r="L31" s="4"/>
    </row>
    <row r="32" spans="1:14" x14ac:dyDescent="0.3">
      <c r="A32" s="12">
        <v>10</v>
      </c>
      <c r="B32" s="12" t="s">
        <v>1793</v>
      </c>
      <c r="C32" s="47">
        <v>0</v>
      </c>
      <c r="D32" t="s">
        <v>2138</v>
      </c>
      <c r="L32" s="4"/>
    </row>
    <row r="33" spans="1:14" x14ac:dyDescent="0.3">
      <c r="D33" t="s">
        <v>2014</v>
      </c>
    </row>
    <row r="34" spans="1:14" s="86" customFormat="1" x14ac:dyDescent="0.3">
      <c r="A34" s="131" t="s">
        <v>1794</v>
      </c>
      <c r="B34" s="131"/>
      <c r="C34" s="87"/>
      <c r="D34" s="86" t="s">
        <v>2014</v>
      </c>
      <c r="E34"/>
      <c r="K34" s="88"/>
      <c r="N34" s="87"/>
    </row>
    <row r="35" spans="1:14" x14ac:dyDescent="0.3">
      <c r="A35" s="134">
        <v>42024</v>
      </c>
      <c r="D35" t="s">
        <v>2136</v>
      </c>
      <c r="L35" s="4"/>
    </row>
    <row r="36" spans="1:14" x14ac:dyDescent="0.3">
      <c r="D36" t="s">
        <v>2014</v>
      </c>
      <c r="L36" s="4"/>
    </row>
    <row r="37" spans="1:14" x14ac:dyDescent="0.3">
      <c r="A37" s="131" t="s">
        <v>1795</v>
      </c>
      <c r="B37" s="131"/>
      <c r="C37" s="87"/>
      <c r="D37" s="86" t="s">
        <v>2014</v>
      </c>
      <c r="L37" s="4"/>
    </row>
    <row r="38" spans="1:14" x14ac:dyDescent="0.3">
      <c r="A38" s="12">
        <v>1</v>
      </c>
      <c r="B38" s="12" t="s">
        <v>1796</v>
      </c>
      <c r="D38" t="s">
        <v>2139</v>
      </c>
      <c r="L38" s="4"/>
    </row>
    <row r="39" spans="1:14" x14ac:dyDescent="0.3">
      <c r="A39" s="12">
        <v>2</v>
      </c>
      <c r="B39" s="12" t="s">
        <v>1797</v>
      </c>
      <c r="D39" t="s">
        <v>2139</v>
      </c>
      <c r="L39" s="4"/>
    </row>
    <row r="40" spans="1:14" x14ac:dyDescent="0.3">
      <c r="A40" s="12">
        <v>3</v>
      </c>
      <c r="B40" s="12" t="s">
        <v>1798</v>
      </c>
      <c r="D40" t="s">
        <v>2139</v>
      </c>
      <c r="L40" s="4"/>
    </row>
    <row r="41" spans="1:14" x14ac:dyDescent="0.3">
      <c r="A41" s="12">
        <v>4</v>
      </c>
      <c r="B41" s="12" t="s">
        <v>1799</v>
      </c>
      <c r="D41" t="s">
        <v>2139</v>
      </c>
      <c r="L41" s="4"/>
    </row>
    <row r="42" spans="1:14" x14ac:dyDescent="0.3">
      <c r="A42" s="12">
        <v>5</v>
      </c>
      <c r="B42" s="12" t="s">
        <v>1800</v>
      </c>
      <c r="D42" t="s">
        <v>2139</v>
      </c>
      <c r="L42" s="4"/>
    </row>
    <row r="43" spans="1:14" x14ac:dyDescent="0.3">
      <c r="A43" s="12">
        <v>6</v>
      </c>
      <c r="B43" s="12" t="s">
        <v>1801</v>
      </c>
      <c r="D43" t="s">
        <v>2139</v>
      </c>
    </row>
    <row r="44" spans="1:14" x14ac:dyDescent="0.3">
      <c r="A44" s="12">
        <v>7</v>
      </c>
      <c r="B44" s="12" t="s">
        <v>1802</v>
      </c>
      <c r="D44" t="s">
        <v>2139</v>
      </c>
    </row>
    <row r="45" spans="1:14" x14ac:dyDescent="0.3">
      <c r="A45" s="12">
        <v>8</v>
      </c>
      <c r="B45" s="12" t="s">
        <v>1803</v>
      </c>
      <c r="D45" t="s">
        <v>2139</v>
      </c>
    </row>
    <row r="46" spans="1:14" x14ac:dyDescent="0.3">
      <c r="A46" s="12">
        <v>9</v>
      </c>
      <c r="B46" s="12" t="s">
        <v>1804</v>
      </c>
      <c r="D46" t="s">
        <v>2139</v>
      </c>
    </row>
    <row r="47" spans="1:14" x14ac:dyDescent="0.3">
      <c r="A47" s="12">
        <v>10</v>
      </c>
      <c r="B47" s="12" t="s">
        <v>1805</v>
      </c>
      <c r="D47" t="s">
        <v>2139</v>
      </c>
    </row>
    <row r="48" spans="1:14" x14ac:dyDescent="0.3">
      <c r="D48" t="s">
        <v>2014</v>
      </c>
    </row>
    <row r="49" spans="1:4" x14ac:dyDescent="0.3">
      <c r="A49" s="131" t="s">
        <v>1806</v>
      </c>
      <c r="B49" s="131"/>
      <c r="C49" s="87"/>
      <c r="D49" s="86" t="s">
        <v>2014</v>
      </c>
    </row>
    <row r="50" spans="1:4" x14ac:dyDescent="0.3">
      <c r="A50" s="12">
        <v>1</v>
      </c>
      <c r="B50" s="12" t="s">
        <v>1807</v>
      </c>
      <c r="C50" s="47">
        <v>0</v>
      </c>
      <c r="D50" t="s">
        <v>2140</v>
      </c>
    </row>
    <row r="51" spans="1:4" x14ac:dyDescent="0.3">
      <c r="A51" s="12">
        <v>2</v>
      </c>
      <c r="B51" s="12" t="s">
        <v>1808</v>
      </c>
      <c r="C51" s="47"/>
      <c r="D51" t="s">
        <v>2140</v>
      </c>
    </row>
    <row r="52" spans="1:4" x14ac:dyDescent="0.3">
      <c r="A52" s="12">
        <v>3</v>
      </c>
      <c r="B52" s="12" t="s">
        <v>1809</v>
      </c>
      <c r="C52" s="47"/>
      <c r="D52" t="s">
        <v>2140</v>
      </c>
    </row>
    <row r="53" spans="1:4" x14ac:dyDescent="0.3">
      <c r="A53" s="12">
        <v>4</v>
      </c>
      <c r="B53" s="12" t="s">
        <v>1810</v>
      </c>
      <c r="C53" s="47"/>
      <c r="D53" t="s">
        <v>2140</v>
      </c>
    </row>
    <row r="54" spans="1:4" x14ac:dyDescent="0.3">
      <c r="A54" s="12">
        <v>5</v>
      </c>
      <c r="B54" s="12" t="s">
        <v>1811</v>
      </c>
      <c r="C54" s="47"/>
      <c r="D54" t="s">
        <v>2140</v>
      </c>
    </row>
    <row r="55" spans="1:4" x14ac:dyDescent="0.3">
      <c r="A55" s="12">
        <v>6</v>
      </c>
      <c r="B55" s="12" t="s">
        <v>1812</v>
      </c>
      <c r="C55" s="47"/>
      <c r="D55" t="s">
        <v>2140</v>
      </c>
    </row>
    <row r="56" spans="1:4" x14ac:dyDescent="0.3">
      <c r="A56" s="12">
        <v>7</v>
      </c>
      <c r="B56" s="12" t="s">
        <v>1813</v>
      </c>
      <c r="C56" s="47"/>
      <c r="D56" t="s">
        <v>2140</v>
      </c>
    </row>
    <row r="57" spans="1:4" x14ac:dyDescent="0.3">
      <c r="A57" s="12">
        <v>8</v>
      </c>
      <c r="B57" s="12" t="s">
        <v>1814</v>
      </c>
      <c r="C57" s="47"/>
      <c r="D57" t="s">
        <v>2140</v>
      </c>
    </row>
    <row r="58" spans="1:4" x14ac:dyDescent="0.3">
      <c r="A58" s="12">
        <v>9</v>
      </c>
      <c r="B58" s="12" t="s">
        <v>1815</v>
      </c>
      <c r="C58" s="47"/>
      <c r="D58" t="s">
        <v>2140</v>
      </c>
    </row>
    <row r="59" spans="1:4" x14ac:dyDescent="0.3">
      <c r="A59" s="12">
        <v>10</v>
      </c>
      <c r="B59" s="12" t="s">
        <v>1816</v>
      </c>
      <c r="C59" s="47"/>
      <c r="D59" t="s">
        <v>2140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5" r:id="rId4" name="cmdGetSit">
          <controlPr defaultSize="0" autoLine="0" r:id="rId5">
            <anchor moveWithCells="1">
              <from>
                <xdr:col>3</xdr:col>
                <xdr:colOff>601980</xdr:colOff>
                <xdr:row>0</xdr:row>
                <xdr:rowOff>220980</xdr:rowOff>
              </from>
              <to>
                <xdr:col>5</xdr:col>
                <xdr:colOff>403860</xdr:colOff>
                <xdr:row>1</xdr:row>
                <xdr:rowOff>205740</xdr:rowOff>
              </to>
            </anchor>
          </controlPr>
        </control>
      </mc:Choice>
      <mc:Fallback>
        <control shapeId="81925" r:id="rId4" name="cmdGetSit"/>
      </mc:Fallback>
    </mc:AlternateContent>
    <mc:AlternateContent xmlns:mc="http://schemas.openxmlformats.org/markup-compatibility/2006">
      <mc:Choice Requires="x14">
        <control shapeId="81924" r:id="rId6" name="cmbBoxSit">
          <controlPr defaultSize="0" autoLine="0" linkedCell="B2" r:id="rId7">
            <anchor moveWithCells="1">
              <from>
                <xdr:col>1</xdr:col>
                <xdr:colOff>22860</xdr:colOff>
                <xdr:row>1</xdr:row>
                <xdr:rowOff>22860</xdr:rowOff>
              </from>
              <to>
                <xdr:col>3</xdr:col>
                <xdr:colOff>22860</xdr:colOff>
                <xdr:row>2</xdr:row>
                <xdr:rowOff>7620</xdr:rowOff>
              </to>
            </anchor>
          </controlPr>
        </control>
      </mc:Choice>
      <mc:Fallback>
        <control shapeId="81924" r:id="rId6" name="cmbBoxSit"/>
      </mc:Fallback>
    </mc:AlternateContent>
    <mc:AlternateContent xmlns:mc="http://schemas.openxmlformats.org/markup-compatibility/2006">
      <mc:Choice Requires="x14">
        <control shapeId="81923" r:id="rId8" name="cmdRun">
          <controlPr defaultSize="0" autoLine="0" r:id="rId9">
            <anchor moveWithCells="1">
              <from>
                <xdr:col>9</xdr:col>
                <xdr:colOff>266700</xdr:colOff>
                <xdr:row>0</xdr:row>
                <xdr:rowOff>220980</xdr:rowOff>
              </from>
              <to>
                <xdr:col>11</xdr:col>
                <xdr:colOff>68580</xdr:colOff>
                <xdr:row>1</xdr:row>
                <xdr:rowOff>205740</xdr:rowOff>
              </to>
            </anchor>
          </controlPr>
        </control>
      </mc:Choice>
      <mc:Fallback>
        <control shapeId="81923" r:id="rId8" name="cmdRun"/>
      </mc:Fallback>
    </mc:AlternateContent>
    <mc:AlternateContent xmlns:mc="http://schemas.openxmlformats.org/markup-compatibility/2006">
      <mc:Choice Requires="x14">
        <control shapeId="81922" r:id="rId10" name="cmdRead">
          <controlPr defaultSize="0" autoLine="0" r:id="rId11">
            <anchor moveWithCells="1">
              <from>
                <xdr:col>5</xdr:col>
                <xdr:colOff>518160</xdr:colOff>
                <xdr:row>0</xdr:row>
                <xdr:rowOff>220980</xdr:rowOff>
              </from>
              <to>
                <xdr:col>7</xdr:col>
                <xdr:colOff>320040</xdr:colOff>
                <xdr:row>1</xdr:row>
                <xdr:rowOff>205740</xdr:rowOff>
              </to>
            </anchor>
          </controlPr>
        </control>
      </mc:Choice>
      <mc:Fallback>
        <control shapeId="81922" r:id="rId10" name="cmdRead"/>
      </mc:Fallback>
    </mc:AlternateContent>
    <mc:AlternateContent xmlns:mc="http://schemas.openxmlformats.org/markup-compatibility/2006">
      <mc:Choice Requires="x14">
        <control shapeId="81921" r:id="rId12" name="cmdWrite">
          <controlPr defaultSize="0" autoLine="0" r:id="rId13">
            <anchor moveWithCells="1">
              <from>
                <xdr:col>7</xdr:col>
                <xdr:colOff>373380</xdr:colOff>
                <xdr:row>0</xdr:row>
                <xdr:rowOff>220980</xdr:rowOff>
              </from>
              <to>
                <xdr:col>9</xdr:col>
                <xdr:colOff>175260</xdr:colOff>
                <xdr:row>1</xdr:row>
                <xdr:rowOff>205740</xdr:rowOff>
              </to>
            </anchor>
          </controlPr>
        </control>
      </mc:Choice>
      <mc:Fallback>
        <control shapeId="81921" r:id="rId12" name="cmdWri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FILENAMES</vt:lpstr>
      <vt:lpstr>APEXFILE.DAT</vt:lpstr>
      <vt:lpstr>APEXRUN.DAT</vt:lpstr>
      <vt:lpstr>APEXCONT.DAT</vt:lpstr>
      <vt:lpstr>TILL.DAT</vt:lpstr>
      <vt:lpstr>CROP.DAT</vt:lpstr>
      <vt:lpstr>FERT.DAT</vt:lpstr>
      <vt:lpstr>PEST.DAT</vt:lpstr>
      <vt:lpstr>PARM.DAT</vt:lpstr>
      <vt:lpstr>PRINT.DAT</vt:lpstr>
      <vt:lpstr>DIM.DAT</vt:lpstr>
      <vt:lpstr>OPS.OPC</vt:lpstr>
      <vt:lpstr>WDLST.DAT</vt:lpstr>
      <vt:lpstr>WPM1.DAT</vt:lpstr>
      <vt:lpstr>WIND.DAT</vt:lpstr>
      <vt:lpstr>SUBAREA.SUB</vt:lpstr>
      <vt:lpstr>SOL.SOL</vt:lpstr>
      <vt:lpstr>OPSC.DAT</vt:lpstr>
      <vt:lpstr>SIT.SIT</vt:lpstr>
      <vt:lpstr>DIM.DAT!_Toc352162512</vt:lpstr>
      <vt:lpstr>APEXFILE.DAT!OLE_LINK29</vt:lpstr>
      <vt:lpstr>APEXCONT.DAT!OLE_LINK33</vt:lpstr>
      <vt:lpstr>PRINT.DAT!OLE_LINK52</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Qingyu.Feng</cp:lastModifiedBy>
  <cp:lastPrinted>2015-03-20T15:31:51Z</cp:lastPrinted>
  <dcterms:created xsi:type="dcterms:W3CDTF">2014-12-08T17:04:50Z</dcterms:created>
  <dcterms:modified xsi:type="dcterms:W3CDTF">2017-01-25T14:45:06Z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43e717a8-f68d-4503-96b8-cfe55381a178</vt:lpwstr>
  </property>
</Properties>
</file>